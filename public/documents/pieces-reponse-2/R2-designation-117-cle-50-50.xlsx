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s" sheetId="1" state="visible" r:id="rId3"/>
    <sheet name="Calcul" sheetId="2" state="visible" r:id="rId4"/>
    <sheet name="Métho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<sst xmlns="http://schemas.openxmlformats.org/spreadsheetml/2006/main" count="79" uniqueCount="76">
  <si>
    <t xml:space="preserve">Montants notifiés (propositions personnelles du 19/10/2026, p. 59-63, identiques BEHEM / PASTEUR ; proposition société du 18/05/2026 p. 58 ; réponse du service du 04/09/2026 p. 95)</t>
  </si>
  <si>
    <t xml:space="preserve">Élément</t>
  </si>
  <si>
    <t xml:space="preserve">2023 (clos 31/03/2023)</t>
  </si>
  <si>
    <t xml:space="preserve">2024 (clos 31/03/2024)</t>
  </si>
  <si>
    <t xml:space="preserve">2025 (clos 31/03/2025)</t>
  </si>
  <si>
    <t xml:space="preserve">Source</t>
  </si>
  <si>
    <t xml:space="preserve">Discordance TTC exacte (société, p. 58 du 18/05/2026)</t>
  </si>
  <si>
    <t xml:space="preserve">Proposition 18/05/2026 p. 58</t>
  </si>
  <si>
    <t xml:space="preserve">Dissimulation TTC arrondie (p. 59 du 19/10/2026)</t>
  </si>
  <si>
    <t xml:space="preserve">Propositions 19/10/2026 p. 59</t>
  </si>
  <si>
    <t xml:space="preserve">TVA incluse (p. 59)</t>
  </si>
  <si>
    <t xml:space="preserve">Part HT par co-gérant notifiée (p. 59)</t>
  </si>
  <si>
    <t xml:space="preserve">Part TVA par co-gérant notifiée, fondée sur le 109-1-2° (p. 60 et p. 62)</t>
  </si>
  <si>
    <t xml:space="preserve">Propositions 19/10/2026 p. 60, 62</t>
  </si>
  <si>
    <t xml:space="preserve">Base RCM par foyer notifiée (p. 62)</t>
  </si>
  <si>
    <t xml:space="preserve">Propositions 19/10/2026 p. 62</t>
  </si>
  <si>
    <t xml:space="preserve">Assiette IR ×1,25 notifiée (p. 63)</t>
  </si>
  <si>
    <t xml:space="preserve">Propositions 19/10/2026 p. 63</t>
  </si>
  <si>
    <t xml:space="preserve">Supplément notifié PASTEUR (CANON)</t>
  </si>
  <si>
    <t xml:space="preserve">Proposition PASTEUR 19/10/2026, tableau final</t>
  </si>
  <si>
    <t xml:space="preserve">Supplément notifié BEHEM (CANON)</t>
  </si>
  <si>
    <t xml:space="preserve">Proposition BEHEM 19/10/2026, tableau final</t>
  </si>
  <si>
    <t xml:space="preserve">Société maintenue (04/09/2026) : IS 97 510 + int. 4 661 + 1729-IS 39 004 + TVA 49 547 + int. 2 607 + 1729-TVA 19 819</t>
  </si>
  <si>
    <t xml:space="preserve">Réponse du service 04/09/2026, p. 94-95 ; pièce R2-exposition-et-scenarios.xlsx</t>
  </si>
  <si>
    <t xml:space="preserve">Amende 1759 annoncée sous condition (18/05/2026 p. 58) = somme des discordances TTC</t>
  </si>
  <si>
    <t xml:space="preserve">Rappel initial société (18/05/2026)</t>
  </si>
  <si>
    <t xml:space="preserve">Proposition 18/05/2026 ; CANON</t>
  </si>
  <si>
    <t xml:space="preserve">Recalcul par formule de la cascade du service et de la part fondée sur le 109-1-2°</t>
  </si>
  <si>
    <t xml:space="preserve">Ligne</t>
  </si>
  <si>
    <t xml:space="preserve">2023</t>
  </si>
  <si>
    <t xml:space="preserve">2024</t>
  </si>
  <si>
    <t xml:space="preserve">2025</t>
  </si>
  <si>
    <t xml:space="preserve">Total 3 ans</t>
  </si>
  <si>
    <t xml:space="preserve">Contrôle (écart au notifié)</t>
  </si>
  <si>
    <t xml:space="preserve">Dissimulation TTC arrondie (total 471 827 = 471 826 exact + 1 d'arrondi)</t>
  </si>
  <si>
    <t xml:space="preserve">Dissimulation HT = TTC − TVA</t>
  </si>
  <si>
    <t xml:space="preserve">Part HT par co-gérant = HT ÷ 2 (arrondi)</t>
  </si>
  <si>
    <t xml:space="preserve">Part TVA par co-gérant notifiée (TVA ÷ 2, arrondie à l'euro inférieur par le service : 20 421 ÷ 2 = 10 210,5 → 10 210), fondée sur le 109-1-2°</t>
  </si>
  <si>
    <t xml:space="preserve">Base RCM par foyer = part HT + part TVA</t>
  </si>
  <si>
    <t xml:space="preserve">Assiette IR = base × 1,25 (arrondi)</t>
  </si>
  <si>
    <t xml:space="preserve">Poids de la part fondée sur le 109-1-2° (TVA) dans la base RCM par foyer</t>
  </si>
  <si>
    <t xml:space="preserve">fraction (≈ 10,58 %)</t>
  </si>
  <si>
    <t xml:space="preserve">Part 109-1-2° par foyer, assiette IR ×1,25</t>
  </si>
  <si>
    <t xml:space="preserve">24 963 × 1,25 = 31 203,75</t>
  </si>
  <si>
    <t xml:space="preserve">Part 109-1-2° pour les deux foyers (base RCM)</t>
  </si>
  <si>
    <t xml:space="preserve">49 926 : écart d'arrondi de 1 € avec la TVA totale 49 927</t>
  </si>
  <si>
    <t xml:space="preserve">Base RCM par foyer hors part 109-1-2°</t>
  </si>
  <si>
    <t xml:space="preserve">égale à la part HT sur 3 ans</t>
  </si>
  <si>
    <t xml:space="preserve">Bilan de la désignation du 16/06/2026</t>
  </si>
  <si>
    <t xml:space="preserve">Montant</t>
  </si>
  <si>
    <t xml:space="preserve">Lecture</t>
  </si>
  <si>
    <t xml:space="preserve">Amende 1759 annoncée sous condition (18/05/2026)</t>
  </si>
  <si>
    <t xml:space="preserve">écartée par la désignation</t>
  </si>
  <si>
    <t xml:space="preserve">Suppléments personnels notifiés (PASTEUR + BEHEM)</t>
  </si>
  <si>
    <t xml:space="preserve">369 648 € (CANON)</t>
  </si>
  <si>
    <t xml:space="preserve">Écart : amende écartée − suppléments notifiés</t>
  </si>
  <si>
    <t xml:space="preserve">102 178 € de moins qu'au 18/05/2026, si le fond est perdu</t>
  </si>
  <si>
    <t xml:space="preserve">Exposition réelle = société maintenue + suppléments</t>
  </si>
  <si>
    <t xml:space="preserve">582 796 € (CANON)</t>
  </si>
  <si>
    <t xml:space="preserve">Rappel initial = société maintenue + amende</t>
  </si>
  <si>
    <t xml:space="preserve">684 974 € (CANON)</t>
  </si>
  <si>
    <t xml:space="preserve">Contrôle : rappel initial − 684 974</t>
  </si>
  <si>
    <t xml:space="preserve">doit être 0</t>
  </si>
  <si>
    <t xml:space="preserve">Ordre de grandeur (prorata, barème non reconstituable sans 2042) : supplément notifié × poids 109-1-2°</t>
  </si>
  <si>
    <t xml:space="preserve">PASTEUR</t>
  </si>
  <si>
    <t xml:space="preserve">BEHEM</t>
  </si>
  <si>
    <t xml:space="preserve">estimation proportionnelle, non une liquidation</t>
  </si>
  <si>
    <t xml:space="preserve">Supplément notifié</t>
  </si>
  <si>
    <t xml:space="preserve">196 945 / 172 703</t>
  </si>
  <si>
    <t xml:space="preserve">× poids de la part 109-1-2° (ligne 11)</t>
  </si>
  <si>
    <t xml:space="preserve">ordre de grandeur de ce que porte le fondement 109-1-2°</t>
  </si>
  <si>
    <t xml:space="preserve">Objet : recalculer par formule la cascade des propositions personnelles du 19/10/2026 (p. 59 à 63) et isoler la part des distributions que le service fonde sur le 2° du 1 de l'article 109 du CGI (p. 62).</t>
  </si>
  <si>
    <t xml:space="preserve">Toutes les cellules de l'onglet Calcul sont des formules sur l'onglet Sources ; la colonne « Contrôle » compare au montant notifié (0 = concordance).</t>
  </si>
  <si>
    <t xml:space="preserve">Arrondis : le service arrondit chaque exercice à l'euro (p. 59) ; la somme des parts TVA des deux foyers (49 926) diffère de 1 € de la TVA totale (49 927) du fait de ces arrondis.</t>
  </si>
  <si>
    <t xml:space="preserve">La ligne « ordre de grandeur » n'est pas une liquidation : le supplément notifié dépend du barème propre à chaque foyer (revenu 2042 non disponible) ; elle donne seulement le poids proportionnel du fondement 109-1-2° dans le supplément.</t>
  </si>
  <si>
    <t xml:space="preserve">Chiffres verrouillés (CANON) : 471 826 / 235 913 / 294 891 / 369 648 / 213 148 / 582 796 / 684 974.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</si>
</sst>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E8C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E8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4" min="2" style="0" width="20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0" t="s">
        <v>6</v>
      </c>
      <c r="B4" s="0" t="n">
        <v>193234.55</v>
      </c>
      <c r="C4" s="0" t="n">
        <v>138863.57</v>
      </c>
      <c r="D4" s="0" t="n">
        <v>139727.76</v>
      </c>
      <c r="E4" s="0" t="s">
        <v>7</v>
      </c>
    </row>
    <row r="5" customFormat="false" ht="15" hidden="false" customHeight="false" outlineLevel="0" collapsed="false">
      <c r="A5" s="0" t="s">
        <v>8</v>
      </c>
      <c r="B5" s="0" t="n">
        <v>193235</v>
      </c>
      <c r="C5" s="0" t="n">
        <v>138864</v>
      </c>
      <c r="D5" s="0" t="n">
        <v>139728</v>
      </c>
      <c r="E5" s="0" t="s">
        <v>9</v>
      </c>
    </row>
    <row r="6" customFormat="false" ht="15" hidden="false" customHeight="false" outlineLevel="0" collapsed="false">
      <c r="A6" s="0" t="s">
        <v>10</v>
      </c>
      <c r="B6" s="0" t="n">
        <v>20421</v>
      </c>
      <c r="C6" s="0" t="n">
        <v>14854</v>
      </c>
      <c r="D6" s="0" t="n">
        <v>14652</v>
      </c>
      <c r="E6" s="0" t="s">
        <v>9</v>
      </c>
    </row>
    <row r="7" customFormat="false" ht="15" hidden="false" customHeight="false" outlineLevel="0" collapsed="false">
      <c r="A7" s="0" t="s">
        <v>11</v>
      </c>
      <c r="B7" s="0" t="n">
        <v>86407</v>
      </c>
      <c r="C7" s="0" t="n">
        <v>62005</v>
      </c>
      <c r="D7" s="0" t="n">
        <v>62538</v>
      </c>
      <c r="E7" s="0" t="s">
        <v>9</v>
      </c>
    </row>
    <row r="8" customFormat="false" ht="15" hidden="false" customHeight="false" outlineLevel="0" collapsed="false">
      <c r="A8" s="0" t="s">
        <v>12</v>
      </c>
      <c r="B8" s="0" t="n">
        <v>10210</v>
      </c>
      <c r="C8" s="0" t="n">
        <v>7427</v>
      </c>
      <c r="D8" s="0" t="n">
        <v>7326</v>
      </c>
      <c r="E8" s="0" t="s">
        <v>13</v>
      </c>
    </row>
    <row r="9" customFormat="false" ht="15" hidden="false" customHeight="false" outlineLevel="0" collapsed="false">
      <c r="A9" s="0" t="s">
        <v>14</v>
      </c>
      <c r="B9" s="0" t="n">
        <v>96617</v>
      </c>
      <c r="C9" s="0" t="n">
        <v>69432</v>
      </c>
      <c r="D9" s="0" t="n">
        <v>69864</v>
      </c>
      <c r="E9" s="0" t="s">
        <v>15</v>
      </c>
    </row>
    <row r="10" customFormat="false" ht="15" hidden="false" customHeight="false" outlineLevel="0" collapsed="false">
      <c r="A10" s="0" t="s">
        <v>16</v>
      </c>
      <c r="B10" s="0" t="n">
        <v>120771</v>
      </c>
      <c r="C10" s="0" t="n">
        <v>86790</v>
      </c>
      <c r="D10" s="0" t="n">
        <v>87330</v>
      </c>
      <c r="E10" s="0" t="s">
        <v>17</v>
      </c>
    </row>
    <row r="11" customFormat="false" ht="15" hidden="false" customHeight="false" outlineLevel="0" collapsed="false">
      <c r="A11" s="0" t="s">
        <v>18</v>
      </c>
      <c r="B11" s="0" t="n">
        <v>83391</v>
      </c>
      <c r="C11" s="0" t="n">
        <v>56724</v>
      </c>
      <c r="D11" s="0" t="n">
        <v>56830</v>
      </c>
      <c r="E11" s="0" t="s">
        <v>19</v>
      </c>
    </row>
    <row r="12" customFormat="false" ht="15" hidden="false" customHeight="false" outlineLevel="0" collapsed="false">
      <c r="A12" s="0" t="s">
        <v>20</v>
      </c>
      <c r="B12" s="0" t="n">
        <v>73859</v>
      </c>
      <c r="C12" s="0" t="n">
        <v>48124</v>
      </c>
      <c r="D12" s="0" t="n">
        <v>50720</v>
      </c>
      <c r="E12" s="0" t="s">
        <v>21</v>
      </c>
    </row>
    <row r="14" customFormat="false" ht="15" hidden="false" customHeight="false" outlineLevel="0" collapsed="false">
      <c r="A14" s="0" t="s">
        <v>22</v>
      </c>
      <c r="B14" s="0" t="n">
        <v>213148</v>
      </c>
      <c r="E14" s="0" t="s">
        <v>23</v>
      </c>
    </row>
    <row r="15" customFormat="false" ht="15" hidden="false" customHeight="false" outlineLevel="0" collapsed="false">
      <c r="A15" s="0" t="s">
        <v>24</v>
      </c>
      <c r="B15" s="0" t="n">
        <v>471826</v>
      </c>
      <c r="E15" s="0" t="s">
        <v>7</v>
      </c>
    </row>
    <row r="16" customFormat="false" ht="15" hidden="false" customHeight="false" outlineLevel="0" collapsed="false">
      <c r="A16" s="0" t="s">
        <v>25</v>
      </c>
      <c r="B16" s="0" t="n">
        <v>684974</v>
      </c>
      <c r="E16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5" min="2" style="0" width="16"/>
    <col collapsed="false" customWidth="true" hidden="false" outlineLevel="0" max="6" min="6" style="0" width="58"/>
  </cols>
  <sheetData>
    <row r="1" customFormat="false" ht="15" hidden="false" customHeight="false" outlineLevel="0" collapsed="false">
      <c r="A1" s="1" t="s">
        <v>27</v>
      </c>
    </row>
    <row r="3" customFormat="false" ht="15" hidden="false" customHeight="false" outlineLevel="0" collapsed="false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</row>
    <row r="4" customFormat="false" ht="15" hidden="false" customHeight="false" outlineLevel="0" collapsed="false">
      <c r="A4" s="0" t="s">
        <v>34</v>
      </c>
      <c r="B4" s="3" t="n">
        <f aca="false">Sources!B5</f>
        <v>193235</v>
      </c>
      <c r="C4" s="3" t="n">
        <f aca="false">Sources!C5</f>
        <v>138864</v>
      </c>
      <c r="D4" s="3" t="n">
        <f aca="false">Sources!D5</f>
        <v>139728</v>
      </c>
      <c r="E4" s="3" t="n">
        <f aca="false">SUM(B4:D4)</f>
        <v>471827</v>
      </c>
      <c r="F4" s="4" t="n">
        <f aca="false">E4-ROUND(SUM(Sources!B4:D4),0)</f>
        <v>1</v>
      </c>
    </row>
    <row r="5" customFormat="false" ht="15" hidden="false" customHeight="false" outlineLevel="0" collapsed="false">
      <c r="A5" s="0" t="s">
        <v>35</v>
      </c>
      <c r="B5" s="3" t="n">
        <f aca="false">B4-Sources!B6</f>
        <v>172814</v>
      </c>
      <c r="C5" s="3" t="n">
        <f aca="false">C4-Sources!C6</f>
        <v>124010</v>
      </c>
      <c r="D5" s="3" t="n">
        <f aca="false">D4-Sources!D6</f>
        <v>125076</v>
      </c>
      <c r="E5" s="3" t="n">
        <f aca="false">SUM(B5:D5)</f>
        <v>421900</v>
      </c>
    </row>
    <row r="6" customFormat="false" ht="15" hidden="false" customHeight="false" outlineLevel="0" collapsed="false">
      <c r="A6" s="0" t="s">
        <v>36</v>
      </c>
      <c r="B6" s="3" t="n">
        <f aca="false">ROUND(B5/2,0)</f>
        <v>86407</v>
      </c>
      <c r="C6" s="3" t="n">
        <f aca="false">ROUND(C5/2,0)</f>
        <v>62005</v>
      </c>
      <c r="D6" s="3" t="n">
        <f aca="false">ROUND(D5/2,0)</f>
        <v>62538</v>
      </c>
      <c r="E6" s="3" t="n">
        <f aca="false">SUM(B6:D6)</f>
        <v>210950</v>
      </c>
      <c r="F6" s="4" t="n">
        <f aca="false">E6-SUM(Sources!B7:D7)</f>
        <v>0</v>
      </c>
    </row>
    <row r="7" customFormat="false" ht="15" hidden="false" customHeight="false" outlineLevel="0" collapsed="false">
      <c r="A7" s="0" t="s">
        <v>37</v>
      </c>
      <c r="B7" s="3" t="n">
        <f aca="false">Sources!B8</f>
        <v>10210</v>
      </c>
      <c r="C7" s="3" t="n">
        <f aca="false">Sources!C8</f>
        <v>7427</v>
      </c>
      <c r="D7" s="3" t="n">
        <f aca="false">Sources!D8</f>
        <v>7326</v>
      </c>
      <c r="E7" s="3" t="n">
        <f aca="false">SUM(B7:D7)</f>
        <v>24963</v>
      </c>
      <c r="F7" s="4" t="n">
        <f aca="false">SUM(Sources!B6:D6)/2-E7</f>
        <v>0.5</v>
      </c>
    </row>
    <row r="8" customFormat="false" ht="15" hidden="false" customHeight="false" outlineLevel="0" collapsed="false">
      <c r="A8" s="0" t="s">
        <v>38</v>
      </c>
      <c r="B8" s="3" t="n">
        <f aca="false">B6+B7</f>
        <v>96617</v>
      </c>
      <c r="C8" s="3" t="n">
        <f aca="false">C6+C7</f>
        <v>69432</v>
      </c>
      <c r="D8" s="3" t="n">
        <f aca="false">D6+D7</f>
        <v>69864</v>
      </c>
      <c r="E8" s="3" t="n">
        <f aca="false">SUM(B8:D8)</f>
        <v>235913</v>
      </c>
      <c r="F8" s="4" t="n">
        <f aca="false">E8-SUM(Sources!B9:D9)</f>
        <v>0</v>
      </c>
    </row>
    <row r="9" customFormat="false" ht="15" hidden="false" customHeight="false" outlineLevel="0" collapsed="false">
      <c r="A9" s="0" t="s">
        <v>39</v>
      </c>
      <c r="B9" s="3" t="n">
        <f aca="false">ROUND(B8*1.25,0)</f>
        <v>120771</v>
      </c>
      <c r="C9" s="3" t="n">
        <f aca="false">ROUND(C8*1.25,0)</f>
        <v>86790</v>
      </c>
      <c r="D9" s="3" t="n">
        <f aca="false">ROUND(D8*1.25,0)</f>
        <v>87330</v>
      </c>
      <c r="E9" s="3" t="n">
        <f aca="false">SUM(B9:D9)</f>
        <v>294891</v>
      </c>
      <c r="F9" s="4" t="n">
        <f aca="false">E9-SUM(Sources!B10:D10)</f>
        <v>0</v>
      </c>
    </row>
    <row r="10" customFormat="false" ht="15" hidden="false" customHeight="false" outlineLevel="0" collapsed="false">
      <c r="B10" s="3"/>
      <c r="C10" s="3"/>
      <c r="D10" s="3"/>
      <c r="E10" s="3"/>
    </row>
    <row r="11" customFormat="false" ht="15" hidden="false" customHeight="false" outlineLevel="0" collapsed="false">
      <c r="A11" s="0" t="s">
        <v>40</v>
      </c>
      <c r="B11" s="5" t="n">
        <f aca="false">E7/E8</f>
        <v>0.105814431591307</v>
      </c>
      <c r="C11" s="3"/>
      <c r="D11" s="3"/>
      <c r="E11" s="3"/>
      <c r="F11" s="4" t="s">
        <v>41</v>
      </c>
    </row>
    <row r="12" customFormat="false" ht="15" hidden="false" customHeight="false" outlineLevel="0" collapsed="false">
      <c r="A12" s="0" t="s">
        <v>42</v>
      </c>
      <c r="B12" s="3" t="n">
        <f aca="false">E7*1.25</f>
        <v>31203.75</v>
      </c>
      <c r="C12" s="3"/>
      <c r="D12" s="3"/>
      <c r="E12" s="3"/>
      <c r="F12" s="4" t="s">
        <v>43</v>
      </c>
    </row>
    <row r="13" customFormat="false" ht="15" hidden="false" customHeight="false" outlineLevel="0" collapsed="false">
      <c r="A13" s="0" t="s">
        <v>44</v>
      </c>
      <c r="B13" s="3" t="n">
        <f aca="false">2*E7</f>
        <v>49926</v>
      </c>
      <c r="C13" s="3"/>
      <c r="D13" s="3"/>
      <c r="E13" s="3"/>
      <c r="F13" s="4" t="s">
        <v>45</v>
      </c>
    </row>
    <row r="14" customFormat="false" ht="15" hidden="false" customHeight="false" outlineLevel="0" collapsed="false">
      <c r="A14" s="0" t="s">
        <v>46</v>
      </c>
      <c r="B14" s="3" t="n">
        <f aca="false">E8-E7</f>
        <v>210950</v>
      </c>
      <c r="C14" s="3"/>
      <c r="D14" s="3"/>
      <c r="E14" s="3"/>
      <c r="F14" s="4" t="s">
        <v>47</v>
      </c>
    </row>
    <row r="15" customFormat="false" ht="15" hidden="false" customHeight="false" outlineLevel="0" collapsed="false">
      <c r="B15" s="3"/>
      <c r="C15" s="3"/>
      <c r="D15" s="3"/>
      <c r="E15" s="3"/>
    </row>
    <row r="16" customFormat="false" ht="15" hidden="false" customHeight="false" outlineLevel="0" collapsed="false">
      <c r="A16" s="2" t="s">
        <v>48</v>
      </c>
      <c r="B16" s="6" t="s">
        <v>49</v>
      </c>
      <c r="C16" s="6"/>
      <c r="D16" s="6"/>
      <c r="E16" s="6"/>
      <c r="F16" s="2" t="s">
        <v>50</v>
      </c>
    </row>
    <row r="17" customFormat="false" ht="15" hidden="false" customHeight="false" outlineLevel="0" collapsed="false">
      <c r="A17" s="0" t="s">
        <v>51</v>
      </c>
      <c r="B17" s="3" t="n">
        <f aca="false">Sources!B15</f>
        <v>471826</v>
      </c>
      <c r="C17" s="3"/>
      <c r="D17" s="3"/>
      <c r="E17" s="3"/>
      <c r="F17" s="4" t="s">
        <v>52</v>
      </c>
    </row>
    <row r="18" customFormat="false" ht="15" hidden="false" customHeight="false" outlineLevel="0" collapsed="false">
      <c r="A18" s="0" t="s">
        <v>53</v>
      </c>
      <c r="B18" s="3" t="n">
        <f aca="false">SUM(Sources!B11:D12)</f>
        <v>369648</v>
      </c>
      <c r="C18" s="3"/>
      <c r="D18" s="3"/>
      <c r="E18" s="3"/>
      <c r="F18" s="4" t="s">
        <v>54</v>
      </c>
    </row>
    <row r="19" customFormat="false" ht="15" hidden="false" customHeight="false" outlineLevel="0" collapsed="false">
      <c r="A19" s="0" t="s">
        <v>55</v>
      </c>
      <c r="B19" s="3" t="n">
        <f aca="false">B17-B18</f>
        <v>102178</v>
      </c>
      <c r="C19" s="3"/>
      <c r="D19" s="3"/>
      <c r="E19" s="3"/>
      <c r="F19" s="4" t="s">
        <v>56</v>
      </c>
    </row>
    <row r="20" customFormat="false" ht="15" hidden="false" customHeight="false" outlineLevel="0" collapsed="false">
      <c r="A20" s="0" t="s">
        <v>57</v>
      </c>
      <c r="B20" s="3" t="n">
        <f aca="false">Sources!B14+B18</f>
        <v>582796</v>
      </c>
      <c r="C20" s="3"/>
      <c r="D20" s="3"/>
      <c r="E20" s="3"/>
      <c r="F20" s="4" t="s">
        <v>58</v>
      </c>
    </row>
    <row r="21" customFormat="false" ht="15" hidden="false" customHeight="false" outlineLevel="0" collapsed="false">
      <c r="A21" s="0" t="s">
        <v>59</v>
      </c>
      <c r="B21" s="3" t="n">
        <f aca="false">Sources!B14+B17</f>
        <v>684974</v>
      </c>
      <c r="C21" s="3"/>
      <c r="D21" s="3"/>
      <c r="E21" s="3"/>
      <c r="F21" s="4" t="s">
        <v>60</v>
      </c>
    </row>
    <row r="22" customFormat="false" ht="15" hidden="false" customHeight="false" outlineLevel="0" collapsed="false">
      <c r="A22" s="0" t="s">
        <v>61</v>
      </c>
      <c r="B22" s="3" t="n">
        <f aca="false">B21-Sources!B16</f>
        <v>0</v>
      </c>
      <c r="C22" s="3"/>
      <c r="D22" s="3"/>
      <c r="E22" s="3"/>
      <c r="F22" s="4" t="s">
        <v>62</v>
      </c>
    </row>
    <row r="23" customFormat="false" ht="15" hidden="false" customHeight="false" outlineLevel="0" collapsed="false">
      <c r="B23" s="3"/>
      <c r="C23" s="3"/>
      <c r="D23" s="3"/>
      <c r="E23" s="3"/>
    </row>
    <row r="24" customFormat="false" ht="15" hidden="false" customHeight="false" outlineLevel="0" collapsed="false">
      <c r="A24" s="2" t="s">
        <v>63</v>
      </c>
      <c r="B24" s="6" t="s">
        <v>64</v>
      </c>
      <c r="C24" s="6" t="s">
        <v>65</v>
      </c>
      <c r="D24" s="6"/>
      <c r="E24" s="6"/>
      <c r="F24" s="2" t="s">
        <v>66</v>
      </c>
    </row>
    <row r="25" customFormat="false" ht="15" hidden="false" customHeight="false" outlineLevel="0" collapsed="false">
      <c r="A25" s="0" t="s">
        <v>67</v>
      </c>
      <c r="B25" s="3" t="n">
        <f aca="false">SUM(Sources!B11:D11)</f>
        <v>196945</v>
      </c>
      <c r="C25" s="3" t="n">
        <f aca="false">SUM(Sources!B12:D12)</f>
        <v>172703</v>
      </c>
      <c r="D25" s="3"/>
      <c r="E25" s="3"/>
      <c r="F25" s="4" t="s">
        <v>68</v>
      </c>
    </row>
    <row r="26" customFormat="false" ht="15" hidden="false" customHeight="false" outlineLevel="0" collapsed="false">
      <c r="A26" s="0" t="s">
        <v>69</v>
      </c>
      <c r="B26" s="3" t="n">
        <f aca="false">ROUND(B25*$B$11,0)</f>
        <v>20840</v>
      </c>
      <c r="C26" s="3" t="n">
        <f aca="false">ROUND(C25*$B$11,0)</f>
        <v>18274</v>
      </c>
      <c r="D26" s="3"/>
      <c r="E26" s="3"/>
      <c r="F26" s="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0" t="s">
        <v>71</v>
      </c>
    </row>
    <row r="2" customFormat="false" ht="15" hidden="false" customHeight="false" outlineLevel="0" collapsed="false">
      <c r="A2" s="0" t="s">
        <v>72</v>
      </c>
    </row>
    <row r="3" customFormat="false" ht="15" hidden="false" customHeight="false" outlineLevel="0" collapsed="false">
      <c r="A3" s="0" t="s">
        <v>73</v>
      </c>
    </row>
    <row r="4" customFormat="false" ht="15" hidden="false" customHeight="false" outlineLevel="0" collapsed="false">
      <c r="A4" s="0" t="s">
        <v>74</v>
      </c>
    </row>
    <row r="5" customFormat="false" ht="15" hidden="false" customHeight="false" outlineLevel="0" collapsed="false">
      <c r="A5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2026-10-27T09:25:23Z</dcterms:created>
  <dc:creator>openpyxl</dc:creator>
  <dc:description/>
  <dc:language>en-US</dc:language>
  <cp:lastModifiedBy/>
  <dcterms:modified xsi:type="dcterms:W3CDTF">2026-10-27T09:25:23Z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