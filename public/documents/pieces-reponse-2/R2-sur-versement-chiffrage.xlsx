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" sheetId="1" state="visible" r:id="rId1"/>
    <sheet xmlns:r="http://schemas.openxmlformats.org/officeDocument/2006/relationships" name="Calcul" sheetId="2" state="visible" r:id="rId2"/>
    <sheet xmlns:r="http://schemas.openxmlformats.org/officeDocument/2006/relationships" name="Conversion EUR" sheetId="3" state="visible" r:id="rId3"/>
    <sheet xmlns:r="http://schemas.openxmlformats.org/officeDocument/2006/relationships" name="Métho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 €"/>
    <numFmt numFmtId="166" formatCode="#,##0 €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2" fontId="1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1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58" customWidth="1" min="1" max="1"/>
    <col width="42" customWidth="1" min="2" max="2"/>
    <col width="20" customWidth="1" min="3" max="3"/>
    <col width="20" customWidth="1" min="4" max="4"/>
  </cols>
  <sheetData>
    <row r="1">
      <c r="A1" s="1" t="inlineStr">
        <is>
          <t>SOURCES PRIMAIRES — pièce R2-sur-versement-chiffrage</t>
        </is>
      </c>
    </row>
    <row r="3"/>
    <row r="4">
      <c r="A4" t="inlineStr">
        <is>
          <t>1. Volumes versés à la main par exercice (L)</t>
        </is>
      </c>
      <c r="B4" t="inlineStr">
        <is>
          <t>source : R1-sur-versement-fourchette.xlsx, onglet « Regimes de service » (dérivé de ANNEXE-C/D des ventes caisse)</t>
        </is>
      </c>
    </row>
    <row r="5">
      <c r="A5" t="inlineStr">
        <is>
          <t>Exercice</t>
        </is>
      </c>
      <c r="B5" t="inlineStr">
        <is>
          <t>Vin au verre (L)</t>
        </is>
      </c>
      <c r="C5" t="inlineStr">
        <is>
          <t>Cocktails alcool (L)</t>
        </is>
      </c>
      <c r="D5" t="inlineStr">
        <is>
          <t>Spiritueux/apéritifs verre (L)</t>
        </is>
      </c>
    </row>
    <row r="6">
      <c r="A6" t="inlineStr">
        <is>
          <t>2022-2023</t>
        </is>
      </c>
      <c r="B6" t="n">
        <v>371.77</v>
      </c>
      <c r="C6" t="n">
        <v>169.57</v>
      </c>
      <c r="D6" t="n">
        <v>22.58</v>
      </c>
    </row>
    <row r="7">
      <c r="A7" t="inlineStr">
        <is>
          <t>2023-2024</t>
        </is>
      </c>
      <c r="B7" t="n">
        <v>368.45</v>
      </c>
      <c r="C7" t="n">
        <v>178.08</v>
      </c>
      <c r="D7" t="n">
        <v>21.72</v>
      </c>
    </row>
    <row r="8">
      <c r="A8" t="inlineStr">
        <is>
          <t>2024-2025</t>
        </is>
      </c>
      <c r="B8" t="n">
        <v>379.69</v>
      </c>
      <c r="C8" t="n">
        <v>169.07</v>
      </c>
      <c r="D8" t="n">
        <v>18.39</v>
      </c>
    </row>
    <row r="9"/>
    <row r="10">
      <c r="A10" t="inlineStr">
        <is>
          <t>2. Taux de la littérature (bornes documentées, lecture basse retenue)</t>
        </is>
      </c>
    </row>
    <row r="11">
      <c r="A11" t="inlineStr">
        <is>
          <t>Vin au verre : Kerr 2008, volume moyen mesuré 6,18 oz = 18,28 cl ; rapporté à la dose de carte de 15 cl</t>
        </is>
      </c>
      <c r="B11">
        <f> 18,28 / 15</f>
        <v/>
      </c>
    </row>
    <row r="12">
      <c r="A12" t="inlineStr">
        <is>
          <t>Cocktails : Kerr 2008, 0,85 oz d'éthanol mesuré / 0,60 oz de référence</t>
        </is>
      </c>
      <c r="B12">
        <f> 0,85 / 0,60</f>
        <v/>
      </c>
    </row>
    <row r="13">
      <c r="A13" t="inlineStr">
        <is>
          <t>Spiritueux secs : Kerr 2008, 61 doses mesurées 1,51 oz / 1,50 oz de référence</t>
        </is>
      </c>
      <c r="B13">
        <f> 1,51 / 1,50</f>
        <v/>
      </c>
    </row>
    <row r="14"/>
    <row r="15">
      <c r="A15" t="inlineStr">
        <is>
          <t>3. Prix de vente du verre de vin — ANNEXE-B1 (tickets 2022-2023)</t>
        </is>
      </c>
      <c r="B15" t="inlineStr">
        <is>
          <t>agrégat des lignes dont le libellé porte « verre » de vin</t>
        </is>
      </c>
    </row>
    <row r="16">
      <c r="A16" t="inlineStr">
        <is>
          <t>Quantité de verres (unités)</t>
        </is>
      </c>
      <c r="B16" t="inlineStr">
        <is>
          <t>Recette TTC (€)</t>
        </is>
      </c>
    </row>
    <row r="17">
      <c r="A17" t="n">
        <v>1533.7</v>
      </c>
      <c r="B17" t="n">
        <v>10308.42</v>
      </c>
    </row>
    <row r="18"/>
    <row r="19">
      <c r="A19" t="inlineStr">
        <is>
          <t>4. Coefficient CA solides / CA liquides (digest 06, récapitulation par exercice)</t>
        </is>
      </c>
    </row>
    <row r="20">
      <c r="A20" t="inlineStr">
        <is>
          <t>2022-2023</t>
        </is>
      </c>
      <c r="B20" t="n">
        <v>2.94</v>
      </c>
    </row>
    <row r="21">
      <c r="A21" t="inlineStr">
        <is>
          <t>2023-2024</t>
        </is>
      </c>
      <c r="B21" t="n">
        <v>3.02</v>
      </c>
    </row>
    <row r="22">
      <c r="A22" t="inlineStr">
        <is>
          <t>2024-2025</t>
        </is>
      </c>
      <c r="B22" t="n">
        <v>3.1</v>
      </c>
    </row>
    <row r="23"/>
    <row r="24">
      <c r="A24" t="inlineStr">
        <is>
          <t>5. Abattements appliqués par le service avant coefficient (digest 06, §IV)</t>
        </is>
      </c>
      <c r="B24" t="inlineStr">
        <is>
          <t>remise 5% + pertes 5% + conso personnel 5% = 15% ; facteur résiduel 0,85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3" customWidth="1" min="2" max="2"/>
    <col width="13" customWidth="1" min="3" max="3"/>
    <col width="13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2" t="inlineStr">
        <is>
          <t>Exercice</t>
        </is>
      </c>
      <c r="B1" s="2" t="inlineStr">
        <is>
          <t>Vin verre vendu (L)</t>
        </is>
      </c>
      <c r="C1" s="2" t="inlineStr">
        <is>
          <t>Cocktails (L)</t>
        </is>
      </c>
      <c r="D1" s="2" t="inlineStr">
        <is>
          <t>Spiritueux (L)</t>
        </is>
      </c>
      <c r="E1" s="2" t="inlineStr">
        <is>
          <t>Taux verre</t>
        </is>
      </c>
      <c r="F1" s="2" t="inlineStr">
        <is>
          <t>Taux cockt.</t>
        </is>
      </c>
      <c r="G1" s="2" t="inlineStr">
        <is>
          <t>Taux spir.</t>
        </is>
      </c>
      <c r="H1" s="2" t="inlineStr">
        <is>
          <t>SV verre (L)</t>
        </is>
      </c>
      <c r="I1" s="2" t="inlineStr">
        <is>
          <t>SV cockt. (L)</t>
        </is>
      </c>
      <c r="J1" s="2" t="inlineStr">
        <is>
          <t>SV spir. (L)</t>
        </is>
      </c>
      <c r="K1" s="2" t="inlineStr">
        <is>
          <t>SV total (L)</t>
        </is>
      </c>
    </row>
    <row r="2">
      <c r="A2" t="inlineStr">
        <is>
          <t>2022-2023</t>
        </is>
      </c>
      <c r="B2" s="3">
        <f>Sources!B6</f>
        <v/>
      </c>
      <c r="C2" s="3">
        <f>Sources!C6</f>
        <v/>
      </c>
      <c r="D2" s="3">
        <f>Sources!D6</f>
        <v/>
      </c>
      <c r="E2" s="4">
        <f>18.28/15-1</f>
        <v/>
      </c>
      <c r="F2" s="4">
        <f>0.85/0.6-1</f>
        <v/>
      </c>
      <c r="G2" s="4">
        <f>1.51/1.5-1</f>
        <v/>
      </c>
      <c r="H2" s="3">
        <f>B2*E2</f>
        <v/>
      </c>
      <c r="I2" s="3">
        <f>C2*F2</f>
        <v/>
      </c>
      <c r="J2" s="3">
        <f>D2*G2</f>
        <v/>
      </c>
      <c r="K2" s="3">
        <f>H2+I2+J2</f>
        <v/>
      </c>
    </row>
    <row r="3">
      <c r="A3" t="inlineStr">
        <is>
          <t>2023-2024</t>
        </is>
      </c>
      <c r="B3" s="3">
        <f>Sources!B7</f>
        <v/>
      </c>
      <c r="C3" s="3">
        <f>Sources!C7</f>
        <v/>
      </c>
      <c r="D3" s="3">
        <f>Sources!D7</f>
        <v/>
      </c>
      <c r="E3" s="4">
        <f>18.28/15-1</f>
        <v/>
      </c>
      <c r="F3" s="4">
        <f>0.85/0.6-1</f>
        <v/>
      </c>
      <c r="G3" s="4">
        <f>1.51/1.5-1</f>
        <v/>
      </c>
      <c r="H3" s="3">
        <f>B3*E3</f>
        <v/>
      </c>
      <c r="I3" s="3">
        <f>C3*F3</f>
        <v/>
      </c>
      <c r="J3" s="3">
        <f>D3*G3</f>
        <v/>
      </c>
      <c r="K3" s="3">
        <f>H3+I3+J3</f>
        <v/>
      </c>
    </row>
    <row r="4">
      <c r="A4" t="inlineStr">
        <is>
          <t>2024-2025</t>
        </is>
      </c>
      <c r="B4" s="3">
        <f>Sources!B8</f>
        <v/>
      </c>
      <c r="C4" s="3">
        <f>Sources!C8</f>
        <v/>
      </c>
      <c r="D4" s="3">
        <f>Sources!D8</f>
        <v/>
      </c>
      <c r="E4" s="4">
        <f>18.28/15-1</f>
        <v/>
      </c>
      <c r="F4" s="4">
        <f>0.85/0.6-1</f>
        <v/>
      </c>
      <c r="G4" s="4">
        <f>1.51/1.5-1</f>
        <v/>
      </c>
      <c r="H4" s="3">
        <f>B4*E4</f>
        <v/>
      </c>
      <c r="I4" s="3">
        <f>C4*F4</f>
        <v/>
      </c>
      <c r="J4" s="3">
        <f>D4*G4</f>
        <v/>
      </c>
      <c r="K4" s="3">
        <f>H4+I4+J4</f>
        <v/>
      </c>
    </row>
    <row r="5">
      <c r="A5" s="1" t="inlineStr">
        <is>
          <t>TOTAL 3 exercices</t>
        </is>
      </c>
      <c r="B5" s="5">
        <f>SUM(B2:B4)</f>
        <v/>
      </c>
      <c r="C5" s="5">
        <f>SUM(C2:C4)</f>
        <v/>
      </c>
      <c r="D5" s="5">
        <f>SUM(D2:D4)</f>
        <v/>
      </c>
      <c r="E5" s="4">
        <f>E2</f>
        <v/>
      </c>
      <c r="F5" s="4">
        <f>F2</f>
        <v/>
      </c>
      <c r="G5" s="4">
        <f>G2</f>
        <v/>
      </c>
      <c r="H5" s="5">
        <f>SUM(H2:H4)</f>
        <v/>
      </c>
      <c r="I5" s="5">
        <f>SUM(I2:I4)</f>
        <v/>
      </c>
      <c r="J5" s="5">
        <f>SUM(J2:J4)</f>
        <v/>
      </c>
      <c r="K5" s="5">
        <f>SUM(K2:K4)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" t="inlineStr">
        <is>
          <t>Exercice</t>
        </is>
      </c>
      <c r="B1" s="2" t="inlineStr">
        <is>
          <t>SV vin verre (L)</t>
        </is>
      </c>
      <c r="C1" s="2" t="inlineStr">
        <is>
          <t>Dose carte (L)</t>
        </is>
      </c>
      <c r="D1" s="2" t="inlineStr">
        <is>
          <t>Verres indûment reconstitués</t>
        </is>
      </c>
      <c r="E1" s="2" t="inlineStr">
        <is>
          <t>Prix moyen verre (€)</t>
        </is>
      </c>
      <c r="F1" s="2" t="inlineStr">
        <is>
          <t>CA liquides TTC retiré (€)</t>
        </is>
      </c>
      <c r="G1" s="2" t="inlineStr">
        <is>
          <t>Facteur abatt.</t>
        </is>
      </c>
      <c r="H1" s="2" t="inlineStr">
        <is>
          <t>Coef. solides</t>
        </is>
      </c>
      <c r="I1" s="2" t="inlineStr">
        <is>
          <t>CA total reconstitué en trop (€)</t>
        </is>
      </c>
    </row>
    <row r="2">
      <c r="A2" t="inlineStr">
        <is>
          <t>2022-2023</t>
        </is>
      </c>
      <c r="B2">
        <f>Calcul!H2</f>
        <v/>
      </c>
      <c r="C2" t="n">
        <v>0.15</v>
      </c>
      <c r="D2">
        <f>B2/C2</f>
        <v/>
      </c>
      <c r="E2" s="9">
        <f>Sources!B17/Sources!A17</f>
        <v/>
      </c>
      <c r="F2" s="10">
        <f>D2*E2</f>
        <v/>
      </c>
      <c r="G2" t="n">
        <v>0.85</v>
      </c>
      <c r="H2">
        <f>Sources!B20</f>
        <v/>
      </c>
      <c r="I2" s="10">
        <f>F2*G2*(1+H2)</f>
        <v/>
      </c>
    </row>
    <row r="3">
      <c r="A3" t="inlineStr">
        <is>
          <t>2023-2024</t>
        </is>
      </c>
      <c r="B3">
        <f>Calcul!H3</f>
        <v/>
      </c>
      <c r="C3" t="n">
        <v>0.15</v>
      </c>
      <c r="D3">
        <f>B3/C3</f>
        <v/>
      </c>
      <c r="E3" s="9">
        <f>Sources!B17/Sources!A17</f>
        <v/>
      </c>
      <c r="F3" s="10">
        <f>D3*E3</f>
        <v/>
      </c>
      <c r="G3" t="n">
        <v>0.85</v>
      </c>
      <c r="H3">
        <f>Sources!B21</f>
        <v/>
      </c>
      <c r="I3" s="10">
        <f>F3*G3*(1+H3)</f>
        <v/>
      </c>
    </row>
    <row r="4">
      <c r="A4" t="inlineStr">
        <is>
          <t>2024-2025</t>
        </is>
      </c>
      <c r="B4">
        <f>Calcul!H4</f>
        <v/>
      </c>
      <c r="C4" t="n">
        <v>0.15</v>
      </c>
      <c r="D4">
        <f>B4/C4</f>
        <v/>
      </c>
      <c r="E4" s="9">
        <f>Sources!B17/Sources!A17</f>
        <v/>
      </c>
      <c r="F4" s="10">
        <f>D4*E4</f>
        <v/>
      </c>
      <c r="G4" t="n">
        <v>0.85</v>
      </c>
      <c r="H4">
        <f>Sources!B22</f>
        <v/>
      </c>
      <c r="I4" s="10">
        <f>F4*G4*(1+H4)</f>
        <v/>
      </c>
    </row>
    <row r="5">
      <c r="A5" s="1" t="inlineStr">
        <is>
          <t>TOTAL 3 exercices</t>
        </is>
      </c>
      <c r="B5" s="1">
        <f>SUM(B2:B4)</f>
        <v/>
      </c>
      <c r="D5" s="1">
        <f>SUM(D2:D4)</f>
        <v/>
      </c>
      <c r="E5" s="9" t="n"/>
      <c r="F5" s="11">
        <f>SUM(F2:F4)</f>
        <v/>
      </c>
      <c r="I5" s="11">
        <f>SUM(I2:I4)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MÉTHODE — d'où vient chaque chiffre</t>
        </is>
      </c>
    </row>
    <row r="2"/>
    <row r="3">
      <c r="A3" t="inlineStr">
        <is>
          <t>Onglet Calcul :</t>
        </is>
      </c>
    </row>
    <row r="4">
      <c r="A4" t="inlineStr">
        <is>
          <t>• Colonnes B,C,D : volumes versés à la main par régime et par exercice, repris de Sources (R1-sur-versement-fourchette).</t>
        </is>
      </c>
    </row>
    <row r="5">
      <c r="A5" t="inlineStr">
        <is>
          <t>• Taux verre = 18,28/15 − 1 = +21,9 %. Kerr 2008 a MESURÉ un volume moyen de 6,18 oz = 18,28 cl ;</t>
        </is>
      </c>
    </row>
    <row r="6">
      <c r="A6" t="inlineStr">
        <is>
          <t xml:space="preserve">   rapporté à la dose de carte de 15 cl, le dépassement réel est +21,9 %, et NON +23,6 % (taux de Kerr</t>
        </is>
      </c>
    </row>
    <row r="7">
      <c r="A7" t="inlineStr">
        <is>
          <t xml:space="preserve">   contre un standard US de 5 oz = 14,79 cl). Appliquer +23,6 % à 15 cl donnerait 18,54 cl, soit plus que</t>
        </is>
      </c>
    </row>
    <row r="8">
      <c r="A8" t="inlineStr">
        <is>
          <t xml:space="preserve">   le volume que l'étude a observé : erreur de base corrigée ici.</t>
        </is>
      </c>
    </row>
    <row r="9">
      <c r="A9" t="inlineStr">
        <is>
          <t>• Taux cocktails = 0,85/0,60 − 1 = +41,7 % (arrondi +42 % dans le mémoire). Éthanol mesuré par Kerr.</t>
        </is>
      </c>
    </row>
    <row r="10">
      <c r="A10" t="inlineStr">
        <is>
          <t>• Taux spiritueux = 1,51/1,50 − 1 = +0,7 %. Kerr a mesuré 61 doses de spiritueux secs à 1,51 oz pour</t>
        </is>
      </c>
    </row>
    <row r="11">
      <c r="A11" t="inlineStr">
        <is>
          <t xml:space="preserve">   1,50 de référence (« the only drink subtype to conform to the standard pour »). Le +20 % antérieur,</t>
        </is>
      </c>
    </row>
    <row r="12">
      <c r="A12" t="inlineStr">
        <is>
          <t xml:space="preserve">   tiré de Wansink, était contredit par cette mesure de terrain : corrigé à +0,7 %. Poste devenu négligeable.</t>
        </is>
      </c>
    </row>
    <row r="13">
      <c r="A13" t="inlineStr">
        <is>
          <t>• SV (sur-versement) = volume × taux. SV total 3 exercices = 460,6 L.</t>
        </is>
      </c>
    </row>
    <row r="14"/>
    <row r="15">
      <c r="A15" t="inlineStr">
        <is>
          <t>Onglet Conversion EUR :</t>
        </is>
      </c>
    </row>
    <row r="16">
      <c r="A16" t="inlineStr">
        <is>
          <t>• Verres indûment reconstitués = sur-versement vin / 0,15 L. Le service divise le volume disponible par</t>
        </is>
      </c>
    </row>
    <row r="17">
      <c r="A17" t="inlineStr">
        <is>
          <t xml:space="preserve">   une dose de 15 cl ; le sur-versement est le volume en trop, donc autant de verres comptés en trop.</t>
        </is>
      </c>
    </row>
    <row r="18">
      <c r="A18" t="inlineStr">
        <is>
          <t>• Prix moyen du verre de vin = 10 308,42 € / 1 533,7 verres = 6,72 € TTC (ANNEXE-B1, tickets 2022-2023,</t>
        </is>
      </c>
    </row>
    <row r="19">
      <c r="A19" t="inlineStr">
        <is>
          <t xml:space="preserve">   agrégat des lignes « verre » de vin). Prix conservateur (tiré vers le bas par les verres génériques).</t>
        </is>
      </c>
    </row>
    <row r="20">
      <c r="A20" t="inlineStr">
        <is>
          <t>• CA liquides TTC retiré = verres × prix. C'est le CA de liquides indûment reconstitué par le service.</t>
        </is>
      </c>
    </row>
    <row r="21">
      <c r="A21" t="inlineStr">
        <is>
          <t>• CA total reconstitué en trop = CA liquides × 0,85 (après abattements 15 %) × (1 + coefficient),</t>
        </is>
      </c>
    </row>
    <row r="22">
      <c r="A22" t="inlineStr">
        <is>
          <t xml:space="preserve">   le coefficient (2,94 / 3,02 / 3,10) transformant le CA liquides en CA solides (digest 06).</t>
        </is>
      </c>
    </row>
    <row r="23"/>
    <row r="24">
      <c r="A24" t="inlineStr">
        <is>
          <t>LIMITES :</t>
        </is>
      </c>
    </row>
    <row r="25">
      <c r="A25" t="inlineStr">
        <is>
          <t>• ANNEXE-B n'existe que pour 2022-2023. Le prix 2022-2023 est appliqué par convention aux deux autres</t>
        </is>
      </c>
    </row>
    <row r="26">
      <c r="A26" t="inlineStr">
        <is>
          <t xml:space="preserve">   exercices : chiffre à confirmer par la production des ANNEXES-B 2023-2024 et 2024-2025.</t>
        </is>
      </c>
    </row>
    <row r="27">
      <c r="A27" t="inlineStr">
        <is>
          <t>• Seul le poste vin au verre est converti en euros (prix par verre sourçable). Le poste cocktails (215 L)</t>
        </is>
      </c>
    </row>
    <row r="28">
      <c r="A28" t="inlineStr">
        <is>
          <t xml:space="preserve">   n'est pas converti faute de recette et de prix par cocktail sourçables sur les pièces.</t>
        </is>
      </c>
    </row>
    <row r="29">
      <c r="A29" t="inlineStr">
        <is>
          <t>• Les taux proviennent d'études étrangères ; aucune mesure de dose n'a été faite sur place.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2026-10-25T19:09:58Z</dcterms:created>
  <dcterms:modified xmlns:dcterms="http://purl.org/dc/terms/" xmlns:xsi="http://www.w3.org/2001/XMLSchema-instance" xsi:type="dcterms:W3CDTF">2026-10-25T19:10:27Z</dcterms:modified>
</cp:coreProperties>
</file>