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ources" sheetId="1" state="visible" r:id="rId3"/>
    <sheet name="Calcul" sheetId="2" state="visible" r:id="rId4"/>
    <sheet name="Conversion EUR" sheetId="3" state="visible" r:id="rId5"/>
    <sheet name="Méthod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<sst xmlns="http://schemas.openxmlformats.org/spreadsheetml/2006/main" count="78" uniqueCount="66">
  <si>
    <t xml:space="preserve">SOURCES PRIMAIRES — pièce R2-sur-versement-chiffrage</t>
  </si>
  <si>
    <t xml:space="preserve">1. Volumes versés à la main par exercice (L)</t>
  </si>
  <si>
    <t xml:space="preserve">source : R1-sur-versement-fourchette.xlsx, onglet « Regimes de service » (dérivé de ANNEXE-C/D des ventes caisse)</t>
  </si>
  <si>
    <t xml:space="preserve">Exercice</t>
  </si>
  <si>
    <t xml:space="preserve">Vin au verre (L)</t>
  </si>
  <si>
    <t xml:space="preserve">Cocktails alcool (L)</t>
  </si>
  <si>
    <t xml:space="preserve">Spiritueux/apéritifs verre (L)</t>
  </si>
  <si>
    <t xml:space="preserve">2022-2023</t>
  </si>
  <si>
    <t xml:space="preserve">2023-2024</t>
  </si>
  <si>
    <t xml:space="preserve">2024-2025</t>
  </si>
  <si>
    <t xml:space="preserve">2. Taux de la littérature (bornes documentées, lecture basse retenue)</t>
  </si>
  <si>
    <t xml:space="preserve">Vin au verre : Kerr 2008, volume moyen mesuré 6,18 oz = 18,28 cl ; rapporté à la dose de carte de 15 cl</t>
  </si>
  <si>
    <t xml:space="preserve">Cocktails : Kerr 2008, 0,85 oz d'éthanol mesuré / 0,60 oz de référence</t>
  </si>
  <si>
    <t xml:space="preserve">Spiritueux secs : Kerr 2008, 61 doses mesurées 1,51 oz / 1,50 oz de référence</t>
  </si>
  <si>
    <t xml:space="preserve">3. Prix de vente du verre de vin — ANNEXE-B1 (tickets 2022-2023)</t>
  </si>
  <si>
    <t xml:space="preserve">agrégat des lignes dont le libellé porte « verre » de vin</t>
  </si>
  <si>
    <t xml:space="preserve">Quantité de verres (unités)</t>
  </si>
  <si>
    <t xml:space="preserve">Recette TTC (€)</t>
  </si>
  <si>
    <t xml:space="preserve">4. Coefficient CA solides / CA liquides (digest 06, récapitulation par exercice)</t>
  </si>
  <si>
    <t xml:space="preserve">5. Abattements appliqués par le service avant coefficient (digest 06, §IV)</t>
  </si>
  <si>
    <t xml:space="preserve">remise 5% + pertes 5% + conso personnel 5% = 15% ; facteur résiduel 0,85</t>
  </si>
  <si>
    <t xml:space="preserve">Vin verre vendu (L)</t>
  </si>
  <si>
    <t xml:space="preserve">Cocktails (L)</t>
  </si>
  <si>
    <t xml:space="preserve">Spiritueux (L)</t>
  </si>
  <si>
    <t xml:space="preserve">Taux verre</t>
  </si>
  <si>
    <t xml:space="preserve">Taux cockt.</t>
  </si>
  <si>
    <t xml:space="preserve">Taux spir.</t>
  </si>
  <si>
    <t xml:space="preserve">SV verre (L)</t>
  </si>
  <si>
    <t xml:space="preserve">SV cockt. (L)</t>
  </si>
  <si>
    <t xml:space="preserve">SV spir. (L)</t>
  </si>
  <si>
    <t xml:space="preserve">SV total (L)</t>
  </si>
  <si>
    <t xml:space="preserve">TOTAL 3 exercices</t>
  </si>
  <si>
    <t xml:space="preserve">SV vin verre (L)</t>
  </si>
  <si>
    <t xml:space="preserve">Dose carte (L)</t>
  </si>
  <si>
    <t xml:space="preserve">Verres indûment reconstitués</t>
  </si>
  <si>
    <t xml:space="preserve">Prix moyen verre (€)</t>
  </si>
  <si>
    <t xml:space="preserve">CA liquides TTC retiré (€)</t>
  </si>
  <si>
    <t xml:space="preserve">Facteur abatt.</t>
  </si>
  <si>
    <t xml:space="preserve">Coef. solides</t>
  </si>
  <si>
    <t xml:space="preserve">CA total reconstitué en trop (€)</t>
  </si>
  <si>
    <t xml:space="preserve">MÉTHODE — d'où vient chaque chiffre</t>
  </si>
  <si>
    <t xml:space="preserve">Onglet Calcul :</t>
  </si>
  <si>
    <t xml:space="preserve">• Colonnes B,C,D : volumes versés à la main par régime et par exercice, repris de Sources (R1-sur-versement-fourchette).</t>
  </si>
  <si>
    <t xml:space="preserve">• Taux verre = 18,28/15 − 1 = +21,9 %. Kerr 2008 a MESURÉ un volume moyen de 6,18 oz = 18,28 cl ;</t>
  </si>
  <si>
    <t xml:space="preserve">   rapporté à la dose de carte de 15 cl, le dépassement réel est +21,9 %, et NON +23,6 % (taux de Kerr</t>
  </si>
  <si>
    <t xml:space="preserve">   contre un standard US de 5 oz = 14,79 cl). Appliquer +23,6 % à 15 cl donnerait 18,54 cl, soit plus que</t>
  </si>
  <si>
    <t xml:space="preserve">   le volume que l'étude a observé : erreur de base corrigée ici.</t>
  </si>
  <si>
    <t xml:space="preserve">• Taux cocktails = 0,85/0,60 − 1 = +41,7 % (arrondi +42 % dans le mémoire). Éthanol mesuré par Kerr.</t>
  </si>
  <si>
    <t xml:space="preserve">• Taux spiritueux = 1,51/1,50 − 1 = +0,7 %. Kerr a mesuré 61 doses de spiritueux secs à 1,51 oz pour</t>
  </si>
  <si>
    <t xml:space="preserve">   1,50 de référence (« the only drink subtype to conform to the standard pour »). Le +20 % antérieur,</t>
  </si>
  <si>
    <t xml:space="preserve">   tiré de Wansink, était contredit par cette mesure de terrain : corrigé à +0,7 %. Poste devenu négligeable.</t>
  </si>
  <si>
    <t xml:space="preserve">• SV (sur-versement) = volume × taux. SV total 3 exercices = 460,6 L.</t>
  </si>
  <si>
    <t xml:space="preserve">Onglet Conversion EUR :</t>
  </si>
  <si>
    <t xml:space="preserve">• Verres indûment reconstitués = sur-versement vin / 0,15 L. Le service divise le volume disponible par</t>
  </si>
  <si>
    <t xml:space="preserve">   une dose de 15 cl ; le sur-versement est le volume en trop, donc autant de verres comptés en trop.</t>
  </si>
  <si>
    <t xml:space="preserve">• Prix moyen du verre de vin = 10 308,42 € / 1 533,7 verres = 6,72 € TTC (ANNEXE-B1, tickets 2022-2023,</t>
  </si>
  <si>
    <t xml:space="preserve">   agrégat des lignes « verre » de vin). Prix conservateur (tiré vers le bas par les verres génériques).</t>
  </si>
  <si>
    <t xml:space="preserve">• CA liquides TTC retiré = verres × prix. C'est le CA de liquides indûment reconstitué par le service.</t>
  </si>
  <si>
    <t xml:space="preserve">• CA total reconstitué en trop = CA liquides × 0,85 (après abattements 15 %) × (1 + coefficient),</t>
  </si>
  <si>
    <t xml:space="preserve">   le coefficient (2,94 / 3,02 / 3,10) transformant le CA liquides en CA solides (digest 06).</t>
  </si>
  <si>
    <t xml:space="preserve">LIMITES :</t>
  </si>
  <si>
    <t xml:space="preserve">• Le prix 2022-2023 (ANNEXE-B1) est appliqué par convention aux deux autres exercices. Contrôle sur les ANNEXES-B2 et B3</t>
  </si>
  <si>
    <t xml:space="preserve">   (mêmes libellés « verre », colonne Prix TTC x Qté) : 6,62 € (10 339,12 / 1 561,07) et 6,68 € (10 527,32 / 1 576,75) ; écart total -0,7 %.</t>
  </si>
  <si>
    <t xml:space="preserve">• Seul le poste vin au verre est converti en euros (prix par verre sourçable). Le poste cocktails (215 L)</t>
  </si>
  <si>
    <t xml:space="preserve">   n'est pas converti faute de recette et de prix par cocktail sourçables sur les pièces.</t>
  </si>
  <si>
    <t xml:space="preserve">• Les taux proviennent d'études étrangères ; aucune mesure de dose n'a été faite sur place.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</si>
</sst>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"/>
    <numFmt numFmtId="166" formatCode="0.0%"/>
    <numFmt numFmtId="167" formatCode="0.00&quot; €&quot;"/>
    <numFmt numFmtId="168" formatCode="#,##0&quot; €&quot;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6F6B"/>
        <bgColor rgb="FF0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6B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8"/>
    <col collapsed="false" customWidth="true" hidden="false" outlineLevel="0" max="2" min="2" style="1" width="42"/>
    <col collapsed="false" customWidth="true" hidden="false" outlineLevel="0" max="4" min="3" style="1" width="20"/>
  </cols>
  <sheetData>
    <row r="1" customFormat="false" ht="15" hidden="false" customHeight="true" outlineLevel="0" collapsed="false">
      <c r="A1" s="2" t="s">
        <v>0</v>
      </c>
    </row>
    <row r="4" customFormat="false" ht="15" hidden="false" customHeight="true" outlineLevel="0" collapsed="false">
      <c r="A4" s="1" t="s">
        <v>1</v>
      </c>
      <c r="B4" s="1" t="s">
        <v>2</v>
      </c>
    </row>
    <row r="5" customFormat="false" ht="15" hidden="false" customHeight="true" outlineLevel="0" collapsed="false">
      <c r="A5" s="1" t="s">
        <v>3</v>
      </c>
      <c r="B5" s="1" t="s">
        <v>4</v>
      </c>
      <c r="C5" s="1" t="s">
        <v>5</v>
      </c>
      <c r="D5" s="1" t="s">
        <v>6</v>
      </c>
    </row>
    <row r="6" customFormat="false" ht="15" hidden="false" customHeight="true" outlineLevel="0" collapsed="false">
      <c r="A6" s="1" t="s">
        <v>7</v>
      </c>
      <c r="B6" s="1" t="n">
        <v>371.77</v>
      </c>
      <c r="C6" s="1" t="n">
        <v>169.57</v>
      </c>
      <c r="D6" s="1" t="n">
        <v>22.58</v>
      </c>
    </row>
    <row r="7" customFormat="false" ht="15" hidden="false" customHeight="true" outlineLevel="0" collapsed="false">
      <c r="A7" s="1" t="s">
        <v>8</v>
      </c>
      <c r="B7" s="1" t="n">
        <v>368.45</v>
      </c>
      <c r="C7" s="1" t="n">
        <v>178.08</v>
      </c>
      <c r="D7" s="1" t="n">
        <v>21.72</v>
      </c>
    </row>
    <row r="8" customFormat="false" ht="15" hidden="false" customHeight="true" outlineLevel="0" collapsed="false">
      <c r="A8" s="1" t="s">
        <v>9</v>
      </c>
      <c r="B8" s="1" t="n">
        <v>379.69</v>
      </c>
      <c r="C8" s="1" t="n">
        <v>169.07</v>
      </c>
      <c r="D8" s="1" t="n">
        <v>18.39</v>
      </c>
    </row>
    <row r="10" customFormat="false" ht="15" hidden="false" customHeight="true" outlineLevel="0" collapsed="false">
      <c r="A10" s="1" t="s">
        <v>10</v>
      </c>
    </row>
    <row r="11" customFormat="false" ht="15" hidden="false" customHeight="true" outlineLevel="0" collapsed="false">
      <c r="A11" s="1" t="s">
        <v>11</v>
      </c>
      <c r="B11" s="1" t="e">
        <f aca="false">18,28 / 15</f>
        <v>#VALUE!</v>
      </c>
    </row>
    <row r="12" customFormat="false" ht="15" hidden="false" customHeight="true" outlineLevel="0" collapsed="false">
      <c r="A12" s="1" t="s">
        <v>12</v>
      </c>
      <c r="B12" s="1" t="e">
        <f aca="false">0,85 / 0,60</f>
        <v>#VALUE!</v>
      </c>
    </row>
    <row r="13" customFormat="false" ht="15" hidden="false" customHeight="true" outlineLevel="0" collapsed="false">
      <c r="A13" s="1" t="s">
        <v>13</v>
      </c>
      <c r="B13" s="1" t="e">
        <f aca="false">1,51 / 1,50</f>
        <v>#VALUE!</v>
      </c>
    </row>
    <row r="15" customFormat="false" ht="15" hidden="false" customHeight="true" outlineLevel="0" collapsed="false">
      <c r="A15" s="1" t="s">
        <v>14</v>
      </c>
      <c r="B15" s="1" t="s">
        <v>15</v>
      </c>
    </row>
    <row r="16" customFormat="false" ht="15" hidden="false" customHeight="true" outlineLevel="0" collapsed="false">
      <c r="A16" s="1" t="s">
        <v>16</v>
      </c>
      <c r="B16" s="1" t="s">
        <v>17</v>
      </c>
    </row>
    <row r="17" customFormat="false" ht="15" hidden="false" customHeight="true" outlineLevel="0" collapsed="false">
      <c r="A17" s="1" t="n">
        <v>1533.7</v>
      </c>
      <c r="B17" s="1" t="n">
        <v>10308.42</v>
      </c>
    </row>
    <row r="19" customFormat="false" ht="15" hidden="false" customHeight="true" outlineLevel="0" collapsed="false">
      <c r="A19" s="1" t="s">
        <v>18</v>
      </c>
    </row>
    <row r="20" customFormat="false" ht="15" hidden="false" customHeight="true" outlineLevel="0" collapsed="false">
      <c r="A20" s="1" t="s">
        <v>7</v>
      </c>
      <c r="B20" s="1" t="n">
        <v>2.94</v>
      </c>
    </row>
    <row r="21" customFormat="false" ht="15" hidden="false" customHeight="true" outlineLevel="0" collapsed="false">
      <c r="A21" s="1" t="s">
        <v>8</v>
      </c>
      <c r="B21" s="1" t="n">
        <v>3.02</v>
      </c>
    </row>
    <row r="22" customFormat="false" ht="15" hidden="false" customHeight="true" outlineLevel="0" collapsed="false">
      <c r="A22" s="1" t="s">
        <v>9</v>
      </c>
      <c r="B22" s="1" t="n">
        <v>3.1</v>
      </c>
    </row>
    <row r="24" customFormat="false" ht="15" hidden="false" customHeight="true" outlineLevel="0" collapsed="false">
      <c r="A24" s="1" t="s">
        <v>19</v>
      </c>
      <c r="B24" s="1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2" style="1" width="13"/>
    <col collapsed="false" customWidth="true" hidden="false" outlineLevel="0" max="7" min="5" style="1" width="11"/>
    <col collapsed="false" customWidth="true" hidden="false" outlineLevel="0" max="11" min="8" style="1" width="13"/>
  </cols>
  <sheetData>
    <row r="1" customFormat="false" ht="27.75" hidden="false" customHeight="true" outlineLevel="0" collapsed="false">
      <c r="A1" s="3" t="s">
        <v>3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</row>
    <row r="2" customFormat="false" ht="15" hidden="false" customHeight="true" outlineLevel="0" collapsed="false">
      <c r="A2" s="1" t="s">
        <v>7</v>
      </c>
      <c r="B2" s="4" t="n">
        <f aca="false">Sources!B6</f>
        <v>371.77</v>
      </c>
      <c r="C2" s="4" t="n">
        <f aca="false">Sources!C6</f>
        <v>169.57</v>
      </c>
      <c r="D2" s="4" t="n">
        <f aca="false">Sources!D6</f>
        <v>22.58</v>
      </c>
      <c r="E2" s="5" t="n">
        <f aca="false">18.28/15-1</f>
        <v>0.218666666666667</v>
      </c>
      <c r="F2" s="5" t="n">
        <f aca="false">0.85/0.6-1</f>
        <v>0.416666666666667</v>
      </c>
      <c r="G2" s="5" t="n">
        <f aca="false">1.51/1.5-1</f>
        <v>0.0066666666666666</v>
      </c>
      <c r="H2" s="4" t="n">
        <f aca="false">B2*E2</f>
        <v>81.2937066666667</v>
      </c>
      <c r="I2" s="4" t="n">
        <f aca="false">C2*F2</f>
        <v>70.6541666666667</v>
      </c>
      <c r="J2" s="4" t="n">
        <f aca="false">D2*G2</f>
        <v>0.150533333333332</v>
      </c>
      <c r="K2" s="4" t="n">
        <f aca="false">H2+I2+J2</f>
        <v>152.098406666667</v>
      </c>
    </row>
    <row r="3" customFormat="false" ht="15" hidden="false" customHeight="true" outlineLevel="0" collapsed="false">
      <c r="A3" s="1" t="s">
        <v>8</v>
      </c>
      <c r="B3" s="4" t="n">
        <f aca="false">Sources!B7</f>
        <v>368.45</v>
      </c>
      <c r="C3" s="4" t="n">
        <f aca="false">Sources!C7</f>
        <v>178.08</v>
      </c>
      <c r="D3" s="4" t="n">
        <f aca="false">Sources!D7</f>
        <v>21.72</v>
      </c>
      <c r="E3" s="5" t="n">
        <f aca="false">18.28/15-1</f>
        <v>0.218666666666667</v>
      </c>
      <c r="F3" s="5" t="n">
        <f aca="false">0.85/0.6-1</f>
        <v>0.416666666666667</v>
      </c>
      <c r="G3" s="5" t="n">
        <f aca="false">1.51/1.5-1</f>
        <v>0.0066666666666666</v>
      </c>
      <c r="H3" s="4" t="n">
        <f aca="false">B3*E3</f>
        <v>80.5677333333334</v>
      </c>
      <c r="I3" s="4" t="n">
        <f aca="false">C3*F3</f>
        <v>74.2</v>
      </c>
      <c r="J3" s="4" t="n">
        <f aca="false">D3*G3</f>
        <v>0.144799999999999</v>
      </c>
      <c r="K3" s="4" t="n">
        <f aca="false">H3+I3+J3</f>
        <v>154.912533333333</v>
      </c>
    </row>
    <row r="4" customFormat="false" ht="15" hidden="false" customHeight="true" outlineLevel="0" collapsed="false">
      <c r="A4" s="1" t="s">
        <v>9</v>
      </c>
      <c r="B4" s="4" t="n">
        <f aca="false">Sources!B8</f>
        <v>379.69</v>
      </c>
      <c r="C4" s="4" t="n">
        <f aca="false">Sources!C8</f>
        <v>169.07</v>
      </c>
      <c r="D4" s="4" t="n">
        <f aca="false">Sources!D8</f>
        <v>18.39</v>
      </c>
      <c r="E4" s="5" t="n">
        <f aca="false">18.28/15-1</f>
        <v>0.218666666666667</v>
      </c>
      <c r="F4" s="5" t="n">
        <f aca="false">0.85/0.6-1</f>
        <v>0.416666666666667</v>
      </c>
      <c r="G4" s="5" t="n">
        <f aca="false">1.51/1.5-1</f>
        <v>0.0066666666666666</v>
      </c>
      <c r="H4" s="4" t="n">
        <f aca="false">B4*E4</f>
        <v>83.0255466666667</v>
      </c>
      <c r="I4" s="4" t="n">
        <f aca="false">C4*F4</f>
        <v>70.4458333333333</v>
      </c>
      <c r="J4" s="4" t="n">
        <f aca="false">D4*G4</f>
        <v>0.122599999999999</v>
      </c>
      <c r="K4" s="4" t="n">
        <f aca="false">H4+I4+J4</f>
        <v>153.59398</v>
      </c>
    </row>
    <row r="5" customFormat="false" ht="15" hidden="false" customHeight="true" outlineLevel="0" collapsed="false">
      <c r="A5" s="2" t="s">
        <v>31</v>
      </c>
      <c r="B5" s="6" t="n">
        <f aca="false">SUM(B2:B4)</f>
        <v>1119.91</v>
      </c>
      <c r="C5" s="6" t="n">
        <f aca="false">SUM(C2:C4)</f>
        <v>516.72</v>
      </c>
      <c r="D5" s="6" t="n">
        <f aca="false">SUM(D2:D4)</f>
        <v>62.69</v>
      </c>
      <c r="E5" s="5" t="n">
        <f aca="false">E2</f>
        <v>0.218666666666667</v>
      </c>
      <c r="F5" s="5" t="n">
        <f aca="false">F2</f>
        <v>0.416666666666667</v>
      </c>
      <c r="G5" s="5" t="n">
        <f aca="false">G2</f>
        <v>0.0066666666666666</v>
      </c>
      <c r="H5" s="6" t="n">
        <f aca="false">SUM(H2:H4)</f>
        <v>244.886986666667</v>
      </c>
      <c r="I5" s="6" t="n">
        <f aca="false">SUM(I2:I4)</f>
        <v>215.3</v>
      </c>
      <c r="J5" s="6" t="n">
        <f aca="false">SUM(J2:J4)</f>
        <v>0.417933333333329</v>
      </c>
      <c r="K5" s="6" t="n">
        <f aca="false">SUM(K2:K4)</f>
        <v>460.60492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9" min="2" style="1" width="16"/>
  </cols>
  <sheetData>
    <row r="1" customFormat="false" ht="41.25" hidden="false" customHeight="true" outlineLevel="0" collapsed="false">
      <c r="A1" s="3" t="s">
        <v>3</v>
      </c>
      <c r="B1" s="3" t="s">
        <v>32</v>
      </c>
      <c r="C1" s="3" t="s">
        <v>33</v>
      </c>
      <c r="D1" s="3" t="s">
        <v>34</v>
      </c>
      <c r="E1" s="3" t="s">
        <v>35</v>
      </c>
      <c r="F1" s="3" t="s">
        <v>36</v>
      </c>
      <c r="G1" s="3" t="s">
        <v>37</v>
      </c>
      <c r="H1" s="3" t="s">
        <v>38</v>
      </c>
      <c r="I1" s="3" t="s">
        <v>39</v>
      </c>
    </row>
    <row r="2" customFormat="false" ht="15" hidden="false" customHeight="true" outlineLevel="0" collapsed="false">
      <c r="A2" s="1" t="s">
        <v>7</v>
      </c>
      <c r="B2" s="4" t="n">
        <f aca="false">Calcul!H2</f>
        <v>81.2937066666667</v>
      </c>
      <c r="C2" s="1" t="n">
        <v>0.15</v>
      </c>
      <c r="D2" s="1" t="n">
        <f aca="false">B2/C2</f>
        <v>541.958044444445</v>
      </c>
      <c r="E2" s="7" t="n">
        <f aca="false">Sources!B17/Sources!A17</f>
        <v>6.72127534719958</v>
      </c>
      <c r="F2" s="8" t="n">
        <f aca="false">D2*E2</f>
        <v>3642.64924334094</v>
      </c>
      <c r="G2" s="1" t="n">
        <v>0.85</v>
      </c>
      <c r="H2" s="1" t="n">
        <f aca="false">Sources!B20</f>
        <v>2.94</v>
      </c>
      <c r="I2" s="8" t="n">
        <f aca="false">F2*G2*(1+H2)</f>
        <v>12199.2323159488</v>
      </c>
    </row>
    <row r="3" customFormat="false" ht="15" hidden="false" customHeight="true" outlineLevel="0" collapsed="false">
      <c r="A3" s="1" t="s">
        <v>8</v>
      </c>
      <c r="B3" s="4" t="n">
        <f aca="false">Calcul!H3</f>
        <v>80.5677333333334</v>
      </c>
      <c r="C3" s="1" t="n">
        <v>0.15</v>
      </c>
      <c r="D3" s="1" t="n">
        <f aca="false">B3/C3</f>
        <v>537.118222222223</v>
      </c>
      <c r="E3" s="7" t="n">
        <f aca="false">Sources!B17/Sources!A17</f>
        <v>6.72127534719958</v>
      </c>
      <c r="F3" s="8" t="n">
        <f aca="false">D3*E3</f>
        <v>3610.11946555389</v>
      </c>
      <c r="G3" s="1" t="n">
        <v>0.85</v>
      </c>
      <c r="H3" s="1" t="n">
        <f aca="false">Sources!B21</f>
        <v>3.02</v>
      </c>
      <c r="I3" s="8" t="n">
        <f aca="false">F3*G3*(1+H3)</f>
        <v>12335.7782137976</v>
      </c>
    </row>
    <row r="4" customFormat="false" ht="15" hidden="false" customHeight="true" outlineLevel="0" collapsed="false">
      <c r="A4" s="1" t="s">
        <v>9</v>
      </c>
      <c r="B4" s="4" t="n">
        <f aca="false">Calcul!H4</f>
        <v>83.0255466666667</v>
      </c>
      <c r="C4" s="1" t="n">
        <v>0.15</v>
      </c>
      <c r="D4" s="1" t="n">
        <f aca="false">B4/C4</f>
        <v>553.503644444445</v>
      </c>
      <c r="E4" s="7" t="n">
        <f aca="false">Sources!B17/Sources!A17</f>
        <v>6.72127534719958</v>
      </c>
      <c r="F4" s="8" t="n">
        <f aca="false">D4*E4</f>
        <v>3720.25039998957</v>
      </c>
      <c r="G4" s="1" t="n">
        <v>0.85</v>
      </c>
      <c r="H4" s="1" t="n">
        <f aca="false">Sources!B22</f>
        <v>3.1</v>
      </c>
      <c r="I4" s="8" t="n">
        <f aca="false">F4*G4*(1+H4)</f>
        <v>12965.0726439637</v>
      </c>
    </row>
    <row r="5" customFormat="false" ht="15" hidden="false" customHeight="true" outlineLevel="0" collapsed="false">
      <c r="A5" s="2" t="s">
        <v>31</v>
      </c>
      <c r="B5" s="2" t="n">
        <f aca="false">SUM(B2:B4)</f>
        <v>244.886986666667</v>
      </c>
      <c r="D5" s="2" t="n">
        <f aca="false">SUM(D2:D4)</f>
        <v>1632.57991111111</v>
      </c>
      <c r="E5" s="7"/>
      <c r="F5" s="9" t="n">
        <f aca="false">SUM(F2:F4)</f>
        <v>10973.0191088844</v>
      </c>
      <c r="I5" s="9" t="n">
        <f aca="false">SUM(I2:I4)</f>
        <v>37500.0831737101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2"/>
  </cols>
  <sheetData>
    <row r="1" customFormat="false" ht="15" hidden="false" customHeight="true" outlineLevel="0" collapsed="false">
      <c r="A1" s="2" t="s">
        <v>40</v>
      </c>
    </row>
    <row r="3" customFormat="false" ht="15" hidden="false" customHeight="true" outlineLevel="0" collapsed="false">
      <c r="A3" s="1" t="s">
        <v>41</v>
      </c>
    </row>
    <row r="4" customFormat="false" ht="15" hidden="false" customHeight="true" outlineLevel="0" collapsed="false">
      <c r="A4" s="1" t="s">
        <v>42</v>
      </c>
    </row>
    <row r="5" customFormat="false" ht="15" hidden="false" customHeight="true" outlineLevel="0" collapsed="false">
      <c r="A5" s="1" t="s">
        <v>43</v>
      </c>
    </row>
    <row r="6" customFormat="false" ht="15" hidden="false" customHeight="true" outlineLevel="0" collapsed="false">
      <c r="A6" s="1" t="s">
        <v>44</v>
      </c>
    </row>
    <row r="7" customFormat="false" ht="15" hidden="false" customHeight="true" outlineLevel="0" collapsed="false">
      <c r="A7" s="1" t="s">
        <v>45</v>
      </c>
    </row>
    <row r="8" customFormat="false" ht="15" hidden="false" customHeight="true" outlineLevel="0" collapsed="false">
      <c r="A8" s="1" t="s">
        <v>46</v>
      </c>
    </row>
    <row r="9" customFormat="false" ht="15" hidden="false" customHeight="true" outlineLevel="0" collapsed="false">
      <c r="A9" s="1" t="s">
        <v>47</v>
      </c>
    </row>
    <row r="10" customFormat="false" ht="15" hidden="false" customHeight="true" outlineLevel="0" collapsed="false">
      <c r="A10" s="1" t="s">
        <v>48</v>
      </c>
    </row>
    <row r="11" customFormat="false" ht="15" hidden="false" customHeight="true" outlineLevel="0" collapsed="false">
      <c r="A11" s="1" t="s">
        <v>49</v>
      </c>
    </row>
    <row r="12" customFormat="false" ht="15" hidden="false" customHeight="true" outlineLevel="0" collapsed="false">
      <c r="A12" s="1" t="s">
        <v>50</v>
      </c>
    </row>
    <row r="13" customFormat="false" ht="15" hidden="false" customHeight="true" outlineLevel="0" collapsed="false">
      <c r="A13" s="1" t="s">
        <v>51</v>
      </c>
    </row>
    <row r="15" customFormat="false" ht="15" hidden="false" customHeight="true" outlineLevel="0" collapsed="false">
      <c r="A15" s="1" t="s">
        <v>52</v>
      </c>
    </row>
    <row r="16" customFormat="false" ht="15" hidden="false" customHeight="true" outlineLevel="0" collapsed="false">
      <c r="A16" s="1" t="s">
        <v>53</v>
      </c>
    </row>
    <row r="17" customFormat="false" ht="15" hidden="false" customHeight="true" outlineLevel="0" collapsed="false">
      <c r="A17" s="1" t="s">
        <v>54</v>
      </c>
    </row>
    <row r="18" customFormat="false" ht="15" hidden="false" customHeight="true" outlineLevel="0" collapsed="false">
      <c r="A18" s="1" t="s">
        <v>55</v>
      </c>
    </row>
    <row r="19" customFormat="false" ht="15" hidden="false" customHeight="true" outlineLevel="0" collapsed="false">
      <c r="A19" s="1" t="s">
        <v>56</v>
      </c>
    </row>
    <row r="20" customFormat="false" ht="15" hidden="false" customHeight="true" outlineLevel="0" collapsed="false">
      <c r="A20" s="1" t="s">
        <v>57</v>
      </c>
    </row>
    <row r="21" customFormat="false" ht="15" hidden="false" customHeight="true" outlineLevel="0" collapsed="false">
      <c r="A21" s="1" t="s">
        <v>58</v>
      </c>
    </row>
    <row r="22" customFormat="false" ht="15" hidden="false" customHeight="true" outlineLevel="0" collapsed="false">
      <c r="A22" s="1" t="s">
        <v>59</v>
      </c>
    </row>
    <row r="24" customFormat="false" ht="15" hidden="false" customHeight="true" outlineLevel="0" collapsed="false">
      <c r="A24" s="1" t="s">
        <v>60</v>
      </c>
    </row>
    <row r="25" customFormat="false" ht="15" hidden="false" customHeight="true" outlineLevel="0" collapsed="false">
      <c r="A25" s="1" t="s">
        <v>61</v>
      </c>
    </row>
    <row r="26" customFormat="false" ht="15" hidden="false" customHeight="true" outlineLevel="0" collapsed="false">
      <c r="A26" s="1" t="s">
        <v>62</v>
      </c>
    </row>
    <row r="27" customFormat="false" ht="15" hidden="false" customHeight="true" outlineLevel="0" collapsed="false">
      <c r="A27" s="1" t="s">
        <v>63</v>
      </c>
    </row>
    <row r="28" customFormat="false" ht="15" hidden="false" customHeight="true" outlineLevel="0" collapsed="false">
      <c r="A28" s="1" t="s">
        <v>64</v>
      </c>
    </row>
    <row r="29" customFormat="false" ht="15" hidden="false" customHeight="true" outlineLevel="0" collapsed="false">
      <c r="A29" s="1" t="s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2026-10-25T19:09:58Z</dcterms:created>
  <dc:creator>openpyxl</dc:creator>
  <dc:description/>
  <dc:language>en-US</dc:language>
  <cp:lastModifiedBy/>
  <dcterms:modified xsi:type="dcterms:W3CDTF">2026-10-27T08:14:25Z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