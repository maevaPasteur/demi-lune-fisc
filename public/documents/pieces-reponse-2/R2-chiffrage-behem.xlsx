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ources" sheetId="1" state="visible" r:id="rId3"/>
    <sheet name="Controle" sheetId="2" state="visible" r:id="rId4"/>
    <sheet name="Scenarios" sheetId="3" state="visible" r:id="rId5"/>
    <sheet name="Method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<sst xmlns="http://schemas.openxmlformats.org/spreadsheetml/2006/main" count="544" uniqueCount="151">
  <si>
    <t xml:space="preserve">SOURCES : données lues sur la proposition personnelle de Mme Ghislaine BEHEM du 19/10/2026 (aucune n'est calculée ici)</t>
  </si>
  <si>
    <t xml:space="preserve">Ligne</t>
  </si>
  <si>
    <t xml:space="preserve">2023</t>
  </si>
  <si>
    <t xml:space="preserve">2024</t>
  </si>
  <si>
    <t xml:space="preserve">2025</t>
  </si>
  <si>
    <t xml:space="preserve">Source</t>
  </si>
  <si>
    <t xml:space="preserve">Discordance TTC société (18/05/2026, p. 52)</t>
  </si>
  <si>
    <t xml:space="preserve">proposition société 18/05/2026 p. 52 ; CANON</t>
  </si>
  <si>
    <t xml:space="preserve">Base distribuée annoncée par foyer (HT + part TVA)</t>
  </si>
  <si>
    <t xml:space="preserve">p. 62 (86 407 + 10 210 ; 62 005 + 7 427 ; 62 538 + 7 326)</t>
  </si>
  <si>
    <t xml:space="preserve">dont part HT (109-1-1°)</t>
  </si>
  <si>
    <t xml:space="preserve">p. 59, p. 61</t>
  </si>
  <si>
    <t xml:space="preserve">dont part TVA (109-1-2°)</t>
  </si>
  <si>
    <t xml:space="preserve">p. 60, p. 62</t>
  </si>
  <si>
    <t xml:space="preserve">Assiette ×1,25 annoncée</t>
  </si>
  <si>
    <t xml:space="preserve">p. 63</t>
  </si>
  <si>
    <t xml:space="preserve">Base effectivement liquidée (RCM déclarés − RCM antérieurs 7 500)</t>
  </si>
  <si>
    <t xml:space="preserve">avis p. 67 (93 907 − 7 500), p. 71 (69 505 − 7 500), p. 79 (70 038 − 7 500)</t>
  </si>
  <si>
    <t xml:space="preserve">Revenus des associés et gérants (bruts)</t>
  </si>
  <si>
    <t xml:space="preserve">avis p. 67 / 71 / 79</t>
  </si>
  <si>
    <t xml:space="preserve">Salaires nets après déduction 10 %</t>
  </si>
  <si>
    <t xml:space="preserve">RCM antérieurs du foyer (dividendes au barème, abattement 40 %)</t>
  </si>
  <si>
    <t xml:space="preserve">avis « RCM déjà soumis aux prélèvements sociaux » p. 68 / 72 / 80</t>
  </si>
  <si>
    <t xml:space="preserve">Charges déductibles (pension alimentaire)</t>
  </si>
  <si>
    <t xml:space="preserve">avis p. 67</t>
  </si>
  <si>
    <t xml:space="preserve">CSG déductible</t>
  </si>
  <si>
    <t xml:space="preserve">avis p. 67 / 79</t>
  </si>
  <si>
    <t xml:space="preserve">Crédit : prélèvement forfaitaire déjà versé</t>
  </si>
  <si>
    <t xml:space="preserve">avis p. 67 / 71 ; néant p. 79</t>
  </si>
  <si>
    <t xml:space="preserve">IR avant contrôle (négatif = restitution)</t>
  </si>
  <si>
    <t xml:space="preserve">p. 69 ; p. 76 ; p. 83</t>
  </si>
  <si>
    <t xml:space="preserve">Base PS antérieure déjà au rôle</t>
  </si>
  <si>
    <t xml:space="preserve">p. 76 (« Base CSG + CRDS 9,7 % avant contrôle 4 083 »)</t>
  </si>
  <si>
    <t xml:space="preserve">PS antérieurs déjà au rôle (CSG-CRDS + solidarité)</t>
  </si>
  <si>
    <t xml:space="preserve">p. 76 (396 + 306)</t>
  </si>
  <si>
    <t xml:space="preserve">Nombre de parts</t>
  </si>
  <si>
    <t xml:space="preserve">avis</t>
  </si>
  <si>
    <t xml:space="preserve">Mois d'intérêt de retard (01/07/N+1 → 31/10/2026)</t>
  </si>
  <si>
    <t xml:space="preserve">p. 69 (28×0,20 = 5,60 %), p. 77 (16 mois, 3,2 %), p. 83 (4×0,20 = 0,80 %)</t>
  </si>
  <si>
    <t xml:space="preserve">Taux CSG + CRDS revenus du patrimoine</t>
  </si>
  <si>
    <t xml:space="preserve">9,2 + 0,5 % ; 10,6 + 0,5 % dès les revenus 2025 (LFSS 2026 art. 12)</t>
  </si>
  <si>
    <t xml:space="preserve">Taux prélèvement de solidarité</t>
  </si>
  <si>
    <t xml:space="preserve">art. 235 ter CGI</t>
  </si>
  <si>
    <t xml:space="preserve">Taux intérêt de retard par mois</t>
  </si>
  <si>
    <t xml:space="preserve">art. 1727 III CGI</t>
  </si>
  <si>
    <t xml:space="preserve">Taux majoration 1729 a</t>
  </si>
  <si>
    <t xml:space="preserve">art. 1729 CGI</t>
  </si>
  <si>
    <t xml:space="preserve">Coefficient 158-7-2°</t>
  </si>
  <si>
    <t xml:space="preserve">art. 158-7-2° CGI</t>
  </si>
  <si>
    <t xml:space="preserve">Taux PFU (pour scénario)</t>
  </si>
  <si>
    <t xml:space="preserve">art. 200 A 1 CGI</t>
  </si>
  <si>
    <t xml:space="preserve">Barème IR par part (art. 197 CGI)</t>
  </si>
  <si>
    <t xml:space="preserve">Élément</t>
  </si>
  <si>
    <t xml:space="preserve">Seuil tranche 11 %</t>
  </si>
  <si>
    <t xml:space="preserve">LF 2024 n° 2023-1322 du 29/12/2023 (revenus 2023) ; LF 2025 n° 2025-127 du 14/02/2025 (revenus 2024) ; LF 2026 n° 2026-103 du 19/02/2026 art. 4 (revenus 2025, +0,9 %)</t>
  </si>
  <si>
    <t xml:space="preserve">Seuil tranche 30 %</t>
  </si>
  <si>
    <t xml:space="preserve">Seuil tranche 41 %</t>
  </si>
  <si>
    <t xml:space="preserve">Seuil tranche 45 %</t>
  </si>
  <si>
    <t xml:space="preserve">Décote : constante (1 part)</t>
  </si>
  <si>
    <t xml:space="preserve">Décote : seuil d'application (1 part)</t>
  </si>
  <si>
    <t xml:space="preserve">Décote : coefficient</t>
  </si>
  <si>
    <t xml:space="preserve">CONTRÔLE LIGNE À LIGNE : recalcul par formule de la liquidation du service, année par année (colonne « Service » = chiffres lus sur les avis p. 67-84 ; « Écart » = recalcul − service)</t>
  </si>
  <si>
    <t xml:space="preserve">Paramètres : facteur de base = 1 ; majoration 40 % = 1 (oui) ; PFU = 0 (non) ; coefficient = 1,25</t>
  </si>
  <si>
    <t xml:space="preserve">Facteur base</t>
  </si>
  <si>
    <t xml:space="preserve">Majoration 40 % (1 = oui)</t>
  </si>
  <si>
    <t xml:space="preserve">PFU (1 = oui)</t>
  </si>
  <si>
    <t xml:space="preserve">ANNÉE 2023 (avis p. 67-70)</t>
  </si>
  <si>
    <t xml:space="preserve">Recalcul</t>
  </si>
  <si>
    <t xml:space="preserve">Service</t>
  </si>
  <si>
    <t xml:space="preserve">Écart</t>
  </si>
  <si>
    <t xml:space="preserve">Base distribuée retenue (× facteur)</t>
  </si>
  <si>
    <t xml:space="preserve">Assiette IR = base × coefficient</t>
  </si>
  <si>
    <t xml:space="preserve">Revenu imposable hors distributions (salaires + 60 % RCM antérieurs − charges − CSG déductible)</t>
  </si>
  <si>
    <t xml:space="preserve">Revenu net imposable</t>
  </si>
  <si>
    <t xml:space="preserve">IR brut au barème (par part, 1 part)</t>
  </si>
  <si>
    <t xml:space="preserve">IR après décote</t>
  </si>
  <si>
    <t xml:space="preserve">+ PFU 12,8 % sur l'assiette (scénario PFU seulement)</t>
  </si>
  <si>
    <t xml:space="preserve">IR au barème (+ PFU) = impôt sur les revenus</t>
  </si>
  <si>
    <t xml:space="preserve">IR après contrôle = IR − crédit déjà versé</t>
  </si>
  <si>
    <t xml:space="preserve">Variation IR = après − avant contrôle (base de la majoration)</t>
  </si>
  <si>
    <t xml:space="preserve">Intérêts IR = (IR après − max(IR avant ; 0)) × 0,20 % × mois</t>
  </si>
  <si>
    <t xml:space="preserve">Majoration 40 % IR = variation × 40 %</t>
  </si>
  <si>
    <t xml:space="preserve">Total IR (droits + intérêts + majoration)</t>
  </si>
  <si>
    <t xml:space="preserve">Base PS = base distribuée + base PS antérieure (sans coefficient 1,25)</t>
  </si>
  <si>
    <t xml:space="preserve">CSG + CRDS</t>
  </si>
  <si>
    <t xml:space="preserve">Prélèvement de solidarité 7,5 %</t>
  </si>
  <si>
    <t xml:space="preserve">Variation PS = (CSG + solidarité) − PS antérieurs</t>
  </si>
  <si>
    <t xml:space="preserve">Intérêts CSG</t>
  </si>
  <si>
    <t xml:space="preserve">Intérêts solidarité</t>
  </si>
  <si>
    <t xml:space="preserve">Majoration 40 % CSG</t>
  </si>
  <si>
    <t xml:space="preserve">Majoration 40 % solidarité</t>
  </si>
  <si>
    <t xml:space="preserve">Total PS convention de l'avis (CSG + solidarité bruts + intérêts + majorations)</t>
  </si>
  <si>
    <t xml:space="preserve">Supplément d'impôt, convention de l'avis (Total IR + Total PS ± impôt antérieur)</t>
  </si>
  <si>
    <t xml:space="preserve">Supplément « variation » (IR var + PS var + intérêts + majorations) = récapitulation p. 77 en 2024</t>
  </si>
  <si>
    <t xml:space="preserve">ANNÉE 2024 (avis p. 71-77)</t>
  </si>
  <si>
    <t xml:space="preserve">ANNÉE 2025 (avis p. 79-84)</t>
  </si>
  <si>
    <t xml:space="preserve">TOTAL 3 ANS, convention de l'avis</t>
  </si>
  <si>
    <t xml:space="preserve">2024 : récapitulation p. 77 (convention « variation », PS nets des 702 € antérieurs, + restitution 2 912 €)</t>
  </si>
  <si>
    <t xml:space="preserve">2024 : écart récapitulation p. 77 − avis p. 72 (deux totaux pour une même année)</t>
  </si>
  <si>
    <t xml:space="preserve">Majorations 40 % notifiées (IR + CSG + solidarité), 3 ans</t>
  </si>
  <si>
    <t xml:space="preserve">Intérêts de retard notifiés (IR + CSG + solidarité), 3 ans</t>
  </si>
  <si>
    <t xml:space="preserve">Droits IR (variation) + PS (variation), 3 ans</t>
  </si>
  <si>
    <t xml:space="preserve">Base distribuée liquidée, 3 ans (part HT)</t>
  </si>
  <si>
    <t xml:space="preserve">Base annoncée p. 62-63 (HT + TVA), 3 ans = CANON 235 913 €</t>
  </si>
  <si>
    <t xml:space="preserve">Part TVA non liquidée, 3 ans</t>
  </si>
  <si>
    <t xml:space="preserve">Taux effectif = supplément notifié ÷ base annoncée (CANON 73,2 %)</t>
  </si>
  <si>
    <t xml:space="preserve">Majoration 40 % sur le seul IR, 3 ans (14 356 + 9 820 + 9 756)</t>
  </si>
  <si>
    <t xml:space="preserve">Taux effectif hors majoration 40 % sur l'IR (CANON 58,8 %)</t>
  </si>
  <si>
    <t xml:space="preserve">Taux effectif hors toutes majorations 40 % (IR + PS)</t>
  </si>
  <si>
    <t xml:space="preserve">SCÉNARIOS : même moteur de liquidation, paramètres en jaune (facteur de base, majoration 40 %, PFU, coefficient). Convention de l'avis (2024 : 48 124 € = total notifié).</t>
  </si>
  <si>
    <t xml:space="preserve">Scénario</t>
  </si>
  <si>
    <t xml:space="preserve">40 % (1/0)</t>
  </si>
  <si>
    <t xml:space="preserve">PFU (1/0)</t>
  </si>
  <si>
    <t xml:space="preserve">Coefficient</t>
  </si>
  <si>
    <t xml:space="preserve">Total 3 ans</t>
  </si>
  <si>
    <t xml:space="preserve">Écart vs notifié</t>
  </si>
  <si>
    <t xml:space="preserve">Base distribuée 3 ans</t>
  </si>
  <si>
    <t xml:space="preserve">S0 notifié</t>
  </si>
  <si>
    <t xml:space="preserve">S1 sans majoration 40 %</t>
  </si>
  <si>
    <t xml:space="preserve">S2 base − 25 % (176 935 € par foyer)</t>
  </si>
  <si>
    <t xml:space="preserve">S3 base − 50 % (117 957 €)</t>
  </si>
  <si>
    <t xml:space="preserve">S4 base − 75 % (58 978 €)</t>
  </si>
  <si>
    <t xml:space="preserve">S5 base − 25 % et sans 40 %</t>
  </si>
  <si>
    <t xml:space="preserve">S6 base − 50 % et sans 40 %</t>
  </si>
  <si>
    <t xml:space="preserve">S7 base − 75 % et sans 40 %</t>
  </si>
  <si>
    <t xml:space="preserve">S8 PFU 12,8 % au lieu du barème (option 2OP révoquée)</t>
  </si>
  <si>
    <t xml:space="preserve">S9 PFU et sans 40 %</t>
  </si>
  <si>
    <t xml:space="preserve">R1 RISQUE : base annoncée HT + TVA (p. 62-63) au lieu de la part HT liquidée</t>
  </si>
  <si>
    <t xml:space="preserve">I1 pour information : sans coefficient 1,25</t>
  </si>
  <si>
    <t xml:space="preserve">Bloc de calcul : S0 notifié</t>
  </si>
  <si>
    <t xml:space="preserve">Bloc de calcul : S1 sans majoration 40 %</t>
  </si>
  <si>
    <t xml:space="preserve">Bloc de calcul : S2 base − 25 % (176 935 € par foyer)</t>
  </si>
  <si>
    <t xml:space="preserve">Bloc de calcul : S3 base − 50 % (117 957 €)</t>
  </si>
  <si>
    <t xml:space="preserve">Bloc de calcul : S4 base − 75 % (58 978 €)</t>
  </si>
  <si>
    <t xml:space="preserve">Bloc de calcul : S5 base − 25 % et sans 40 %</t>
  </si>
  <si>
    <t xml:space="preserve">Bloc de calcul : S6 base − 50 % et sans 40 %</t>
  </si>
  <si>
    <t xml:space="preserve">Bloc de calcul : S7 base − 75 % et sans 40 %</t>
  </si>
  <si>
    <t xml:space="preserve">Bloc de calcul : S8 PFU 12,8 % au lieu du barème (option 2OP révoquée)</t>
  </si>
  <si>
    <t xml:space="preserve">Bloc de calcul : S9 PFU et sans 40 %</t>
  </si>
  <si>
    <t xml:space="preserve">Bloc de calcul : R1 RISQUE : base annoncée HT + TVA (p. 62-63) au lieu de la part HT liquidée</t>
  </si>
  <si>
    <t xml:space="preserve">Bloc de calcul : I1 pour information : sans coefficient 1,25</t>
  </si>
  <si>
    <t xml:space="preserve">MÉTHODE : d'où vient chaque chiffre</t>
  </si>
  <si>
    <t xml:space="preserve">1. Base. Le service annonce (p. 62) une distribution par foyer de 96 617 / 69 432 / 69 864 € (part HT 86 407 / 62 005 / 62 538 € + part TVA 10 210 / 7 427 / 7 326 €) et une assiette ×1,25 de 120 771 / 86 790 / 87 330 € (p. 63). Les avis (p. 67, 71, 79) liquident en réalité sur la seule part HT : RCM déclarés 93 907 / 69 505 / 70 038 € − RCM antérieurs 7 500 € = 86 407 / 62 005 / 62 538 €, ×1,25 = 108 009 / 77 506 / 78 173 €.</t>
  </si>
  <si>
    <t xml:space="preserve">2. Revenu imposable. Salaires nets + 60 % des 7 500 € de RCM antérieurs (abattement 40 %, option 2OP) − charges − CSG déductible + assiette ×1,25. Les revenus imposables recalculés (126 797 / 101 891 / 101 307 €) égalent ceux des avis.</t>
  </si>
  <si>
    <t xml:space="preserve">3. IR. Barème de l'année (art. 197 CGI ; LF 2024, LF 2025, LF 2026), 1 part, arrondi, décote si l'impôt brut est sous le seuil (sans objet après contrôle). IR après contrôle = IR − prélèvement forfaitaire déjà versé. Variation = après − avant (−636 / −2 912 / +946 €).</t>
  </si>
  <si>
    <t xml:space="preserve">4. Intérêts (art. 1727 CGI) : 0,20 % par mois du 1er juillet de l'année suivant celle de l'imposition (IV-1) au dernier jour du mois de la proposition (IV-3), soit 28 / 16 / 4 mois = 5,60 / 3,20 / 0,80 %, sur l'impôt supplémentaire hors restitution antérieure.</t>
  </si>
  <si>
    <t xml:space="preserve">5. Majoration 1729 a : 40 % de la variation (IR) et de la variation (CSG, solidarité).</t>
  </si>
  <si>
    <t xml:space="preserve">6. Prélèvements sociaux : base = part HT distribuée (+ base antérieure déjà au rôle en 2024 : 4 083 €), SANS le coefficient 1,25 (CC 2017-643/650 QPC § 17 ; L. 136-6 CSS). CSG + CRDS 9,7 % en 2023-2024, 11,1 % en 2025 (LFSS 2026 art. 12) ; solidarité 7,5 %.</t>
  </si>
  <si>
    <t xml:space="preserve">7. Conventions de total. Avis 2023 : impôt net + restitution antérieure 636 € ; avis 2025 : impôt net − impôt antérieur 946 € ; avis 2024 : impôt net sans correction (48 124 €), alors que la récapitulation p. 77 (convention « variation ») donne 50 334 € : +2 912 € de restitution à reprendre, −702 € de PS antérieurs déjà au rôle. Écart 2 210 € entre deux documents du service pour la même année. La page retient le montant de l'avis (48 124 €), total 172 703 €.</t>
  </si>
  <si>
    <t xml:space="preserve">8. Scénarios : même moteur, en modifiant la base (facteur), la majoration (1/0), le mode d'imposition (barème / PFU 12,8 % sur l'assiette ×1,25) et le coefficient. Les bases réduites 176 935 / 117 957 / 58 978 € correspondent à −25 / −50 / −75 % de la base annoncée 235 913 € ; le moteur applique le facteur à la base liquidée (part HT), cohérent avec la liquidation du service.</t>
  </si>
  <si>
    <t xml:space="preserve">Toutes les cellules de Controle et Scenarios sont des formules ; seules les cellules jaunes sont des paramètres.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</si>
</sst>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4CC"/>
      </patternFill>
    </fill>
    <fill>
      <patternFill patternType="solid">
        <fgColor rgb="FFFFF4CC"/>
        <bgColor rgb="FFEEEE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4"/>
    <col collapsed="false" customWidth="true" hidden="false" outlineLevel="0" max="5" min="5" style="0" width="90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0" t="s">
        <v>6</v>
      </c>
      <c r="B4" s="0" t="n">
        <v>193234.55</v>
      </c>
      <c r="C4" s="0" t="n">
        <v>138863.57</v>
      </c>
      <c r="D4" s="0" t="n">
        <v>139727.76</v>
      </c>
      <c r="E4" s="0" t="s">
        <v>7</v>
      </c>
    </row>
    <row r="5" customFormat="false" ht="15" hidden="false" customHeight="false" outlineLevel="0" collapsed="false">
      <c r="A5" s="0" t="s">
        <v>8</v>
      </c>
      <c r="B5" s="0" t="n">
        <v>96617</v>
      </c>
      <c r="C5" s="0" t="n">
        <v>69432</v>
      </c>
      <c r="D5" s="0" t="n">
        <v>69864</v>
      </c>
      <c r="E5" s="0" t="s">
        <v>9</v>
      </c>
    </row>
    <row r="6" customFormat="false" ht="15" hidden="false" customHeight="false" outlineLevel="0" collapsed="false">
      <c r="A6" s="0" t="s">
        <v>10</v>
      </c>
      <c r="B6" s="0" t="n">
        <v>86407</v>
      </c>
      <c r="C6" s="0" t="n">
        <v>62005</v>
      </c>
      <c r="D6" s="0" t="n">
        <v>62538</v>
      </c>
      <c r="E6" s="0" t="s">
        <v>11</v>
      </c>
    </row>
    <row r="7" customFormat="false" ht="15" hidden="false" customHeight="false" outlineLevel="0" collapsed="false">
      <c r="A7" s="0" t="s">
        <v>12</v>
      </c>
      <c r="B7" s="0" t="n">
        <v>10210</v>
      </c>
      <c r="C7" s="0" t="n">
        <v>7427</v>
      </c>
      <c r="D7" s="0" t="n">
        <v>7326</v>
      </c>
      <c r="E7" s="0" t="s">
        <v>13</v>
      </c>
    </row>
    <row r="8" customFormat="false" ht="15" hidden="false" customHeight="false" outlineLevel="0" collapsed="false">
      <c r="A8" s="0" t="s">
        <v>14</v>
      </c>
      <c r="B8" s="0" t="n">
        <v>120771</v>
      </c>
      <c r="C8" s="0" t="n">
        <v>86790</v>
      </c>
      <c r="D8" s="0" t="n">
        <v>87330</v>
      </c>
      <c r="E8" s="0" t="s">
        <v>15</v>
      </c>
    </row>
    <row r="9" customFormat="false" ht="15" hidden="false" customHeight="false" outlineLevel="0" collapsed="false">
      <c r="A9" s="0" t="s">
        <v>16</v>
      </c>
      <c r="B9" s="0" t="n">
        <v>86407</v>
      </c>
      <c r="C9" s="0" t="n">
        <v>62005</v>
      </c>
      <c r="D9" s="0" t="n">
        <v>62538</v>
      </c>
      <c r="E9" s="0" t="s">
        <v>17</v>
      </c>
    </row>
    <row r="10" customFormat="false" ht="15" hidden="false" customHeight="false" outlineLevel="0" collapsed="false">
      <c r="A10" s="0" t="s">
        <v>18</v>
      </c>
      <c r="B10" s="0" t="n">
        <v>20851</v>
      </c>
      <c r="C10" s="0" t="n">
        <v>22094</v>
      </c>
      <c r="D10" s="0" t="n">
        <v>21266</v>
      </c>
      <c r="E10" s="0" t="s">
        <v>19</v>
      </c>
    </row>
    <row r="11" customFormat="false" ht="15" hidden="false" customHeight="false" outlineLevel="0" collapsed="false">
      <c r="A11" s="0" t="s">
        <v>20</v>
      </c>
      <c r="B11" s="0" t="n">
        <v>18766</v>
      </c>
      <c r="C11" s="0" t="n">
        <v>19885</v>
      </c>
      <c r="D11" s="0" t="n">
        <v>19139</v>
      </c>
      <c r="E11" s="0" t="s">
        <v>19</v>
      </c>
    </row>
    <row r="12" customFormat="false" ht="15" hidden="false" customHeight="false" outlineLevel="0" collapsed="false">
      <c r="A12" s="0" t="s">
        <v>21</v>
      </c>
      <c r="B12" s="0" t="n">
        <v>7500</v>
      </c>
      <c r="C12" s="0" t="n">
        <v>7500</v>
      </c>
      <c r="D12" s="0" t="n">
        <v>7500</v>
      </c>
      <c r="E12" s="0" t="s">
        <v>22</v>
      </c>
    </row>
    <row r="13" customFormat="false" ht="15" hidden="false" customHeight="false" outlineLevel="0" collapsed="false">
      <c r="A13" s="0" t="s">
        <v>23</v>
      </c>
      <c r="B13" s="0" t="n">
        <v>3968</v>
      </c>
      <c r="C13" s="0" t="n">
        <v>0</v>
      </c>
      <c r="D13" s="0" t="n">
        <v>0</v>
      </c>
      <c r="E13" s="0" t="s">
        <v>24</v>
      </c>
    </row>
    <row r="14" customFormat="false" ht="15" hidden="false" customHeight="false" outlineLevel="0" collapsed="false">
      <c r="A14" s="0" t="s">
        <v>25</v>
      </c>
      <c r="B14" s="0" t="n">
        <v>510</v>
      </c>
      <c r="C14" s="0" t="n">
        <v>0</v>
      </c>
      <c r="D14" s="0" t="n">
        <v>505</v>
      </c>
      <c r="E14" s="0" t="s">
        <v>26</v>
      </c>
    </row>
    <row r="15" customFormat="false" ht="15" hidden="false" customHeight="false" outlineLevel="0" collapsed="false">
      <c r="A15" s="0" t="s">
        <v>27</v>
      </c>
      <c r="B15" s="0" t="n">
        <v>960</v>
      </c>
      <c r="C15" s="0" t="n">
        <v>4083</v>
      </c>
      <c r="D15" s="0" t="n">
        <v>0</v>
      </c>
      <c r="E15" s="0" t="s">
        <v>28</v>
      </c>
    </row>
    <row r="16" customFormat="false" ht="15" hidden="false" customHeight="false" outlineLevel="0" collapsed="false">
      <c r="A16" s="0" t="s">
        <v>29</v>
      </c>
      <c r="B16" s="0" t="n">
        <v>-636</v>
      </c>
      <c r="C16" s="0" t="n">
        <v>-2912</v>
      </c>
      <c r="D16" s="0" t="n">
        <v>946</v>
      </c>
      <c r="E16" s="0" t="s">
        <v>30</v>
      </c>
    </row>
    <row r="17" customFormat="false" ht="15" hidden="false" customHeight="false" outlineLevel="0" collapsed="false">
      <c r="A17" s="0" t="s">
        <v>31</v>
      </c>
      <c r="B17" s="0" t="n">
        <v>0</v>
      </c>
      <c r="C17" s="0" t="n">
        <v>4083</v>
      </c>
      <c r="D17" s="0" t="n">
        <v>0</v>
      </c>
      <c r="E17" s="0" t="s">
        <v>32</v>
      </c>
    </row>
    <row r="18" customFormat="false" ht="15" hidden="false" customHeight="false" outlineLevel="0" collapsed="false">
      <c r="A18" s="0" t="s">
        <v>33</v>
      </c>
      <c r="B18" s="0" t="n">
        <v>0</v>
      </c>
      <c r="C18" s="0" t="n">
        <v>702</v>
      </c>
      <c r="D18" s="0" t="n">
        <v>0</v>
      </c>
      <c r="E18" s="0" t="s">
        <v>34</v>
      </c>
    </row>
    <row r="19" customFormat="false" ht="15" hidden="false" customHeight="false" outlineLevel="0" collapsed="false">
      <c r="A19" s="0" t="s">
        <v>35</v>
      </c>
      <c r="B19" s="0" t="n">
        <v>1</v>
      </c>
      <c r="C19" s="0" t="n">
        <v>1</v>
      </c>
      <c r="D19" s="0" t="n">
        <v>1</v>
      </c>
      <c r="E19" s="0" t="s">
        <v>36</v>
      </c>
    </row>
    <row r="20" customFormat="false" ht="15" hidden="false" customHeight="false" outlineLevel="0" collapsed="false">
      <c r="A20" s="0" t="s">
        <v>37</v>
      </c>
      <c r="B20" s="0" t="n">
        <v>28</v>
      </c>
      <c r="C20" s="0" t="n">
        <v>16</v>
      </c>
      <c r="D20" s="0" t="n">
        <v>4</v>
      </c>
      <c r="E20" s="0" t="s">
        <v>38</v>
      </c>
    </row>
    <row r="21" customFormat="false" ht="15" hidden="false" customHeight="false" outlineLevel="0" collapsed="false">
      <c r="A21" s="0" t="s">
        <v>39</v>
      </c>
      <c r="B21" s="0" t="n">
        <v>0.097</v>
      </c>
      <c r="C21" s="0" t="n">
        <v>0.097</v>
      </c>
      <c r="D21" s="0" t="n">
        <v>0.111</v>
      </c>
      <c r="E21" s="0" t="s">
        <v>40</v>
      </c>
    </row>
    <row r="22" customFormat="false" ht="15" hidden="false" customHeight="false" outlineLevel="0" collapsed="false">
      <c r="A22" s="0" t="s">
        <v>41</v>
      </c>
      <c r="B22" s="0" t="n">
        <v>0.075</v>
      </c>
      <c r="C22" s="0" t="n">
        <v>0.075</v>
      </c>
      <c r="D22" s="0" t="n">
        <v>0.075</v>
      </c>
      <c r="E22" s="0" t="s">
        <v>42</v>
      </c>
    </row>
    <row r="23" customFormat="false" ht="15" hidden="false" customHeight="false" outlineLevel="0" collapsed="false">
      <c r="A23" s="0" t="s">
        <v>43</v>
      </c>
      <c r="B23" s="0" t="n">
        <v>0.002</v>
      </c>
      <c r="C23" s="0" t="n">
        <v>0.002</v>
      </c>
      <c r="D23" s="0" t="n">
        <v>0.002</v>
      </c>
      <c r="E23" s="0" t="s">
        <v>44</v>
      </c>
    </row>
    <row r="24" customFormat="false" ht="15" hidden="false" customHeight="false" outlineLevel="0" collapsed="false">
      <c r="A24" s="0" t="s">
        <v>45</v>
      </c>
      <c r="B24" s="0" t="n">
        <v>0.4</v>
      </c>
      <c r="C24" s="0" t="n">
        <v>0.4</v>
      </c>
      <c r="D24" s="0" t="n">
        <v>0.4</v>
      </c>
      <c r="E24" s="0" t="s">
        <v>46</v>
      </c>
    </row>
    <row r="25" customFormat="false" ht="15" hidden="false" customHeight="false" outlineLevel="0" collapsed="false">
      <c r="A25" s="0" t="s">
        <v>47</v>
      </c>
      <c r="B25" s="0" t="n">
        <v>1.25</v>
      </c>
      <c r="C25" s="0" t="n">
        <v>1.25</v>
      </c>
      <c r="D25" s="0" t="n">
        <v>1.25</v>
      </c>
      <c r="E25" s="0" t="s">
        <v>48</v>
      </c>
    </row>
    <row r="26" customFormat="false" ht="15" hidden="false" customHeight="false" outlineLevel="0" collapsed="false">
      <c r="A26" s="0" t="s">
        <v>49</v>
      </c>
      <c r="B26" s="0" t="n">
        <v>0.128</v>
      </c>
      <c r="C26" s="0" t="n">
        <v>0.128</v>
      </c>
      <c r="D26" s="0" t="n">
        <v>0.128</v>
      </c>
      <c r="E26" s="0" t="s">
        <v>50</v>
      </c>
    </row>
    <row r="29" customFormat="false" ht="15" hidden="false" customHeight="false" outlineLevel="0" collapsed="false">
      <c r="A29" s="1" t="s">
        <v>51</v>
      </c>
    </row>
    <row r="30" customFormat="false" ht="15" hidden="false" customHeight="false" outlineLevel="0" collapsed="false">
      <c r="A30" s="3" t="s">
        <v>52</v>
      </c>
      <c r="B30" s="3" t="s">
        <v>2</v>
      </c>
      <c r="C30" s="3" t="s">
        <v>3</v>
      </c>
      <c r="D30" s="3" t="s">
        <v>4</v>
      </c>
      <c r="E30" s="3" t="s">
        <v>5</v>
      </c>
    </row>
    <row r="31" customFormat="false" ht="15" hidden="false" customHeight="false" outlineLevel="0" collapsed="false">
      <c r="A31" s="0" t="s">
        <v>53</v>
      </c>
      <c r="B31" s="0" t="n">
        <v>11294</v>
      </c>
      <c r="C31" s="0" t="n">
        <v>11497</v>
      </c>
      <c r="D31" s="0" t="n">
        <v>11600</v>
      </c>
      <c r="E31" s="0" t="s">
        <v>54</v>
      </c>
    </row>
    <row r="32" customFormat="false" ht="15" hidden="false" customHeight="false" outlineLevel="0" collapsed="false">
      <c r="A32" s="0" t="s">
        <v>55</v>
      </c>
      <c r="B32" s="0" t="n">
        <v>28797</v>
      </c>
      <c r="C32" s="0" t="n">
        <v>29315</v>
      </c>
      <c r="D32" s="0" t="n">
        <v>29579</v>
      </c>
      <c r="E32" s="0" t="s">
        <v>54</v>
      </c>
    </row>
    <row r="33" customFormat="false" ht="15" hidden="false" customHeight="false" outlineLevel="0" collapsed="false">
      <c r="A33" s="0" t="s">
        <v>56</v>
      </c>
      <c r="B33" s="0" t="n">
        <v>82341</v>
      </c>
      <c r="C33" s="0" t="n">
        <v>83823</v>
      </c>
      <c r="D33" s="0" t="n">
        <v>84577</v>
      </c>
      <c r="E33" s="0" t="s">
        <v>54</v>
      </c>
    </row>
    <row r="34" customFormat="false" ht="15" hidden="false" customHeight="false" outlineLevel="0" collapsed="false">
      <c r="A34" s="0" t="s">
        <v>57</v>
      </c>
      <c r="B34" s="0" t="n">
        <v>177106</v>
      </c>
      <c r="C34" s="0" t="n">
        <v>180294</v>
      </c>
      <c r="D34" s="0" t="n">
        <v>181917</v>
      </c>
      <c r="E34" s="0" t="s">
        <v>54</v>
      </c>
    </row>
    <row r="35" customFormat="false" ht="15" hidden="false" customHeight="false" outlineLevel="0" collapsed="false">
      <c r="A35" s="0" t="s">
        <v>58</v>
      </c>
      <c r="B35" s="0" t="n">
        <v>873</v>
      </c>
      <c r="C35" s="0" t="n">
        <v>889</v>
      </c>
      <c r="D35" s="0" t="n">
        <v>897</v>
      </c>
      <c r="E35" s="0" t="s">
        <v>54</v>
      </c>
    </row>
    <row r="36" customFormat="false" ht="15" hidden="false" customHeight="false" outlineLevel="0" collapsed="false">
      <c r="A36" s="0" t="s">
        <v>59</v>
      </c>
      <c r="B36" s="0" t="n">
        <v>1929</v>
      </c>
      <c r="C36" s="0" t="n">
        <v>1964</v>
      </c>
      <c r="D36" s="0" t="n">
        <v>1982</v>
      </c>
      <c r="E36" s="0" t="s">
        <v>54</v>
      </c>
    </row>
    <row r="37" customFormat="false" ht="15" hidden="false" customHeight="false" outlineLevel="0" collapsed="false">
      <c r="A37" s="0" t="s">
        <v>60</v>
      </c>
      <c r="B37" s="0" t="n">
        <v>0.4525</v>
      </c>
      <c r="C37" s="0" t="n">
        <v>0.4525</v>
      </c>
      <c r="D37" s="0" t="n">
        <v>0.4525</v>
      </c>
      <c r="E37" s="0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4" min="2" style="0" width="14"/>
  </cols>
  <sheetData>
    <row r="1" customFormat="false" ht="15" hidden="false" customHeight="false" outlineLevel="0" collapsed="false">
      <c r="A1" s="1" t="s">
        <v>61</v>
      </c>
    </row>
    <row r="2" customFormat="false" ht="15" hidden="false" customHeight="false" outlineLevel="0" collapsed="false">
      <c r="A2" s="0" t="s">
        <v>62</v>
      </c>
    </row>
    <row r="3" customFormat="false" ht="15" hidden="false" customHeight="false" outlineLevel="0" collapsed="false">
      <c r="A3" s="0" t="s">
        <v>63</v>
      </c>
      <c r="B3" s="4" t="n">
        <v>1</v>
      </c>
    </row>
    <row r="4" customFormat="false" ht="15" hidden="false" customHeight="false" outlineLevel="0" collapsed="false">
      <c r="A4" s="0" t="s">
        <v>64</v>
      </c>
      <c r="B4" s="4" t="n">
        <v>1</v>
      </c>
    </row>
    <row r="5" customFormat="false" ht="15" hidden="false" customHeight="false" outlineLevel="0" collapsed="false">
      <c r="A5" s="0" t="s">
        <v>65</v>
      </c>
      <c r="B5" s="4" t="n">
        <v>0</v>
      </c>
    </row>
    <row r="7" customFormat="false" ht="15" hidden="false" customHeight="false" outlineLevel="0" collapsed="false">
      <c r="A7" s="1" t="s">
        <v>66</v>
      </c>
      <c r="B7" s="3" t="s">
        <v>67</v>
      </c>
      <c r="C7" s="3" t="s">
        <v>68</v>
      </c>
      <c r="D7" s="3" t="s">
        <v>69</v>
      </c>
    </row>
    <row r="8" customFormat="false" ht="15" hidden="false" customHeight="false" outlineLevel="0" collapsed="false">
      <c r="A8" s="0" t="s">
        <v>70</v>
      </c>
      <c r="B8" s="0" t="n">
        <f aca="false">ROUND(Sources!B9*$B$3,0)</f>
        <v>86407</v>
      </c>
    </row>
    <row r="9" customFormat="false" ht="15" hidden="false" customHeight="false" outlineLevel="0" collapsed="false">
      <c r="A9" s="0" t="s">
        <v>71</v>
      </c>
      <c r="B9" s="0" t="n">
        <f aca="false">ROUND(B8*Sources!B25,0)</f>
        <v>108009</v>
      </c>
    </row>
    <row r="10" customFormat="false" ht="15" hidden="false" customHeight="false" outlineLevel="0" collapsed="false">
      <c r="A10" s="0" t="s">
        <v>72</v>
      </c>
      <c r="B10" s="0" t="n">
        <f aca="false">Sources!B11+ROUND(Sources!B12*0.6,0)-Sources!B13-Sources!B14</f>
        <v>18788</v>
      </c>
    </row>
    <row r="11" customFormat="false" ht="15" hidden="false" customHeight="false" outlineLevel="0" collapsed="false">
      <c r="A11" s="0" t="s">
        <v>73</v>
      </c>
      <c r="B11" s="0" t="n">
        <f aca="false">IF($B$5=1,B10,B10+B9)</f>
        <v>126797</v>
      </c>
      <c r="C11" s="0" t="n">
        <v>126797</v>
      </c>
      <c r="D11" s="0" t="n">
        <f aca="false">B11-C11</f>
        <v>0</v>
      </c>
    </row>
    <row r="12" customFormat="false" ht="15" hidden="false" customHeight="false" outlineLevel="0" collapsed="false">
      <c r="A12" s="0" t="s">
        <v>74</v>
      </c>
      <c r="B12" s="0" t="n">
        <f aca="false">ROUND(0.11*MAX(0,MIN(B11,Sources!B32)-Sources!B31)+0.3*MAX(0,MIN(B11,Sources!B33)-Sources!B32)+0.41*MAX(0,MIN(B11,Sources!B34)-Sources!B33)+0.45*MAX(0,B11-Sources!B34),0)</f>
        <v>36215</v>
      </c>
    </row>
    <row r="13" customFormat="false" ht="15" hidden="false" customHeight="false" outlineLevel="0" collapsed="false">
      <c r="A13" s="0" t="s">
        <v>75</v>
      </c>
      <c r="B13" s="0" t="n">
        <f aca="false">IF(B12&lt;=Sources!B36,MAX(0,ROUND(B12-(Sources!B35-Sources!B37*B12),0)),B12)</f>
        <v>36215</v>
      </c>
    </row>
    <row r="14" customFormat="false" ht="15" hidden="false" customHeight="false" outlineLevel="0" collapsed="false">
      <c r="A14" s="0" t="s">
        <v>76</v>
      </c>
      <c r="B14" s="0" t="n">
        <f aca="false">IF($B$5=1,ROUND(B9*Sources!B26,0),0)</f>
        <v>0</v>
      </c>
    </row>
    <row r="15" customFormat="false" ht="15" hidden="false" customHeight="false" outlineLevel="0" collapsed="false">
      <c r="A15" s="0" t="s">
        <v>77</v>
      </c>
      <c r="B15" s="0" t="n">
        <f aca="false">B13+B14</f>
        <v>36215</v>
      </c>
      <c r="C15" s="0" t="n">
        <v>36215</v>
      </c>
      <c r="D15" s="0" t="n">
        <f aca="false">B15-C15</f>
        <v>0</v>
      </c>
    </row>
    <row r="16" customFormat="false" ht="15" hidden="false" customHeight="false" outlineLevel="0" collapsed="false">
      <c r="A16" s="0" t="s">
        <v>78</v>
      </c>
      <c r="B16" s="0" t="n">
        <f aca="false">B15-Sources!B15</f>
        <v>35255</v>
      </c>
      <c r="C16" s="0" t="n">
        <v>35255</v>
      </c>
      <c r="D16" s="0" t="n">
        <f aca="false">B16-C16</f>
        <v>0</v>
      </c>
    </row>
    <row r="17" customFormat="false" ht="15" hidden="false" customHeight="false" outlineLevel="0" collapsed="false">
      <c r="A17" s="0" t="s">
        <v>79</v>
      </c>
      <c r="B17" s="0" t="n">
        <f aca="false">B16-Sources!B16</f>
        <v>35891</v>
      </c>
      <c r="C17" s="0" t="n">
        <v>35891</v>
      </c>
      <c r="D17" s="0" t="n">
        <f aca="false">B17-C17</f>
        <v>0</v>
      </c>
    </row>
    <row r="18" customFormat="false" ht="15" hidden="false" customHeight="false" outlineLevel="0" collapsed="false">
      <c r="A18" s="0" t="s">
        <v>80</v>
      </c>
      <c r="B18" s="0" t="n">
        <f aca="false">ROUND((B16-MAX(Sources!B16,0))*Sources!B23*Sources!B20,0)</f>
        <v>1974</v>
      </c>
      <c r="C18" s="0" t="n">
        <v>1974</v>
      </c>
      <c r="D18" s="0" t="n">
        <f aca="false">B18-C18</f>
        <v>0</v>
      </c>
    </row>
    <row r="19" customFormat="false" ht="15" hidden="false" customHeight="false" outlineLevel="0" collapsed="false">
      <c r="A19" s="0" t="s">
        <v>81</v>
      </c>
      <c r="B19" s="0" t="n">
        <f aca="false">IF($B$4=1,ROUND(B17*Sources!B24,0),0)</f>
        <v>14356</v>
      </c>
      <c r="C19" s="0" t="n">
        <v>14356</v>
      </c>
      <c r="D19" s="0" t="n">
        <f aca="false">B19-C19</f>
        <v>0</v>
      </c>
    </row>
    <row r="20" customFormat="false" ht="15" hidden="false" customHeight="false" outlineLevel="0" collapsed="false">
      <c r="A20" s="0" t="s">
        <v>82</v>
      </c>
      <c r="B20" s="0" t="n">
        <f aca="false">B16+B18+B19</f>
        <v>51585</v>
      </c>
      <c r="C20" s="0" t="n">
        <v>51585</v>
      </c>
      <c r="D20" s="0" t="n">
        <f aca="false">B20-C20</f>
        <v>0</v>
      </c>
    </row>
    <row r="21" customFormat="false" ht="15" hidden="false" customHeight="false" outlineLevel="0" collapsed="false">
      <c r="A21" s="0" t="s">
        <v>83</v>
      </c>
      <c r="B21" s="0" t="n">
        <f aca="false">B8+Sources!B17</f>
        <v>86407</v>
      </c>
    </row>
    <row r="22" customFormat="false" ht="15" hidden="false" customHeight="false" outlineLevel="0" collapsed="false">
      <c r="A22" s="0" t="s">
        <v>84</v>
      </c>
      <c r="B22" s="0" t="n">
        <f aca="false">ROUND(B21*Sources!B21,0)</f>
        <v>8381</v>
      </c>
      <c r="C22" s="0" t="n">
        <v>8381</v>
      </c>
      <c r="D22" s="0" t="n">
        <f aca="false">B22-C22</f>
        <v>0</v>
      </c>
    </row>
    <row r="23" customFormat="false" ht="15" hidden="false" customHeight="false" outlineLevel="0" collapsed="false">
      <c r="A23" s="0" t="s">
        <v>85</v>
      </c>
      <c r="B23" s="0" t="n">
        <f aca="false">ROUND(B21*Sources!B22,0)</f>
        <v>6481</v>
      </c>
      <c r="C23" s="0" t="n">
        <v>6481</v>
      </c>
      <c r="D23" s="0" t="n">
        <f aca="false">B23-C23</f>
        <v>0</v>
      </c>
    </row>
    <row r="24" customFormat="false" ht="15" hidden="false" customHeight="false" outlineLevel="0" collapsed="false">
      <c r="A24" s="0" t="s">
        <v>86</v>
      </c>
      <c r="B24" s="0" t="n">
        <f aca="false">B22+B23-Sources!B18</f>
        <v>14862</v>
      </c>
    </row>
    <row r="25" customFormat="false" ht="15" hidden="false" customHeight="false" outlineLevel="0" collapsed="false">
      <c r="A25" s="0" t="s">
        <v>87</v>
      </c>
      <c r="B25" s="0" t="n">
        <f aca="false">ROUND((B22-ROUND(Sources!B17*Sources!B21,0))*Sources!B23*Sources!B20,0)</f>
        <v>469</v>
      </c>
      <c r="C25" s="0" t="n">
        <v>469</v>
      </c>
      <c r="D25" s="0" t="n">
        <f aca="false">B25-C25</f>
        <v>0</v>
      </c>
    </row>
    <row r="26" customFormat="false" ht="15" hidden="false" customHeight="false" outlineLevel="0" collapsed="false">
      <c r="A26" s="0" t="s">
        <v>88</v>
      </c>
      <c r="B26" s="0" t="n">
        <f aca="false">ROUND((B23-ROUND(Sources!B17*Sources!B22,0))*Sources!B23*Sources!B20,0)</f>
        <v>363</v>
      </c>
      <c r="C26" s="0" t="n">
        <v>363</v>
      </c>
      <c r="D26" s="0" t="n">
        <f aca="false">B26-C26</f>
        <v>0</v>
      </c>
    </row>
    <row r="27" customFormat="false" ht="15" hidden="false" customHeight="false" outlineLevel="0" collapsed="false">
      <c r="A27" s="0" t="s">
        <v>89</v>
      </c>
      <c r="B27" s="0" t="n">
        <f aca="false">IF($B$4=1,ROUND((B22-ROUND(Sources!B17*Sources!B21,0))*Sources!B24,0),0)</f>
        <v>3352</v>
      </c>
      <c r="C27" s="0" t="n">
        <v>3352</v>
      </c>
      <c r="D27" s="0" t="n">
        <f aca="false">B27-C27</f>
        <v>0</v>
      </c>
    </row>
    <row r="28" customFormat="false" ht="15" hidden="false" customHeight="false" outlineLevel="0" collapsed="false">
      <c r="A28" s="0" t="s">
        <v>90</v>
      </c>
      <c r="B28" s="0" t="n">
        <f aca="false">IF($B$4=1,ROUND((B23-ROUND(Sources!B17*Sources!B22,0))*Sources!B24,0),0)</f>
        <v>2592</v>
      </c>
      <c r="C28" s="0" t="n">
        <v>2592</v>
      </c>
      <c r="D28" s="0" t="n">
        <f aca="false">B28-C28</f>
        <v>0</v>
      </c>
    </row>
    <row r="29" customFormat="false" ht="15" hidden="false" customHeight="false" outlineLevel="0" collapsed="false">
      <c r="A29" s="0" t="s">
        <v>91</v>
      </c>
      <c r="B29" s="0" t="n">
        <f aca="false">B22+B23+B25+B26+B27+B28</f>
        <v>21638</v>
      </c>
      <c r="C29" s="0" t="n">
        <v>21638</v>
      </c>
      <c r="D29" s="0" t="n">
        <f aca="false">B29-C29</f>
        <v>0</v>
      </c>
    </row>
    <row r="30" customFormat="false" ht="15" hidden="false" customHeight="false" outlineLevel="0" collapsed="false">
      <c r="A30" s="0" t="s">
        <v>92</v>
      </c>
      <c r="B30" s="0" t="n">
        <f aca="false">B20+B29+(636)</f>
        <v>73859</v>
      </c>
      <c r="C30" s="0" t="n">
        <v>73859</v>
      </c>
      <c r="D30" s="0" t="n">
        <f aca="false">B30-C30</f>
        <v>0</v>
      </c>
    </row>
    <row r="31" customFormat="false" ht="15" hidden="false" customHeight="false" outlineLevel="0" collapsed="false">
      <c r="A31" s="0" t="s">
        <v>93</v>
      </c>
      <c r="B31" s="0" t="n">
        <f aca="false">B17+B18+B19+B24+B25+B26+B27+B28</f>
        <v>73859</v>
      </c>
    </row>
    <row r="34" customFormat="false" ht="15" hidden="false" customHeight="false" outlineLevel="0" collapsed="false">
      <c r="A34" s="1" t="s">
        <v>94</v>
      </c>
      <c r="B34" s="3" t="s">
        <v>67</v>
      </c>
      <c r="C34" s="3" t="s">
        <v>68</v>
      </c>
      <c r="D34" s="3" t="s">
        <v>69</v>
      </c>
    </row>
    <row r="35" customFormat="false" ht="15" hidden="false" customHeight="false" outlineLevel="0" collapsed="false">
      <c r="A35" s="0" t="s">
        <v>70</v>
      </c>
      <c r="B35" s="0" t="n">
        <f aca="false">ROUND(Sources!C9*$B$3,0)</f>
        <v>62005</v>
      </c>
    </row>
    <row r="36" customFormat="false" ht="15" hidden="false" customHeight="false" outlineLevel="0" collapsed="false">
      <c r="A36" s="0" t="s">
        <v>71</v>
      </c>
      <c r="B36" s="0" t="n">
        <f aca="false">ROUND(B35*Sources!C25,0)</f>
        <v>77506</v>
      </c>
    </row>
    <row r="37" customFormat="false" ht="15" hidden="false" customHeight="false" outlineLevel="0" collapsed="false">
      <c r="A37" s="0" t="s">
        <v>72</v>
      </c>
      <c r="B37" s="0" t="n">
        <f aca="false">Sources!C11+ROUND(Sources!C12*0.6,0)-Sources!C13-Sources!C14</f>
        <v>24385</v>
      </c>
    </row>
    <row r="38" customFormat="false" ht="15" hidden="false" customHeight="false" outlineLevel="0" collapsed="false">
      <c r="A38" s="0" t="s">
        <v>73</v>
      </c>
      <c r="B38" s="0" t="n">
        <f aca="false">IF($B$5=1,B37,B37+B36)</f>
        <v>101891</v>
      </c>
      <c r="C38" s="0" t="n">
        <v>101891</v>
      </c>
      <c r="D38" s="0" t="n">
        <f aca="false">B38-C38</f>
        <v>0</v>
      </c>
    </row>
    <row r="39" customFormat="false" ht="15" hidden="false" customHeight="false" outlineLevel="0" collapsed="false">
      <c r="A39" s="0" t="s">
        <v>74</v>
      </c>
      <c r="B39" s="0" t="n">
        <f aca="false">ROUND(0.11*MAX(0,MIN(B38,Sources!C32)-Sources!C31)+0.3*MAX(0,MIN(B38,Sources!C33)-Sources!C32)+0.41*MAX(0,MIN(B38,Sources!C34)-Sources!C33)+0.45*MAX(0,B38-Sources!C34),0)</f>
        <v>25720</v>
      </c>
    </row>
    <row r="40" customFormat="false" ht="15" hidden="false" customHeight="false" outlineLevel="0" collapsed="false">
      <c r="A40" s="0" t="s">
        <v>75</v>
      </c>
      <c r="B40" s="0" t="n">
        <f aca="false">IF(B39&lt;=Sources!C36,MAX(0,ROUND(B39-(Sources!C35-Sources!C37*B39),0)),B39)</f>
        <v>25720</v>
      </c>
    </row>
    <row r="41" customFormat="false" ht="15" hidden="false" customHeight="false" outlineLevel="0" collapsed="false">
      <c r="A41" s="0" t="s">
        <v>76</v>
      </c>
      <c r="B41" s="0" t="n">
        <f aca="false">IF($B$5=1,ROUND(B36*Sources!C26,0),0)</f>
        <v>0</v>
      </c>
    </row>
    <row r="42" customFormat="false" ht="15" hidden="false" customHeight="false" outlineLevel="0" collapsed="false">
      <c r="A42" s="0" t="s">
        <v>77</v>
      </c>
      <c r="B42" s="0" t="n">
        <f aca="false">B40+B41</f>
        <v>25720</v>
      </c>
      <c r="C42" s="0" t="n">
        <v>25720</v>
      </c>
      <c r="D42" s="0" t="n">
        <f aca="false">B42-C42</f>
        <v>0</v>
      </c>
    </row>
    <row r="43" customFormat="false" ht="15" hidden="false" customHeight="false" outlineLevel="0" collapsed="false">
      <c r="A43" s="0" t="s">
        <v>78</v>
      </c>
      <c r="B43" s="0" t="n">
        <f aca="false">B42-Sources!C15</f>
        <v>21637</v>
      </c>
      <c r="C43" s="0" t="n">
        <v>21637</v>
      </c>
      <c r="D43" s="0" t="n">
        <f aca="false">B43-C43</f>
        <v>0</v>
      </c>
    </row>
    <row r="44" customFormat="false" ht="15" hidden="false" customHeight="false" outlineLevel="0" collapsed="false">
      <c r="A44" s="0" t="s">
        <v>79</v>
      </c>
      <c r="B44" s="0" t="n">
        <f aca="false">B43-Sources!C16</f>
        <v>24549</v>
      </c>
      <c r="C44" s="0" t="n">
        <v>24549</v>
      </c>
      <c r="D44" s="0" t="n">
        <f aca="false">B44-C44</f>
        <v>0</v>
      </c>
    </row>
    <row r="45" customFormat="false" ht="15" hidden="false" customHeight="false" outlineLevel="0" collapsed="false">
      <c r="A45" s="0" t="s">
        <v>80</v>
      </c>
      <c r="B45" s="0" t="n">
        <f aca="false">ROUND((B43-MAX(Sources!C16,0))*Sources!C23*Sources!C20,0)</f>
        <v>692</v>
      </c>
      <c r="C45" s="0" t="n">
        <v>692</v>
      </c>
      <c r="D45" s="0" t="n">
        <f aca="false">B45-C45</f>
        <v>0</v>
      </c>
    </row>
    <row r="46" customFormat="false" ht="15" hidden="false" customHeight="false" outlineLevel="0" collapsed="false">
      <c r="A46" s="0" t="s">
        <v>81</v>
      </c>
      <c r="B46" s="0" t="n">
        <f aca="false">IF($B$4=1,ROUND(B44*Sources!C24,0),0)</f>
        <v>9820</v>
      </c>
      <c r="C46" s="0" t="n">
        <v>9820</v>
      </c>
      <c r="D46" s="0" t="n">
        <f aca="false">B46-C46</f>
        <v>0</v>
      </c>
    </row>
    <row r="47" customFormat="false" ht="15" hidden="false" customHeight="false" outlineLevel="0" collapsed="false">
      <c r="A47" s="0" t="s">
        <v>82</v>
      </c>
      <c r="B47" s="0" t="n">
        <f aca="false">B43+B45+B46</f>
        <v>32149</v>
      </c>
      <c r="C47" s="0" t="n">
        <v>32149</v>
      </c>
      <c r="D47" s="0" t="n">
        <f aca="false">B47-C47</f>
        <v>0</v>
      </c>
    </row>
    <row r="48" customFormat="false" ht="15" hidden="false" customHeight="false" outlineLevel="0" collapsed="false">
      <c r="A48" s="0" t="s">
        <v>83</v>
      </c>
      <c r="B48" s="0" t="n">
        <f aca="false">B35+Sources!C17</f>
        <v>66088</v>
      </c>
    </row>
    <row r="49" customFormat="false" ht="15" hidden="false" customHeight="false" outlineLevel="0" collapsed="false">
      <c r="A49" s="0" t="s">
        <v>84</v>
      </c>
      <c r="B49" s="0" t="n">
        <f aca="false">ROUND(B48*Sources!C21,0)</f>
        <v>6411</v>
      </c>
      <c r="C49" s="0" t="n">
        <v>6411</v>
      </c>
      <c r="D49" s="0" t="n">
        <f aca="false">B49-C49</f>
        <v>0</v>
      </c>
    </row>
    <row r="50" customFormat="false" ht="15" hidden="false" customHeight="false" outlineLevel="0" collapsed="false">
      <c r="A50" s="0" t="s">
        <v>85</v>
      </c>
      <c r="B50" s="0" t="n">
        <f aca="false">ROUND(B48*Sources!C22,0)</f>
        <v>4957</v>
      </c>
      <c r="C50" s="0" t="n">
        <v>4957</v>
      </c>
      <c r="D50" s="0" t="n">
        <f aca="false">B50-C50</f>
        <v>0</v>
      </c>
    </row>
    <row r="51" customFormat="false" ht="15" hidden="false" customHeight="false" outlineLevel="0" collapsed="false">
      <c r="A51" s="0" t="s">
        <v>86</v>
      </c>
      <c r="B51" s="0" t="n">
        <f aca="false">B49+B50-Sources!C18</f>
        <v>10666</v>
      </c>
    </row>
    <row r="52" customFormat="false" ht="15" hidden="false" customHeight="false" outlineLevel="0" collapsed="false">
      <c r="A52" s="0" t="s">
        <v>87</v>
      </c>
      <c r="B52" s="0" t="n">
        <f aca="false">ROUND((B49-ROUND(Sources!C17*Sources!C21,0))*Sources!C23*Sources!C20,0)</f>
        <v>192</v>
      </c>
      <c r="C52" s="0" t="n">
        <v>192</v>
      </c>
      <c r="D52" s="0" t="n">
        <f aca="false">B52-C52</f>
        <v>0</v>
      </c>
    </row>
    <row r="53" customFormat="false" ht="15" hidden="false" customHeight="false" outlineLevel="0" collapsed="false">
      <c r="A53" s="0" t="s">
        <v>88</v>
      </c>
      <c r="B53" s="0" t="n">
        <f aca="false">ROUND((B50-ROUND(Sources!C17*Sources!C22,0))*Sources!C23*Sources!C20,0)</f>
        <v>149</v>
      </c>
      <c r="C53" s="0" t="n">
        <v>149</v>
      </c>
      <c r="D53" s="0" t="n">
        <f aca="false">B53-C53</f>
        <v>0</v>
      </c>
    </row>
    <row r="54" customFormat="false" ht="15" hidden="false" customHeight="false" outlineLevel="0" collapsed="false">
      <c r="A54" s="0" t="s">
        <v>89</v>
      </c>
      <c r="B54" s="0" t="n">
        <f aca="false">IF($B$4=1,ROUND((B49-ROUND(Sources!C17*Sources!C21,0))*Sources!C24,0),0)</f>
        <v>2406</v>
      </c>
      <c r="C54" s="0" t="n">
        <v>2406</v>
      </c>
      <c r="D54" s="0" t="n">
        <f aca="false">B54-C54</f>
        <v>0</v>
      </c>
    </row>
    <row r="55" customFormat="false" ht="15" hidden="false" customHeight="false" outlineLevel="0" collapsed="false">
      <c r="A55" s="0" t="s">
        <v>90</v>
      </c>
      <c r="B55" s="0" t="n">
        <f aca="false">IF($B$4=1,ROUND((B50-ROUND(Sources!C17*Sources!C22,0))*Sources!C24,0),0)</f>
        <v>1860</v>
      </c>
      <c r="C55" s="0" t="n">
        <v>1860</v>
      </c>
      <c r="D55" s="0" t="n">
        <f aca="false">B55-C55</f>
        <v>0</v>
      </c>
    </row>
    <row r="56" customFormat="false" ht="15" hidden="false" customHeight="false" outlineLevel="0" collapsed="false">
      <c r="A56" s="0" t="s">
        <v>91</v>
      </c>
      <c r="B56" s="0" t="n">
        <f aca="false">B49+B50+B52+B53+B54+B55</f>
        <v>15975</v>
      </c>
      <c r="C56" s="0" t="n">
        <v>15975</v>
      </c>
      <c r="D56" s="0" t="n">
        <f aca="false">B56-C56</f>
        <v>0</v>
      </c>
    </row>
    <row r="57" customFormat="false" ht="15" hidden="false" customHeight="false" outlineLevel="0" collapsed="false">
      <c r="A57" s="0" t="s">
        <v>92</v>
      </c>
      <c r="B57" s="0" t="n">
        <f aca="false">B47+B56+(0)</f>
        <v>48124</v>
      </c>
      <c r="C57" s="0" t="n">
        <v>48124</v>
      </c>
      <c r="D57" s="0" t="n">
        <f aca="false">B57-C57</f>
        <v>0</v>
      </c>
    </row>
    <row r="58" customFormat="false" ht="15" hidden="false" customHeight="false" outlineLevel="0" collapsed="false">
      <c r="A58" s="0" t="s">
        <v>93</v>
      </c>
      <c r="B58" s="0" t="n">
        <f aca="false">B44+B45+B46+B51+B52+B53+B54+B55</f>
        <v>50334</v>
      </c>
    </row>
    <row r="61" customFormat="false" ht="15" hidden="false" customHeight="false" outlineLevel="0" collapsed="false">
      <c r="A61" s="1" t="s">
        <v>95</v>
      </c>
      <c r="B61" s="3" t="s">
        <v>67</v>
      </c>
      <c r="C61" s="3" t="s">
        <v>68</v>
      </c>
      <c r="D61" s="3" t="s">
        <v>69</v>
      </c>
    </row>
    <row r="62" customFormat="false" ht="15" hidden="false" customHeight="false" outlineLevel="0" collapsed="false">
      <c r="A62" s="0" t="s">
        <v>70</v>
      </c>
      <c r="B62" s="0" t="n">
        <f aca="false">ROUND(Sources!D9*$B$3,0)</f>
        <v>62538</v>
      </c>
    </row>
    <row r="63" customFormat="false" ht="15" hidden="false" customHeight="false" outlineLevel="0" collapsed="false">
      <c r="A63" s="0" t="s">
        <v>71</v>
      </c>
      <c r="B63" s="0" t="n">
        <f aca="false">ROUND(B62*Sources!D25,0)</f>
        <v>78173</v>
      </c>
    </row>
    <row r="64" customFormat="false" ht="15" hidden="false" customHeight="false" outlineLevel="0" collapsed="false">
      <c r="A64" s="0" t="s">
        <v>72</v>
      </c>
      <c r="B64" s="0" t="n">
        <f aca="false">Sources!D11+ROUND(Sources!D12*0.6,0)-Sources!D13-Sources!D14</f>
        <v>23134</v>
      </c>
    </row>
    <row r="65" customFormat="false" ht="15" hidden="false" customHeight="false" outlineLevel="0" collapsed="false">
      <c r="A65" s="0" t="s">
        <v>73</v>
      </c>
      <c r="B65" s="0" t="n">
        <f aca="false">IF($B$5=1,B64,B64+B63)</f>
        <v>101307</v>
      </c>
      <c r="C65" s="0" t="n">
        <v>101307</v>
      </c>
      <c r="D65" s="0" t="n">
        <f aca="false">B65-C65</f>
        <v>0</v>
      </c>
    </row>
    <row r="66" customFormat="false" ht="15" hidden="false" customHeight="false" outlineLevel="0" collapsed="false">
      <c r="A66" s="0" t="s">
        <v>74</v>
      </c>
      <c r="B66" s="0" t="n">
        <f aca="false">ROUND(0.11*MAX(0,MIN(B65,Sources!D32)-Sources!D31)+0.3*MAX(0,MIN(B65,Sources!D33)-Sources!D32)+0.41*MAX(0,MIN(B65,Sources!D34)-Sources!D33)+0.45*MAX(0,B65-Sources!D34),0)</f>
        <v>25336</v>
      </c>
    </row>
    <row r="67" customFormat="false" ht="15" hidden="false" customHeight="false" outlineLevel="0" collapsed="false">
      <c r="A67" s="0" t="s">
        <v>75</v>
      </c>
      <c r="B67" s="0" t="n">
        <f aca="false">IF(B66&lt;=Sources!D36,MAX(0,ROUND(B66-(Sources!D35-Sources!D37*B66),0)),B66)</f>
        <v>25336</v>
      </c>
    </row>
    <row r="68" customFormat="false" ht="15" hidden="false" customHeight="false" outlineLevel="0" collapsed="false">
      <c r="A68" s="0" t="s">
        <v>76</v>
      </c>
      <c r="B68" s="0" t="n">
        <f aca="false">IF($B$5=1,ROUND(B63*Sources!D26,0),0)</f>
        <v>0</v>
      </c>
    </row>
    <row r="69" customFormat="false" ht="15" hidden="false" customHeight="false" outlineLevel="0" collapsed="false">
      <c r="A69" s="0" t="s">
        <v>77</v>
      </c>
      <c r="B69" s="0" t="n">
        <f aca="false">B67+B68</f>
        <v>25336</v>
      </c>
      <c r="C69" s="0" t="n">
        <v>25336</v>
      </c>
      <c r="D69" s="0" t="n">
        <f aca="false">B69-C69</f>
        <v>0</v>
      </c>
    </row>
    <row r="70" customFormat="false" ht="15" hidden="false" customHeight="false" outlineLevel="0" collapsed="false">
      <c r="A70" s="0" t="s">
        <v>78</v>
      </c>
      <c r="B70" s="0" t="n">
        <f aca="false">B69-Sources!D15</f>
        <v>25336</v>
      </c>
      <c r="C70" s="0" t="n">
        <v>25336</v>
      </c>
      <c r="D70" s="0" t="n">
        <f aca="false">B70-C70</f>
        <v>0</v>
      </c>
    </row>
    <row r="71" customFormat="false" ht="15" hidden="false" customHeight="false" outlineLevel="0" collapsed="false">
      <c r="A71" s="0" t="s">
        <v>79</v>
      </c>
      <c r="B71" s="0" t="n">
        <f aca="false">B70-Sources!D16</f>
        <v>24390</v>
      </c>
      <c r="C71" s="0" t="n">
        <v>24390</v>
      </c>
      <c r="D71" s="0" t="n">
        <f aca="false">B71-C71</f>
        <v>0</v>
      </c>
    </row>
    <row r="72" customFormat="false" ht="15" hidden="false" customHeight="false" outlineLevel="0" collapsed="false">
      <c r="A72" s="0" t="s">
        <v>80</v>
      </c>
      <c r="B72" s="0" t="n">
        <f aca="false">ROUND((B70-MAX(Sources!D16,0))*Sources!D23*Sources!D20,0)</f>
        <v>195</v>
      </c>
      <c r="C72" s="0" t="n">
        <v>195</v>
      </c>
      <c r="D72" s="0" t="n">
        <f aca="false">B72-C72</f>
        <v>0</v>
      </c>
    </row>
    <row r="73" customFormat="false" ht="15" hidden="false" customHeight="false" outlineLevel="0" collapsed="false">
      <c r="A73" s="0" t="s">
        <v>81</v>
      </c>
      <c r="B73" s="0" t="n">
        <f aca="false">IF($B$4=1,ROUND(B71*Sources!D24,0),0)</f>
        <v>9756</v>
      </c>
      <c r="C73" s="0" t="n">
        <v>9756</v>
      </c>
      <c r="D73" s="0" t="n">
        <f aca="false">B73-C73</f>
        <v>0</v>
      </c>
    </row>
    <row r="74" customFormat="false" ht="15" hidden="false" customHeight="false" outlineLevel="0" collapsed="false">
      <c r="A74" s="0" t="s">
        <v>82</v>
      </c>
      <c r="B74" s="0" t="n">
        <f aca="false">B70+B72+B73</f>
        <v>35287</v>
      </c>
      <c r="C74" s="0" t="n">
        <v>35287</v>
      </c>
      <c r="D74" s="0" t="n">
        <f aca="false">B74-C74</f>
        <v>0</v>
      </c>
    </row>
    <row r="75" customFormat="false" ht="15" hidden="false" customHeight="false" outlineLevel="0" collapsed="false">
      <c r="A75" s="0" t="s">
        <v>83</v>
      </c>
      <c r="B75" s="0" t="n">
        <f aca="false">B62+Sources!D17</f>
        <v>62538</v>
      </c>
    </row>
    <row r="76" customFormat="false" ht="15" hidden="false" customHeight="false" outlineLevel="0" collapsed="false">
      <c r="A76" s="0" t="s">
        <v>84</v>
      </c>
      <c r="B76" s="0" t="n">
        <f aca="false">ROUND(B75*Sources!D21,0)</f>
        <v>6942</v>
      </c>
      <c r="C76" s="0" t="n">
        <v>6942</v>
      </c>
      <c r="D76" s="0" t="n">
        <f aca="false">B76-C76</f>
        <v>0</v>
      </c>
    </row>
    <row r="77" customFormat="false" ht="15" hidden="false" customHeight="false" outlineLevel="0" collapsed="false">
      <c r="A77" s="0" t="s">
        <v>85</v>
      </c>
      <c r="B77" s="0" t="n">
        <f aca="false">ROUND(B75*Sources!D22,0)</f>
        <v>4690</v>
      </c>
      <c r="C77" s="0" t="n">
        <v>4690</v>
      </c>
      <c r="D77" s="0" t="n">
        <f aca="false">B77-C77</f>
        <v>0</v>
      </c>
    </row>
    <row r="78" customFormat="false" ht="15" hidden="false" customHeight="false" outlineLevel="0" collapsed="false">
      <c r="A78" s="0" t="s">
        <v>86</v>
      </c>
      <c r="B78" s="0" t="n">
        <f aca="false">B76+B77-Sources!D18</f>
        <v>11632</v>
      </c>
    </row>
    <row r="79" customFormat="false" ht="15" hidden="false" customHeight="false" outlineLevel="0" collapsed="false">
      <c r="A79" s="0" t="s">
        <v>87</v>
      </c>
      <c r="B79" s="0" t="n">
        <f aca="false">ROUND((B76-ROUND(Sources!D17*Sources!D21,0))*Sources!D23*Sources!D20,0)</f>
        <v>56</v>
      </c>
      <c r="C79" s="0" t="n">
        <v>56</v>
      </c>
      <c r="D79" s="0" t="n">
        <f aca="false">B79-C79</f>
        <v>0</v>
      </c>
    </row>
    <row r="80" customFormat="false" ht="15" hidden="false" customHeight="false" outlineLevel="0" collapsed="false">
      <c r="A80" s="0" t="s">
        <v>88</v>
      </c>
      <c r="B80" s="0" t="n">
        <f aca="false">ROUND((B77-ROUND(Sources!D17*Sources!D22,0))*Sources!D23*Sources!D20,0)</f>
        <v>38</v>
      </c>
      <c r="C80" s="0" t="n">
        <v>38</v>
      </c>
      <c r="D80" s="0" t="n">
        <f aca="false">B80-C80</f>
        <v>0</v>
      </c>
    </row>
    <row r="81" customFormat="false" ht="15" hidden="false" customHeight="false" outlineLevel="0" collapsed="false">
      <c r="A81" s="0" t="s">
        <v>89</v>
      </c>
      <c r="B81" s="0" t="n">
        <f aca="false">IF($B$4=1,ROUND((B76-ROUND(Sources!D17*Sources!D21,0))*Sources!D24,0),0)</f>
        <v>2777</v>
      </c>
      <c r="C81" s="0" t="n">
        <v>2777</v>
      </c>
      <c r="D81" s="0" t="n">
        <f aca="false">B81-C81</f>
        <v>0</v>
      </c>
    </row>
    <row r="82" customFormat="false" ht="15" hidden="false" customHeight="false" outlineLevel="0" collapsed="false">
      <c r="A82" s="0" t="s">
        <v>90</v>
      </c>
      <c r="B82" s="0" t="n">
        <f aca="false">IF($B$4=1,ROUND((B77-ROUND(Sources!D17*Sources!D22,0))*Sources!D24,0),0)</f>
        <v>1876</v>
      </c>
      <c r="C82" s="0" t="n">
        <v>1876</v>
      </c>
      <c r="D82" s="0" t="n">
        <f aca="false">B82-C82</f>
        <v>0</v>
      </c>
    </row>
    <row r="83" customFormat="false" ht="15" hidden="false" customHeight="false" outlineLevel="0" collapsed="false">
      <c r="A83" s="0" t="s">
        <v>91</v>
      </c>
      <c r="B83" s="0" t="n">
        <f aca="false">B76+B77+B79+B80+B81+B82</f>
        <v>16379</v>
      </c>
      <c r="C83" s="0" t="n">
        <v>16379</v>
      </c>
      <c r="D83" s="0" t="n">
        <f aca="false">B83-C83</f>
        <v>0</v>
      </c>
    </row>
    <row r="84" customFormat="false" ht="15" hidden="false" customHeight="false" outlineLevel="0" collapsed="false">
      <c r="A84" s="0" t="s">
        <v>92</v>
      </c>
      <c r="B84" s="0" t="n">
        <f aca="false">B74+B83+(-946)</f>
        <v>50720</v>
      </c>
      <c r="C84" s="0" t="n">
        <v>50720</v>
      </c>
      <c r="D84" s="0" t="n">
        <f aca="false">B84-C84</f>
        <v>0</v>
      </c>
    </row>
    <row r="85" customFormat="false" ht="15" hidden="false" customHeight="false" outlineLevel="0" collapsed="false">
      <c r="A85" s="0" t="s">
        <v>93</v>
      </c>
      <c r="B85" s="0" t="n">
        <f aca="false">B71+B72+B73+B78+B79+B80+B81+B82</f>
        <v>50720</v>
      </c>
    </row>
    <row r="88" customFormat="false" ht="15" hidden="false" customHeight="false" outlineLevel="0" collapsed="false">
      <c r="A88" s="3" t="s">
        <v>96</v>
      </c>
      <c r="B88" s="5" t="n">
        <f aca="false">B30+B57+B84</f>
        <v>172703</v>
      </c>
      <c r="C88" s="0" t="n">
        <v>172703</v>
      </c>
      <c r="D88" s="5" t="n">
        <f aca="false">B88-C88</f>
        <v>0</v>
      </c>
    </row>
    <row r="89" customFormat="false" ht="15" hidden="false" customHeight="false" outlineLevel="0" collapsed="false">
      <c r="A89" s="3" t="s">
        <v>97</v>
      </c>
      <c r="B89" s="5" t="n">
        <f aca="false">B58</f>
        <v>50334</v>
      </c>
      <c r="C89" s="0" t="n">
        <v>50334</v>
      </c>
      <c r="D89" s="5" t="n">
        <f aca="false">B89-C89</f>
        <v>0</v>
      </c>
    </row>
    <row r="90" customFormat="false" ht="15" hidden="false" customHeight="false" outlineLevel="0" collapsed="false">
      <c r="A90" s="3" t="s">
        <v>98</v>
      </c>
      <c r="B90" s="5" t="n">
        <f aca="false">B89-B57</f>
        <v>2210</v>
      </c>
    </row>
    <row r="92" customFormat="false" ht="15" hidden="false" customHeight="false" outlineLevel="0" collapsed="false">
      <c r="A92" s="3" t="s">
        <v>99</v>
      </c>
      <c r="B92" s="5" t="n">
        <f aca="false">B19+B27+B28+B46+B54+B55+B73+B81+B82</f>
        <v>48795</v>
      </c>
    </row>
    <row r="93" customFormat="false" ht="15" hidden="false" customHeight="false" outlineLevel="0" collapsed="false">
      <c r="A93" s="3" t="s">
        <v>100</v>
      </c>
      <c r="B93" s="5" t="n">
        <f aca="false">B18+B25+B26+B45+B52+B53+B72+B79+B80</f>
        <v>4128</v>
      </c>
    </row>
    <row r="94" customFormat="false" ht="15" hidden="false" customHeight="false" outlineLevel="0" collapsed="false">
      <c r="A94" s="3" t="s">
        <v>101</v>
      </c>
      <c r="B94" s="5" t="n">
        <f aca="false">B17+B24+B44+B51+B71+B78</f>
        <v>121990</v>
      </c>
    </row>
    <row r="95" customFormat="false" ht="15" hidden="false" customHeight="false" outlineLevel="0" collapsed="false">
      <c r="A95" s="3" t="s">
        <v>102</v>
      </c>
      <c r="B95" s="5" t="n">
        <f aca="false">B8+B35+B62</f>
        <v>210950</v>
      </c>
    </row>
    <row r="96" customFormat="false" ht="15" hidden="false" customHeight="false" outlineLevel="0" collapsed="false">
      <c r="A96" s="3" t="s">
        <v>103</v>
      </c>
      <c r="B96" s="5" t="n">
        <f aca="false">Sources!B5+Sources!C5+Sources!D5</f>
        <v>235913</v>
      </c>
    </row>
    <row r="97" customFormat="false" ht="15" hidden="false" customHeight="false" outlineLevel="0" collapsed="false">
      <c r="A97" s="3" t="s">
        <v>104</v>
      </c>
      <c r="B97" s="5" t="n">
        <f aca="false">B96-B95</f>
        <v>24963</v>
      </c>
    </row>
    <row r="98" customFormat="false" ht="15" hidden="false" customHeight="false" outlineLevel="0" collapsed="false">
      <c r="A98" s="3" t="s">
        <v>105</v>
      </c>
      <c r="B98" s="5" t="n">
        <f aca="false">C88/B96</f>
        <v>0.732062243284601</v>
      </c>
    </row>
    <row r="99" customFormat="false" ht="15" hidden="false" customHeight="false" outlineLevel="0" collapsed="false">
      <c r="A99" s="3" t="s">
        <v>106</v>
      </c>
      <c r="B99" s="5" t="n">
        <f aca="false">B19+B46+B73</f>
        <v>33932</v>
      </c>
    </row>
    <row r="100" customFormat="false" ht="15" hidden="false" customHeight="false" outlineLevel="0" collapsed="false">
      <c r="A100" s="3" t="s">
        <v>107</v>
      </c>
      <c r="B100" s="5" t="n">
        <f aca="false">(C88-B99)/B96</f>
        <v>0.588229559201909</v>
      </c>
    </row>
    <row r="101" customFormat="false" ht="15" hidden="false" customHeight="false" outlineLevel="0" collapsed="false">
      <c r="A101" s="3" t="s">
        <v>108</v>
      </c>
      <c r="B101" s="5" t="n">
        <f aca="false">(C88-B92)/B96</f>
        <v>0.525227520314692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  <col collapsed="false" customWidth="true" hidden="false" outlineLevel="0" max="11" min="2" style="0" width="15"/>
  </cols>
  <sheetData>
    <row r="1" customFormat="false" ht="15" hidden="false" customHeight="false" outlineLevel="0" collapsed="false">
      <c r="A1" s="1" t="s">
        <v>109</v>
      </c>
    </row>
    <row r="3" customFormat="false" ht="15" hidden="false" customHeight="false" outlineLevel="0" collapsed="false">
      <c r="A3" s="2" t="s">
        <v>110</v>
      </c>
      <c r="B3" s="2" t="s">
        <v>63</v>
      </c>
      <c r="C3" s="2" t="s">
        <v>111</v>
      </c>
      <c r="D3" s="2" t="s">
        <v>112</v>
      </c>
      <c r="E3" s="2" t="s">
        <v>113</v>
      </c>
      <c r="F3" s="2" t="s">
        <v>2</v>
      </c>
      <c r="G3" s="2" t="s">
        <v>3</v>
      </c>
      <c r="H3" s="2" t="s">
        <v>4</v>
      </c>
      <c r="I3" s="2" t="s">
        <v>114</v>
      </c>
      <c r="J3" s="2" t="s">
        <v>115</v>
      </c>
      <c r="K3" s="2" t="s">
        <v>116</v>
      </c>
    </row>
    <row r="4" customFormat="false" ht="15" hidden="false" customHeight="false" outlineLevel="0" collapsed="false">
      <c r="A4" s="0" t="s">
        <v>117</v>
      </c>
      <c r="B4" s="4" t="n">
        <v>1</v>
      </c>
      <c r="C4" s="4" t="n">
        <v>1</v>
      </c>
      <c r="D4" s="4" t="n">
        <v>0</v>
      </c>
      <c r="E4" s="4" t="n">
        <v>1.25</v>
      </c>
      <c r="F4" s="5" t="n">
        <f aca="false">B43</f>
        <v>73859</v>
      </c>
      <c r="G4" s="5" t="n">
        <f aca="false">C43</f>
        <v>48124</v>
      </c>
      <c r="H4" s="5" t="n">
        <f aca="false">D43</f>
        <v>50720</v>
      </c>
      <c r="I4" s="5" t="n">
        <f aca="false">SUM(F4:H4)</f>
        <v>172703</v>
      </c>
      <c r="J4" s="5" t="n">
        <f aca="false">I4-$I$4</f>
        <v>0</v>
      </c>
      <c r="K4" s="5" t="n">
        <f aca="false">B21+C21+D21</f>
        <v>210950</v>
      </c>
    </row>
    <row r="5" customFormat="false" ht="15" hidden="false" customHeight="false" outlineLevel="0" collapsed="false">
      <c r="A5" s="0" t="s">
        <v>118</v>
      </c>
      <c r="B5" s="4" t="n">
        <v>1</v>
      </c>
      <c r="C5" s="4" t="n">
        <v>0</v>
      </c>
      <c r="D5" s="4" t="n">
        <v>0</v>
      </c>
      <c r="E5" s="4" t="n">
        <v>1.25</v>
      </c>
      <c r="F5" s="5" t="n">
        <f aca="false">B72</f>
        <v>53559</v>
      </c>
      <c r="G5" s="5" t="n">
        <f aca="false">C72</f>
        <v>34038</v>
      </c>
      <c r="H5" s="5" t="n">
        <f aca="false">D72</f>
        <v>36311</v>
      </c>
      <c r="I5" s="5" t="n">
        <f aca="false">SUM(F5:H5)</f>
        <v>123908</v>
      </c>
      <c r="J5" s="5" t="n">
        <f aca="false">I5-$I$4</f>
        <v>-48795</v>
      </c>
      <c r="K5" s="5" t="n">
        <f aca="false">B50+C50+D50</f>
        <v>210950</v>
      </c>
    </row>
    <row r="6" customFormat="false" ht="15" hidden="false" customHeight="false" outlineLevel="0" collapsed="false">
      <c r="A6" s="0" t="s">
        <v>119</v>
      </c>
      <c r="B6" s="4" t="n">
        <v>0.75</v>
      </c>
      <c r="C6" s="4" t="n">
        <v>1</v>
      </c>
      <c r="D6" s="4" t="n">
        <v>0</v>
      </c>
      <c r="E6" s="4" t="n">
        <v>1.25</v>
      </c>
      <c r="F6" s="5" t="n">
        <f aca="false">B101</f>
        <v>52330</v>
      </c>
      <c r="G6" s="5" t="n">
        <f aca="false">C101</f>
        <v>33136</v>
      </c>
      <c r="H6" s="5" t="n">
        <f aca="false">D101</f>
        <v>35778</v>
      </c>
      <c r="I6" s="5" t="n">
        <f aca="false">SUM(F6:H6)</f>
        <v>121244</v>
      </c>
      <c r="J6" s="5" t="n">
        <f aca="false">I6-$I$4</f>
        <v>-51459</v>
      </c>
      <c r="K6" s="5" t="n">
        <f aca="false">B79+C79+D79</f>
        <v>158213</v>
      </c>
    </row>
    <row r="7" customFormat="false" ht="15" hidden="false" customHeight="false" outlineLevel="0" collapsed="false">
      <c r="A7" s="0" t="s">
        <v>120</v>
      </c>
      <c r="B7" s="4" t="n">
        <v>0.5</v>
      </c>
      <c r="C7" s="4" t="n">
        <v>1</v>
      </c>
      <c r="D7" s="4" t="n">
        <v>0</v>
      </c>
      <c r="E7" s="4" t="n">
        <v>1.25</v>
      </c>
      <c r="F7" s="5" t="n">
        <f aca="false">B130</f>
        <v>32332</v>
      </c>
      <c r="G7" s="5" t="n">
        <f aca="false">C130</f>
        <v>20992</v>
      </c>
      <c r="H7" s="5" t="n">
        <f aca="false">D130</f>
        <v>23430</v>
      </c>
      <c r="I7" s="5" t="n">
        <f aca="false">SUM(F7:H7)</f>
        <v>76754</v>
      </c>
      <c r="J7" s="5" t="n">
        <f aca="false">I7-$I$4</f>
        <v>-95949</v>
      </c>
      <c r="K7" s="5" t="n">
        <f aca="false">B108+C108+D108</f>
        <v>105476</v>
      </c>
    </row>
    <row r="8" customFormat="false" ht="15" hidden="false" customHeight="false" outlineLevel="0" collapsed="false">
      <c r="A8" s="0" t="s">
        <v>121</v>
      </c>
      <c r="B8" s="4" t="n">
        <v>0.25</v>
      </c>
      <c r="C8" s="4" t="n">
        <v>1</v>
      </c>
      <c r="D8" s="4" t="n">
        <v>0</v>
      </c>
      <c r="E8" s="4" t="n">
        <v>1.25</v>
      </c>
      <c r="F8" s="5" t="n">
        <f aca="false">B159</f>
        <v>15129</v>
      </c>
      <c r="G8" s="5" t="n">
        <f aca="false">C159</f>
        <v>8852</v>
      </c>
      <c r="H8" s="5" t="n">
        <f aca="false">D159</f>
        <v>11079</v>
      </c>
      <c r="I8" s="5" t="n">
        <f aca="false">SUM(F8:H8)</f>
        <v>35060</v>
      </c>
      <c r="J8" s="5" t="n">
        <f aca="false">I8-$I$4</f>
        <v>-137643</v>
      </c>
      <c r="K8" s="5" t="n">
        <f aca="false">B137+C137+D137</f>
        <v>52738</v>
      </c>
    </row>
    <row r="9" customFormat="false" ht="15" hidden="false" customHeight="false" outlineLevel="0" collapsed="false">
      <c r="A9" s="0" t="s">
        <v>122</v>
      </c>
      <c r="B9" s="4" t="n">
        <v>0.75</v>
      </c>
      <c r="C9" s="4" t="n">
        <v>0</v>
      </c>
      <c r="D9" s="4" t="n">
        <v>0</v>
      </c>
      <c r="E9" s="4" t="n">
        <v>1.25</v>
      </c>
      <c r="F9" s="5" t="n">
        <f aca="false">B188</f>
        <v>37944</v>
      </c>
      <c r="G9" s="5" t="n">
        <f aca="false">C188</f>
        <v>23237</v>
      </c>
      <c r="H9" s="5" t="n">
        <f aca="false">D188</f>
        <v>25614</v>
      </c>
      <c r="I9" s="5" t="n">
        <f aca="false">SUM(F9:H9)</f>
        <v>86795</v>
      </c>
      <c r="J9" s="5" t="n">
        <f aca="false">I9-$I$4</f>
        <v>-85908</v>
      </c>
      <c r="K9" s="5" t="n">
        <f aca="false">B166+C166+D166</f>
        <v>158213</v>
      </c>
    </row>
    <row r="10" customFormat="false" ht="15" hidden="false" customHeight="false" outlineLevel="0" collapsed="false">
      <c r="A10" s="0" t="s">
        <v>123</v>
      </c>
      <c r="B10" s="4" t="n">
        <v>0.5</v>
      </c>
      <c r="C10" s="4" t="n">
        <v>0</v>
      </c>
      <c r="D10" s="4" t="n">
        <v>0</v>
      </c>
      <c r="E10" s="4" t="n">
        <v>1.25</v>
      </c>
      <c r="F10" s="5" t="n">
        <f aca="false">B217</f>
        <v>23440</v>
      </c>
      <c r="G10" s="5" t="n">
        <f aca="false">C217</f>
        <v>14485</v>
      </c>
      <c r="H10" s="5" t="n">
        <f aca="false">D217</f>
        <v>16774</v>
      </c>
      <c r="I10" s="5" t="n">
        <f aca="false">SUM(F10:H10)</f>
        <v>54699</v>
      </c>
      <c r="J10" s="5" t="n">
        <f aca="false">I10-$I$4</f>
        <v>-118004</v>
      </c>
      <c r="K10" s="5" t="n">
        <f aca="false">B195+C195+D195</f>
        <v>105476</v>
      </c>
    </row>
    <row r="11" customFormat="false" ht="15" hidden="false" customHeight="false" outlineLevel="0" collapsed="false">
      <c r="A11" s="0" t="s">
        <v>124</v>
      </c>
      <c r="B11" s="4" t="n">
        <v>0.25</v>
      </c>
      <c r="C11" s="4" t="n">
        <v>0</v>
      </c>
      <c r="D11" s="4" t="n">
        <v>0</v>
      </c>
      <c r="E11" s="4" t="n">
        <v>1.25</v>
      </c>
      <c r="F11" s="5" t="n">
        <f aca="false">B246</f>
        <v>10963</v>
      </c>
      <c r="G11" s="5" t="n">
        <f aca="false">C246</f>
        <v>5736</v>
      </c>
      <c r="H11" s="5" t="n">
        <f aca="false">D246</f>
        <v>7932</v>
      </c>
      <c r="I11" s="5" t="n">
        <f aca="false">SUM(F11:H11)</f>
        <v>24631</v>
      </c>
      <c r="J11" s="5" t="n">
        <f aca="false">I11-$I$4</f>
        <v>-148072</v>
      </c>
      <c r="K11" s="5" t="n">
        <f aca="false">B224+C224+D224</f>
        <v>52738</v>
      </c>
    </row>
    <row r="12" customFormat="false" ht="15" hidden="false" customHeight="false" outlineLevel="0" collapsed="false">
      <c r="A12" s="0" t="s">
        <v>125</v>
      </c>
      <c r="B12" s="4" t="n">
        <v>1</v>
      </c>
      <c r="C12" s="4" t="n">
        <v>1</v>
      </c>
      <c r="D12" s="4" t="n">
        <v>1</v>
      </c>
      <c r="E12" s="4" t="n">
        <v>1.25</v>
      </c>
      <c r="F12" s="5" t="n">
        <f aca="false">B275</f>
        <v>41732</v>
      </c>
      <c r="G12" s="5" t="n">
        <f aca="false">C275</f>
        <v>27176</v>
      </c>
      <c r="H12" s="5" t="n">
        <f aca="false">D275</f>
        <v>30467</v>
      </c>
      <c r="I12" s="5" t="n">
        <f aca="false">SUM(F12:H12)</f>
        <v>99375</v>
      </c>
      <c r="J12" s="5" t="n">
        <f aca="false">I12-$I$4</f>
        <v>-73328</v>
      </c>
      <c r="K12" s="5" t="n">
        <f aca="false">B253+C253+D253</f>
        <v>210950</v>
      </c>
    </row>
    <row r="13" customFormat="false" ht="15" hidden="false" customHeight="false" outlineLevel="0" collapsed="false">
      <c r="A13" s="0" t="s">
        <v>126</v>
      </c>
      <c r="B13" s="4" t="n">
        <v>1</v>
      </c>
      <c r="C13" s="4" t="n">
        <v>0</v>
      </c>
      <c r="D13" s="4" t="n">
        <v>1</v>
      </c>
      <c r="E13" s="4" t="n">
        <v>1.25</v>
      </c>
      <c r="F13" s="5" t="n">
        <f aca="false">B304</f>
        <v>30258</v>
      </c>
      <c r="G13" s="5" t="n">
        <f aca="false">C304</f>
        <v>18942</v>
      </c>
      <c r="H13" s="5" t="n">
        <f aca="false">D304</f>
        <v>21812</v>
      </c>
      <c r="I13" s="5" t="n">
        <f aca="false">SUM(F13:H13)</f>
        <v>71012</v>
      </c>
      <c r="J13" s="5" t="n">
        <f aca="false">I13-$I$4</f>
        <v>-101691</v>
      </c>
      <c r="K13" s="5" t="n">
        <f aca="false">B282+C282+D282</f>
        <v>210950</v>
      </c>
    </row>
    <row r="14" customFormat="false" ht="15" hidden="false" customHeight="false" outlineLevel="0" collapsed="false">
      <c r="A14" s="0" t="s">
        <v>127</v>
      </c>
      <c r="B14" s="4" t="n">
        <v>1</v>
      </c>
      <c r="C14" s="4" t="n">
        <v>1</v>
      </c>
      <c r="D14" s="4" t="n">
        <v>0</v>
      </c>
      <c r="E14" s="4" t="n">
        <v>1.25</v>
      </c>
      <c r="F14" s="5" t="n">
        <f aca="false">B333</f>
        <v>84037</v>
      </c>
      <c r="G14" s="5" t="n">
        <f aca="false">C333</f>
        <v>55405</v>
      </c>
      <c r="H14" s="5" t="n">
        <f aca="false">D333</f>
        <v>57925</v>
      </c>
      <c r="I14" s="5" t="n">
        <f aca="false">SUM(F14:H14)</f>
        <v>197367</v>
      </c>
      <c r="J14" s="5" t="n">
        <f aca="false">I14-$I$4</f>
        <v>24664</v>
      </c>
      <c r="K14" s="5" t="n">
        <f aca="false">B311+C311+D311</f>
        <v>235913</v>
      </c>
    </row>
    <row r="15" customFormat="false" ht="15" hidden="false" customHeight="false" outlineLevel="0" collapsed="false">
      <c r="A15" s="0" t="s">
        <v>128</v>
      </c>
      <c r="B15" s="4" t="n">
        <v>1</v>
      </c>
      <c r="C15" s="4" t="n">
        <v>1</v>
      </c>
      <c r="D15" s="4" t="n">
        <v>0</v>
      </c>
      <c r="E15" s="4" t="n">
        <v>1</v>
      </c>
      <c r="F15" s="5" t="n">
        <f aca="false">B362</f>
        <v>60965</v>
      </c>
      <c r="G15" s="5" t="n">
        <f aca="false">C362</f>
        <v>39024</v>
      </c>
      <c r="H15" s="5" t="n">
        <f aca="false">D362</f>
        <v>41695</v>
      </c>
      <c r="I15" s="5" t="n">
        <f aca="false">SUM(F15:H15)</f>
        <v>141684</v>
      </c>
      <c r="J15" s="5" t="n">
        <f aca="false">I15-$I$4</f>
        <v>-31019</v>
      </c>
      <c r="K15" s="5" t="n">
        <f aca="false">B340+C340+D340</f>
        <v>210950</v>
      </c>
    </row>
    <row r="19" customFormat="false" ht="15" hidden="false" customHeight="false" outlineLevel="0" collapsed="false">
      <c r="A19" s="1" t="s">
        <v>129</v>
      </c>
    </row>
    <row r="20" customFormat="false" ht="15" hidden="false" customHeight="false" outlineLevel="0" collapsed="false">
      <c r="B20" s="3" t="s">
        <v>2</v>
      </c>
      <c r="C20" s="3" t="s">
        <v>3</v>
      </c>
      <c r="D20" s="3" t="s">
        <v>4</v>
      </c>
    </row>
    <row r="21" customFormat="false" ht="15" hidden="false" customHeight="false" outlineLevel="0" collapsed="false">
      <c r="A21" s="0" t="s">
        <v>70</v>
      </c>
      <c r="B21" s="0" t="n">
        <f aca="false">ROUND(Sources!B9*$B$4,0)</f>
        <v>86407</v>
      </c>
      <c r="C21" s="0" t="n">
        <f aca="false">ROUND(Sources!C9*$B$4,0)</f>
        <v>62005</v>
      </c>
      <c r="D21" s="0" t="n">
        <f aca="false">ROUND(Sources!D9*$B$4,0)</f>
        <v>62538</v>
      </c>
    </row>
    <row r="22" customFormat="false" ht="15" hidden="false" customHeight="false" outlineLevel="0" collapsed="false">
      <c r="A22" s="0" t="s">
        <v>71</v>
      </c>
      <c r="B22" s="0" t="n">
        <f aca="false">ROUND(B21*$E$4,0)</f>
        <v>108009</v>
      </c>
      <c r="C22" s="0" t="n">
        <f aca="false">ROUND(C21*$E$4,0)</f>
        <v>77506</v>
      </c>
      <c r="D22" s="0" t="n">
        <f aca="false">ROUND(D21*$E$4,0)</f>
        <v>78173</v>
      </c>
    </row>
    <row r="23" customFormat="false" ht="15" hidden="false" customHeight="false" outlineLevel="0" collapsed="false">
      <c r="A23" s="0" t="s">
        <v>72</v>
      </c>
      <c r="B23" s="0" t="n">
        <f aca="false">Sources!B11+ROUND(Sources!B12*0.6,0)-Sources!B13-Sources!B14</f>
        <v>18788</v>
      </c>
      <c r="C23" s="0" t="n">
        <f aca="false">Sources!C11+ROUND(Sources!C12*0.6,0)-Sources!C13-Sources!C14</f>
        <v>24385</v>
      </c>
      <c r="D23" s="0" t="n">
        <f aca="false">Sources!D11+ROUND(Sources!D12*0.6,0)-Sources!D13-Sources!D14</f>
        <v>23134</v>
      </c>
    </row>
    <row r="24" customFormat="false" ht="15" hidden="false" customHeight="false" outlineLevel="0" collapsed="false">
      <c r="A24" s="0" t="s">
        <v>73</v>
      </c>
      <c r="B24" s="0" t="n">
        <f aca="false">IF($D$4=1,B23,B23+B22)</f>
        <v>126797</v>
      </c>
      <c r="C24" s="0" t="n">
        <f aca="false">IF($D$4=1,C23,C23+C22)</f>
        <v>101891</v>
      </c>
      <c r="D24" s="0" t="n">
        <f aca="false">IF($D$4=1,D23,D23+D22)</f>
        <v>101307</v>
      </c>
    </row>
    <row r="25" customFormat="false" ht="15" hidden="false" customHeight="false" outlineLevel="0" collapsed="false">
      <c r="A25" s="0" t="s">
        <v>74</v>
      </c>
      <c r="B25" s="0" t="n">
        <f aca="false">ROUND(0.11*MAX(0,MIN(B24,Sources!B32)-Sources!B31)+0.3*MAX(0,MIN(B24,Sources!B33)-Sources!B32)+0.41*MAX(0,MIN(B24,Sources!B34)-Sources!B33)+0.45*MAX(0,B24-Sources!B34),0)</f>
        <v>36215</v>
      </c>
      <c r="C25" s="0" t="n">
        <f aca="false">ROUND(0.11*MAX(0,MIN(C24,Sources!C32)-Sources!C31)+0.3*MAX(0,MIN(C24,Sources!C33)-Sources!C32)+0.41*MAX(0,MIN(C24,Sources!C34)-Sources!C33)+0.45*MAX(0,C24-Sources!C34),0)</f>
        <v>25720</v>
      </c>
      <c r="D25" s="0" t="n">
        <f aca="false">ROUND(0.11*MAX(0,MIN(D24,Sources!D32)-Sources!D31)+0.3*MAX(0,MIN(D24,Sources!D33)-Sources!D32)+0.41*MAX(0,MIN(D24,Sources!D34)-Sources!D33)+0.45*MAX(0,D24-Sources!D34),0)</f>
        <v>25336</v>
      </c>
    </row>
    <row r="26" customFormat="false" ht="15" hidden="false" customHeight="false" outlineLevel="0" collapsed="false">
      <c r="A26" s="0" t="s">
        <v>75</v>
      </c>
      <c r="B26" s="0" t="n">
        <f aca="false">IF(B25&lt;=Sources!B36,MAX(0,ROUND(B25-(Sources!B35-Sources!B37*B25),0)),B25)</f>
        <v>36215</v>
      </c>
      <c r="C26" s="0" t="n">
        <f aca="false">IF(C25&lt;=Sources!C36,MAX(0,ROUND(C25-(Sources!C35-Sources!C37*C25),0)),C25)</f>
        <v>25720</v>
      </c>
      <c r="D26" s="0" t="n">
        <f aca="false">IF(D25&lt;=Sources!D36,MAX(0,ROUND(D25-(Sources!D35-Sources!D37*D25),0)),D25)</f>
        <v>25336</v>
      </c>
    </row>
    <row r="27" customFormat="false" ht="15" hidden="false" customHeight="false" outlineLevel="0" collapsed="false">
      <c r="A27" s="0" t="s">
        <v>76</v>
      </c>
      <c r="B27" s="0" t="n">
        <f aca="false">IF($D$4=1,ROUND(B22*Sources!B26,0),0)</f>
        <v>0</v>
      </c>
      <c r="C27" s="0" t="n">
        <f aca="false">IF($D$4=1,ROUND(C22*Sources!C26,0),0)</f>
        <v>0</v>
      </c>
      <c r="D27" s="0" t="n">
        <f aca="false">IF($D$4=1,ROUND(D22*Sources!D26,0),0)</f>
        <v>0</v>
      </c>
    </row>
    <row r="28" customFormat="false" ht="15" hidden="false" customHeight="false" outlineLevel="0" collapsed="false">
      <c r="A28" s="0" t="s">
        <v>77</v>
      </c>
      <c r="B28" s="0" t="n">
        <f aca="false">B26+B27</f>
        <v>36215</v>
      </c>
      <c r="C28" s="0" t="n">
        <f aca="false">C26+C27</f>
        <v>25720</v>
      </c>
      <c r="D28" s="0" t="n">
        <f aca="false">D26+D27</f>
        <v>25336</v>
      </c>
    </row>
    <row r="29" customFormat="false" ht="15" hidden="false" customHeight="false" outlineLevel="0" collapsed="false">
      <c r="A29" s="0" t="s">
        <v>78</v>
      </c>
      <c r="B29" s="0" t="n">
        <f aca="false">B28-Sources!B15</f>
        <v>35255</v>
      </c>
      <c r="C29" s="0" t="n">
        <f aca="false">C28-Sources!C15</f>
        <v>21637</v>
      </c>
      <c r="D29" s="0" t="n">
        <f aca="false">D28-Sources!D15</f>
        <v>25336</v>
      </c>
    </row>
    <row r="30" customFormat="false" ht="15" hidden="false" customHeight="false" outlineLevel="0" collapsed="false">
      <c r="A30" s="0" t="s">
        <v>79</v>
      </c>
      <c r="B30" s="0" t="n">
        <f aca="false">B29-Sources!B16</f>
        <v>35891</v>
      </c>
      <c r="C30" s="0" t="n">
        <f aca="false">C29-Sources!C16</f>
        <v>24549</v>
      </c>
      <c r="D30" s="0" t="n">
        <f aca="false">D29-Sources!D16</f>
        <v>24390</v>
      </c>
    </row>
    <row r="31" customFormat="false" ht="15" hidden="false" customHeight="false" outlineLevel="0" collapsed="false">
      <c r="A31" s="0" t="s">
        <v>80</v>
      </c>
      <c r="B31" s="0" t="n">
        <f aca="false">ROUND((B29-MAX(Sources!B16,0))*Sources!B23*Sources!B20,0)</f>
        <v>1974</v>
      </c>
      <c r="C31" s="0" t="n">
        <f aca="false">ROUND((C29-MAX(Sources!C16,0))*Sources!C23*Sources!C20,0)</f>
        <v>692</v>
      </c>
      <c r="D31" s="0" t="n">
        <f aca="false">ROUND((D29-MAX(Sources!D16,0))*Sources!D23*Sources!D20,0)</f>
        <v>195</v>
      </c>
    </row>
    <row r="32" customFormat="false" ht="15" hidden="false" customHeight="false" outlineLevel="0" collapsed="false">
      <c r="A32" s="0" t="s">
        <v>81</v>
      </c>
      <c r="B32" s="0" t="n">
        <f aca="false">IF($C$4=1,ROUND(B30*Sources!B24,0),0)</f>
        <v>14356</v>
      </c>
      <c r="C32" s="0" t="n">
        <f aca="false">IF($C$4=1,ROUND(C30*Sources!C24,0),0)</f>
        <v>9820</v>
      </c>
      <c r="D32" s="0" t="n">
        <f aca="false">IF($C$4=1,ROUND(D30*Sources!D24,0),0)</f>
        <v>9756</v>
      </c>
    </row>
    <row r="33" customFormat="false" ht="15" hidden="false" customHeight="false" outlineLevel="0" collapsed="false">
      <c r="A33" s="0" t="s">
        <v>82</v>
      </c>
      <c r="B33" s="0" t="n">
        <f aca="false">B29+B31+B32</f>
        <v>51585</v>
      </c>
      <c r="C33" s="0" t="n">
        <f aca="false">C29+C31+C32</f>
        <v>32149</v>
      </c>
      <c r="D33" s="0" t="n">
        <f aca="false">D29+D31+D32</f>
        <v>35287</v>
      </c>
    </row>
    <row r="34" customFormat="false" ht="15" hidden="false" customHeight="false" outlineLevel="0" collapsed="false">
      <c r="A34" s="0" t="s">
        <v>83</v>
      </c>
      <c r="B34" s="0" t="n">
        <f aca="false">B21+Sources!B17</f>
        <v>86407</v>
      </c>
      <c r="C34" s="0" t="n">
        <f aca="false">C21+Sources!C17</f>
        <v>66088</v>
      </c>
      <c r="D34" s="0" t="n">
        <f aca="false">D21+Sources!D17</f>
        <v>62538</v>
      </c>
    </row>
    <row r="35" customFormat="false" ht="15" hidden="false" customHeight="false" outlineLevel="0" collapsed="false">
      <c r="A35" s="0" t="s">
        <v>84</v>
      </c>
      <c r="B35" s="0" t="n">
        <f aca="false">ROUND(B34*Sources!B21,0)</f>
        <v>8381</v>
      </c>
      <c r="C35" s="0" t="n">
        <f aca="false">ROUND(C34*Sources!C21,0)</f>
        <v>6411</v>
      </c>
      <c r="D35" s="0" t="n">
        <f aca="false">ROUND(D34*Sources!D21,0)</f>
        <v>6942</v>
      </c>
    </row>
    <row r="36" customFormat="false" ht="15" hidden="false" customHeight="false" outlineLevel="0" collapsed="false">
      <c r="A36" s="0" t="s">
        <v>85</v>
      </c>
      <c r="B36" s="0" t="n">
        <f aca="false">ROUND(B34*Sources!B22,0)</f>
        <v>6481</v>
      </c>
      <c r="C36" s="0" t="n">
        <f aca="false">ROUND(C34*Sources!C22,0)</f>
        <v>4957</v>
      </c>
      <c r="D36" s="0" t="n">
        <f aca="false">ROUND(D34*Sources!D22,0)</f>
        <v>4690</v>
      </c>
    </row>
    <row r="37" customFormat="false" ht="15" hidden="false" customHeight="false" outlineLevel="0" collapsed="false">
      <c r="A37" s="0" t="s">
        <v>86</v>
      </c>
      <c r="B37" s="0" t="n">
        <f aca="false">B35+B36-Sources!B18</f>
        <v>14862</v>
      </c>
      <c r="C37" s="0" t="n">
        <f aca="false">C35+C36-Sources!C18</f>
        <v>10666</v>
      </c>
      <c r="D37" s="0" t="n">
        <f aca="false">D35+D36-Sources!D18</f>
        <v>11632</v>
      </c>
    </row>
    <row r="38" customFormat="false" ht="15" hidden="false" customHeight="false" outlineLevel="0" collapsed="false">
      <c r="A38" s="0" t="s">
        <v>87</v>
      </c>
      <c r="B38" s="0" t="n">
        <f aca="false">ROUND((B35-ROUND(Sources!B17*Sources!B21,0))*Sources!B23*Sources!B20,0)</f>
        <v>469</v>
      </c>
      <c r="C38" s="0" t="n">
        <f aca="false">ROUND((C35-ROUND(Sources!C17*Sources!C21,0))*Sources!C23*Sources!C20,0)</f>
        <v>192</v>
      </c>
      <c r="D38" s="0" t="n">
        <f aca="false">ROUND((D35-ROUND(Sources!D17*Sources!D21,0))*Sources!D23*Sources!D20,0)</f>
        <v>56</v>
      </c>
    </row>
    <row r="39" customFormat="false" ht="15" hidden="false" customHeight="false" outlineLevel="0" collapsed="false">
      <c r="A39" s="0" t="s">
        <v>88</v>
      </c>
      <c r="B39" s="0" t="n">
        <f aca="false">ROUND((B36-ROUND(Sources!B17*Sources!B22,0))*Sources!B23*Sources!B20,0)</f>
        <v>363</v>
      </c>
      <c r="C39" s="0" t="n">
        <f aca="false">ROUND((C36-ROUND(Sources!C17*Sources!C22,0))*Sources!C23*Sources!C20,0)</f>
        <v>149</v>
      </c>
      <c r="D39" s="0" t="n">
        <f aca="false">ROUND((D36-ROUND(Sources!D17*Sources!D22,0))*Sources!D23*Sources!D20,0)</f>
        <v>38</v>
      </c>
    </row>
    <row r="40" customFormat="false" ht="15" hidden="false" customHeight="false" outlineLevel="0" collapsed="false">
      <c r="A40" s="0" t="s">
        <v>89</v>
      </c>
      <c r="B40" s="0" t="n">
        <f aca="false">IF($C$4=1,ROUND((B35-ROUND(Sources!B17*Sources!B21,0))*Sources!B24,0),0)</f>
        <v>3352</v>
      </c>
      <c r="C40" s="0" t="n">
        <f aca="false">IF($C$4=1,ROUND((C35-ROUND(Sources!C17*Sources!C21,0))*Sources!C24,0),0)</f>
        <v>2406</v>
      </c>
      <c r="D40" s="0" t="n">
        <f aca="false">IF($C$4=1,ROUND((D35-ROUND(Sources!D17*Sources!D21,0))*Sources!D24,0),0)</f>
        <v>2777</v>
      </c>
    </row>
    <row r="41" customFormat="false" ht="15" hidden="false" customHeight="false" outlineLevel="0" collapsed="false">
      <c r="A41" s="0" t="s">
        <v>90</v>
      </c>
      <c r="B41" s="0" t="n">
        <f aca="false">IF($C$4=1,ROUND((B36-ROUND(Sources!B17*Sources!B22,0))*Sources!B24,0),0)</f>
        <v>2592</v>
      </c>
      <c r="C41" s="0" t="n">
        <f aca="false">IF($C$4=1,ROUND((C36-ROUND(Sources!C17*Sources!C22,0))*Sources!C24,0),0)</f>
        <v>1860</v>
      </c>
      <c r="D41" s="0" t="n">
        <f aca="false">IF($C$4=1,ROUND((D36-ROUND(Sources!D17*Sources!D22,0))*Sources!D24,0),0)</f>
        <v>1876</v>
      </c>
    </row>
    <row r="42" customFormat="false" ht="15" hidden="false" customHeight="false" outlineLevel="0" collapsed="false">
      <c r="A42" s="0" t="s">
        <v>91</v>
      </c>
      <c r="B42" s="0" t="n">
        <f aca="false">B35+B36+B38+B39+B40+B41</f>
        <v>21638</v>
      </c>
      <c r="C42" s="0" t="n">
        <f aca="false">C35+C36+C38+C39+C40+C41</f>
        <v>15975</v>
      </c>
      <c r="D42" s="0" t="n">
        <f aca="false">D35+D36+D38+D39+D40+D41</f>
        <v>16379</v>
      </c>
    </row>
    <row r="43" customFormat="false" ht="15" hidden="false" customHeight="false" outlineLevel="0" collapsed="false">
      <c r="A43" s="0" t="s">
        <v>92</v>
      </c>
      <c r="B43" s="0" t="n">
        <f aca="false">B33+B42+(636)</f>
        <v>73859</v>
      </c>
      <c r="C43" s="0" t="n">
        <f aca="false">C33+C42+(0)</f>
        <v>48124</v>
      </c>
      <c r="D43" s="0" t="n">
        <f aca="false">D33+D42+(-946)</f>
        <v>50720</v>
      </c>
    </row>
    <row r="44" customFormat="false" ht="15" hidden="false" customHeight="false" outlineLevel="0" collapsed="false">
      <c r="A44" s="0" t="s">
        <v>93</v>
      </c>
      <c r="B44" s="0" t="n">
        <f aca="false">B30+B31+B32+B37+B38+B39+B40+B41</f>
        <v>73859</v>
      </c>
      <c r="C44" s="0" t="n">
        <f aca="false">C30+C31+C32+C37+C38+C39+C40+C41</f>
        <v>50334</v>
      </c>
      <c r="D44" s="0" t="n">
        <f aca="false">D30+D31+D32+D37+D38+D39+D40+D41</f>
        <v>50720</v>
      </c>
    </row>
    <row r="48" customFormat="false" ht="15" hidden="false" customHeight="false" outlineLevel="0" collapsed="false">
      <c r="A48" s="1" t="s">
        <v>130</v>
      </c>
    </row>
    <row r="49" customFormat="false" ht="15" hidden="false" customHeight="false" outlineLevel="0" collapsed="false">
      <c r="B49" s="3" t="s">
        <v>2</v>
      </c>
      <c r="C49" s="3" t="s">
        <v>3</v>
      </c>
      <c r="D49" s="3" t="s">
        <v>4</v>
      </c>
    </row>
    <row r="50" customFormat="false" ht="15" hidden="false" customHeight="false" outlineLevel="0" collapsed="false">
      <c r="A50" s="0" t="s">
        <v>70</v>
      </c>
      <c r="B50" s="0" t="n">
        <f aca="false">ROUND(Sources!B9*$B$5,0)</f>
        <v>86407</v>
      </c>
      <c r="C50" s="0" t="n">
        <f aca="false">ROUND(Sources!C9*$B$5,0)</f>
        <v>62005</v>
      </c>
      <c r="D50" s="0" t="n">
        <f aca="false">ROUND(Sources!D9*$B$5,0)</f>
        <v>62538</v>
      </c>
    </row>
    <row r="51" customFormat="false" ht="15" hidden="false" customHeight="false" outlineLevel="0" collapsed="false">
      <c r="A51" s="0" t="s">
        <v>71</v>
      </c>
      <c r="B51" s="0" t="n">
        <f aca="false">ROUND(B50*$E$5,0)</f>
        <v>108009</v>
      </c>
      <c r="C51" s="0" t="n">
        <f aca="false">ROUND(C50*$E$5,0)</f>
        <v>77506</v>
      </c>
      <c r="D51" s="0" t="n">
        <f aca="false">ROUND(D50*$E$5,0)</f>
        <v>78173</v>
      </c>
    </row>
    <row r="52" customFormat="false" ht="15" hidden="false" customHeight="false" outlineLevel="0" collapsed="false">
      <c r="A52" s="0" t="s">
        <v>72</v>
      </c>
      <c r="B52" s="0" t="n">
        <f aca="false">Sources!B11+ROUND(Sources!B12*0.6,0)-Sources!B13-Sources!B14</f>
        <v>18788</v>
      </c>
      <c r="C52" s="0" t="n">
        <f aca="false">Sources!C11+ROUND(Sources!C12*0.6,0)-Sources!C13-Sources!C14</f>
        <v>24385</v>
      </c>
      <c r="D52" s="0" t="n">
        <f aca="false">Sources!D11+ROUND(Sources!D12*0.6,0)-Sources!D13-Sources!D14</f>
        <v>23134</v>
      </c>
    </row>
    <row r="53" customFormat="false" ht="15" hidden="false" customHeight="false" outlineLevel="0" collapsed="false">
      <c r="A53" s="0" t="s">
        <v>73</v>
      </c>
      <c r="B53" s="0" t="n">
        <f aca="false">IF($D$5=1,B52,B52+B51)</f>
        <v>126797</v>
      </c>
      <c r="C53" s="0" t="n">
        <f aca="false">IF($D$5=1,C52,C52+C51)</f>
        <v>101891</v>
      </c>
      <c r="D53" s="0" t="n">
        <f aca="false">IF($D$5=1,D52,D52+D51)</f>
        <v>101307</v>
      </c>
    </row>
    <row r="54" customFormat="false" ht="15" hidden="false" customHeight="false" outlineLevel="0" collapsed="false">
      <c r="A54" s="0" t="s">
        <v>74</v>
      </c>
      <c r="B54" s="0" t="n">
        <f aca="false">ROUND(0.11*MAX(0,MIN(B53,Sources!B32)-Sources!B31)+0.3*MAX(0,MIN(B53,Sources!B33)-Sources!B32)+0.41*MAX(0,MIN(B53,Sources!B34)-Sources!B33)+0.45*MAX(0,B53-Sources!B34),0)</f>
        <v>36215</v>
      </c>
      <c r="C54" s="0" t="n">
        <f aca="false">ROUND(0.11*MAX(0,MIN(C53,Sources!C32)-Sources!C31)+0.3*MAX(0,MIN(C53,Sources!C33)-Sources!C32)+0.41*MAX(0,MIN(C53,Sources!C34)-Sources!C33)+0.45*MAX(0,C53-Sources!C34),0)</f>
        <v>25720</v>
      </c>
      <c r="D54" s="0" t="n">
        <f aca="false">ROUND(0.11*MAX(0,MIN(D53,Sources!D32)-Sources!D31)+0.3*MAX(0,MIN(D53,Sources!D33)-Sources!D32)+0.41*MAX(0,MIN(D53,Sources!D34)-Sources!D33)+0.45*MAX(0,D53-Sources!D34),0)</f>
        <v>25336</v>
      </c>
    </row>
    <row r="55" customFormat="false" ht="15" hidden="false" customHeight="false" outlineLevel="0" collapsed="false">
      <c r="A55" s="0" t="s">
        <v>75</v>
      </c>
      <c r="B55" s="0" t="n">
        <f aca="false">IF(B54&lt;=Sources!B36,MAX(0,ROUND(B54-(Sources!B35-Sources!B37*B54),0)),B54)</f>
        <v>36215</v>
      </c>
      <c r="C55" s="0" t="n">
        <f aca="false">IF(C54&lt;=Sources!C36,MAX(0,ROUND(C54-(Sources!C35-Sources!C37*C54),0)),C54)</f>
        <v>25720</v>
      </c>
      <c r="D55" s="0" t="n">
        <f aca="false">IF(D54&lt;=Sources!D36,MAX(0,ROUND(D54-(Sources!D35-Sources!D37*D54),0)),D54)</f>
        <v>25336</v>
      </c>
    </row>
    <row r="56" customFormat="false" ht="15" hidden="false" customHeight="false" outlineLevel="0" collapsed="false">
      <c r="A56" s="0" t="s">
        <v>76</v>
      </c>
      <c r="B56" s="0" t="n">
        <f aca="false">IF($D$5=1,ROUND(B51*Sources!B26,0),0)</f>
        <v>0</v>
      </c>
      <c r="C56" s="0" t="n">
        <f aca="false">IF($D$5=1,ROUND(C51*Sources!C26,0),0)</f>
        <v>0</v>
      </c>
      <c r="D56" s="0" t="n">
        <f aca="false">IF($D$5=1,ROUND(D51*Sources!D26,0),0)</f>
        <v>0</v>
      </c>
    </row>
    <row r="57" customFormat="false" ht="15" hidden="false" customHeight="false" outlineLevel="0" collapsed="false">
      <c r="A57" s="0" t="s">
        <v>77</v>
      </c>
      <c r="B57" s="0" t="n">
        <f aca="false">B55+B56</f>
        <v>36215</v>
      </c>
      <c r="C57" s="0" t="n">
        <f aca="false">C55+C56</f>
        <v>25720</v>
      </c>
      <c r="D57" s="0" t="n">
        <f aca="false">D55+D56</f>
        <v>25336</v>
      </c>
    </row>
    <row r="58" customFormat="false" ht="15" hidden="false" customHeight="false" outlineLevel="0" collapsed="false">
      <c r="A58" s="0" t="s">
        <v>78</v>
      </c>
      <c r="B58" s="0" t="n">
        <f aca="false">B57-Sources!B15</f>
        <v>35255</v>
      </c>
      <c r="C58" s="0" t="n">
        <f aca="false">C57-Sources!C15</f>
        <v>21637</v>
      </c>
      <c r="D58" s="0" t="n">
        <f aca="false">D57-Sources!D15</f>
        <v>25336</v>
      </c>
    </row>
    <row r="59" customFormat="false" ht="15" hidden="false" customHeight="false" outlineLevel="0" collapsed="false">
      <c r="A59" s="0" t="s">
        <v>79</v>
      </c>
      <c r="B59" s="0" t="n">
        <f aca="false">B58-Sources!B16</f>
        <v>35891</v>
      </c>
      <c r="C59" s="0" t="n">
        <f aca="false">C58-Sources!C16</f>
        <v>24549</v>
      </c>
      <c r="D59" s="0" t="n">
        <f aca="false">D58-Sources!D16</f>
        <v>24390</v>
      </c>
    </row>
    <row r="60" customFormat="false" ht="15" hidden="false" customHeight="false" outlineLevel="0" collapsed="false">
      <c r="A60" s="0" t="s">
        <v>80</v>
      </c>
      <c r="B60" s="0" t="n">
        <f aca="false">ROUND((B58-MAX(Sources!B16,0))*Sources!B23*Sources!B20,0)</f>
        <v>1974</v>
      </c>
      <c r="C60" s="0" t="n">
        <f aca="false">ROUND((C58-MAX(Sources!C16,0))*Sources!C23*Sources!C20,0)</f>
        <v>692</v>
      </c>
      <c r="D60" s="0" t="n">
        <f aca="false">ROUND((D58-MAX(Sources!D16,0))*Sources!D23*Sources!D20,0)</f>
        <v>195</v>
      </c>
    </row>
    <row r="61" customFormat="false" ht="15" hidden="false" customHeight="false" outlineLevel="0" collapsed="false">
      <c r="A61" s="0" t="s">
        <v>81</v>
      </c>
      <c r="B61" s="0" t="n">
        <f aca="false">IF($C$5=1,ROUND(B59*Sources!B24,0),0)</f>
        <v>0</v>
      </c>
      <c r="C61" s="0" t="n">
        <f aca="false">IF($C$5=1,ROUND(C59*Sources!C24,0),0)</f>
        <v>0</v>
      </c>
      <c r="D61" s="0" t="n">
        <f aca="false">IF($C$5=1,ROUND(D59*Sources!D24,0),0)</f>
        <v>0</v>
      </c>
    </row>
    <row r="62" customFormat="false" ht="15" hidden="false" customHeight="false" outlineLevel="0" collapsed="false">
      <c r="A62" s="0" t="s">
        <v>82</v>
      </c>
      <c r="B62" s="0" t="n">
        <f aca="false">B58+B60+B61</f>
        <v>37229</v>
      </c>
      <c r="C62" s="0" t="n">
        <f aca="false">C58+C60+C61</f>
        <v>22329</v>
      </c>
      <c r="D62" s="0" t="n">
        <f aca="false">D58+D60+D61</f>
        <v>25531</v>
      </c>
    </row>
    <row r="63" customFormat="false" ht="15" hidden="false" customHeight="false" outlineLevel="0" collapsed="false">
      <c r="A63" s="0" t="s">
        <v>83</v>
      </c>
      <c r="B63" s="0" t="n">
        <f aca="false">B50+Sources!B17</f>
        <v>86407</v>
      </c>
      <c r="C63" s="0" t="n">
        <f aca="false">C50+Sources!C17</f>
        <v>66088</v>
      </c>
      <c r="D63" s="0" t="n">
        <f aca="false">D50+Sources!D17</f>
        <v>62538</v>
      </c>
    </row>
    <row r="64" customFormat="false" ht="15" hidden="false" customHeight="false" outlineLevel="0" collapsed="false">
      <c r="A64" s="0" t="s">
        <v>84</v>
      </c>
      <c r="B64" s="0" t="n">
        <f aca="false">ROUND(B63*Sources!B21,0)</f>
        <v>8381</v>
      </c>
      <c r="C64" s="0" t="n">
        <f aca="false">ROUND(C63*Sources!C21,0)</f>
        <v>6411</v>
      </c>
      <c r="D64" s="0" t="n">
        <f aca="false">ROUND(D63*Sources!D21,0)</f>
        <v>6942</v>
      </c>
    </row>
    <row r="65" customFormat="false" ht="15" hidden="false" customHeight="false" outlineLevel="0" collapsed="false">
      <c r="A65" s="0" t="s">
        <v>85</v>
      </c>
      <c r="B65" s="0" t="n">
        <f aca="false">ROUND(B63*Sources!B22,0)</f>
        <v>6481</v>
      </c>
      <c r="C65" s="0" t="n">
        <f aca="false">ROUND(C63*Sources!C22,0)</f>
        <v>4957</v>
      </c>
      <c r="D65" s="0" t="n">
        <f aca="false">ROUND(D63*Sources!D22,0)</f>
        <v>4690</v>
      </c>
    </row>
    <row r="66" customFormat="false" ht="15" hidden="false" customHeight="false" outlineLevel="0" collapsed="false">
      <c r="A66" s="0" t="s">
        <v>86</v>
      </c>
      <c r="B66" s="0" t="n">
        <f aca="false">B64+B65-Sources!B18</f>
        <v>14862</v>
      </c>
      <c r="C66" s="0" t="n">
        <f aca="false">C64+C65-Sources!C18</f>
        <v>10666</v>
      </c>
      <c r="D66" s="0" t="n">
        <f aca="false">D64+D65-Sources!D18</f>
        <v>11632</v>
      </c>
    </row>
    <row r="67" customFormat="false" ht="15" hidden="false" customHeight="false" outlineLevel="0" collapsed="false">
      <c r="A67" s="0" t="s">
        <v>87</v>
      </c>
      <c r="B67" s="0" t="n">
        <f aca="false">ROUND((B64-ROUND(Sources!B17*Sources!B21,0))*Sources!B23*Sources!B20,0)</f>
        <v>469</v>
      </c>
      <c r="C67" s="0" t="n">
        <f aca="false">ROUND((C64-ROUND(Sources!C17*Sources!C21,0))*Sources!C23*Sources!C20,0)</f>
        <v>192</v>
      </c>
      <c r="D67" s="0" t="n">
        <f aca="false">ROUND((D64-ROUND(Sources!D17*Sources!D21,0))*Sources!D23*Sources!D20,0)</f>
        <v>56</v>
      </c>
    </row>
    <row r="68" customFormat="false" ht="15" hidden="false" customHeight="false" outlineLevel="0" collapsed="false">
      <c r="A68" s="0" t="s">
        <v>88</v>
      </c>
      <c r="B68" s="0" t="n">
        <f aca="false">ROUND((B65-ROUND(Sources!B17*Sources!B22,0))*Sources!B23*Sources!B20,0)</f>
        <v>363</v>
      </c>
      <c r="C68" s="0" t="n">
        <f aca="false">ROUND((C65-ROUND(Sources!C17*Sources!C22,0))*Sources!C23*Sources!C20,0)</f>
        <v>149</v>
      </c>
      <c r="D68" s="0" t="n">
        <f aca="false">ROUND((D65-ROUND(Sources!D17*Sources!D22,0))*Sources!D23*Sources!D20,0)</f>
        <v>38</v>
      </c>
    </row>
    <row r="69" customFormat="false" ht="15" hidden="false" customHeight="false" outlineLevel="0" collapsed="false">
      <c r="A69" s="0" t="s">
        <v>89</v>
      </c>
      <c r="B69" s="0" t="n">
        <f aca="false">IF($C$5=1,ROUND((B64-ROUND(Sources!B17*Sources!B21,0))*Sources!B24,0),0)</f>
        <v>0</v>
      </c>
      <c r="C69" s="0" t="n">
        <f aca="false">IF($C$5=1,ROUND((C64-ROUND(Sources!C17*Sources!C21,0))*Sources!C24,0),0)</f>
        <v>0</v>
      </c>
      <c r="D69" s="0" t="n">
        <f aca="false">IF($C$5=1,ROUND((D64-ROUND(Sources!D17*Sources!D21,0))*Sources!D24,0),0)</f>
        <v>0</v>
      </c>
    </row>
    <row r="70" customFormat="false" ht="15" hidden="false" customHeight="false" outlineLevel="0" collapsed="false">
      <c r="A70" s="0" t="s">
        <v>90</v>
      </c>
      <c r="B70" s="0" t="n">
        <f aca="false">IF($C$5=1,ROUND((B65-ROUND(Sources!B17*Sources!B22,0))*Sources!B24,0),0)</f>
        <v>0</v>
      </c>
      <c r="C70" s="0" t="n">
        <f aca="false">IF($C$5=1,ROUND((C65-ROUND(Sources!C17*Sources!C22,0))*Sources!C24,0),0)</f>
        <v>0</v>
      </c>
      <c r="D70" s="0" t="n">
        <f aca="false">IF($C$5=1,ROUND((D65-ROUND(Sources!D17*Sources!D22,0))*Sources!D24,0),0)</f>
        <v>0</v>
      </c>
    </row>
    <row r="71" customFormat="false" ht="15" hidden="false" customHeight="false" outlineLevel="0" collapsed="false">
      <c r="A71" s="0" t="s">
        <v>91</v>
      </c>
      <c r="B71" s="0" t="n">
        <f aca="false">B64+B65+B67+B68+B69+B70</f>
        <v>15694</v>
      </c>
      <c r="C71" s="0" t="n">
        <f aca="false">C64+C65+C67+C68+C69+C70</f>
        <v>11709</v>
      </c>
      <c r="D71" s="0" t="n">
        <f aca="false">D64+D65+D67+D68+D69+D70</f>
        <v>11726</v>
      </c>
    </row>
    <row r="72" customFormat="false" ht="15" hidden="false" customHeight="false" outlineLevel="0" collapsed="false">
      <c r="A72" s="0" t="s">
        <v>92</v>
      </c>
      <c r="B72" s="0" t="n">
        <f aca="false">B62+B71+(636)</f>
        <v>53559</v>
      </c>
      <c r="C72" s="0" t="n">
        <f aca="false">C62+C71+(0)</f>
        <v>34038</v>
      </c>
      <c r="D72" s="0" t="n">
        <f aca="false">D62+D71+(-946)</f>
        <v>36311</v>
      </c>
    </row>
    <row r="73" customFormat="false" ht="15" hidden="false" customHeight="false" outlineLevel="0" collapsed="false">
      <c r="A73" s="0" t="s">
        <v>93</v>
      </c>
      <c r="B73" s="0" t="n">
        <f aca="false">B59+B60+B61+B66+B67+B68+B69+B70</f>
        <v>53559</v>
      </c>
      <c r="C73" s="0" t="n">
        <f aca="false">C59+C60+C61+C66+C67+C68+C69+C70</f>
        <v>36248</v>
      </c>
      <c r="D73" s="0" t="n">
        <f aca="false">D59+D60+D61+D66+D67+D68+D69+D70</f>
        <v>36311</v>
      </c>
    </row>
    <row r="77" customFormat="false" ht="15" hidden="false" customHeight="false" outlineLevel="0" collapsed="false">
      <c r="A77" s="1" t="s">
        <v>131</v>
      </c>
    </row>
    <row r="78" customFormat="false" ht="15" hidden="false" customHeight="false" outlineLevel="0" collapsed="false">
      <c r="B78" s="3" t="s">
        <v>2</v>
      </c>
      <c r="C78" s="3" t="s">
        <v>3</v>
      </c>
      <c r="D78" s="3" t="s">
        <v>4</v>
      </c>
    </row>
    <row r="79" customFormat="false" ht="15" hidden="false" customHeight="false" outlineLevel="0" collapsed="false">
      <c r="A79" s="0" t="s">
        <v>70</v>
      </c>
      <c r="B79" s="0" t="n">
        <f aca="false">ROUND(Sources!B9*$B$6,0)</f>
        <v>64805</v>
      </c>
      <c r="C79" s="0" t="n">
        <f aca="false">ROUND(Sources!C9*$B$6,0)</f>
        <v>46504</v>
      </c>
      <c r="D79" s="0" t="n">
        <f aca="false">ROUND(Sources!D9*$B$6,0)</f>
        <v>46904</v>
      </c>
    </row>
    <row r="80" customFormat="false" ht="15" hidden="false" customHeight="false" outlineLevel="0" collapsed="false">
      <c r="A80" s="0" t="s">
        <v>71</v>
      </c>
      <c r="B80" s="0" t="n">
        <f aca="false">ROUND(B79*$E$6,0)</f>
        <v>81006</v>
      </c>
      <c r="C80" s="0" t="n">
        <f aca="false">ROUND(C79*$E$6,0)</f>
        <v>58130</v>
      </c>
      <c r="D80" s="0" t="n">
        <f aca="false">ROUND(D79*$E$6,0)</f>
        <v>58630</v>
      </c>
    </row>
    <row r="81" customFormat="false" ht="15" hidden="false" customHeight="false" outlineLevel="0" collapsed="false">
      <c r="A81" s="0" t="s">
        <v>72</v>
      </c>
      <c r="B81" s="0" t="n">
        <f aca="false">Sources!B11+ROUND(Sources!B12*0.6,0)-Sources!B13-Sources!B14</f>
        <v>18788</v>
      </c>
      <c r="C81" s="0" t="n">
        <f aca="false">Sources!C11+ROUND(Sources!C12*0.6,0)-Sources!C13-Sources!C14</f>
        <v>24385</v>
      </c>
      <c r="D81" s="0" t="n">
        <f aca="false">Sources!D11+ROUND(Sources!D12*0.6,0)-Sources!D13-Sources!D14</f>
        <v>23134</v>
      </c>
    </row>
    <row r="82" customFormat="false" ht="15" hidden="false" customHeight="false" outlineLevel="0" collapsed="false">
      <c r="A82" s="0" t="s">
        <v>73</v>
      </c>
      <c r="B82" s="0" t="n">
        <f aca="false">IF($D$6=1,B81,B81+B80)</f>
        <v>99794</v>
      </c>
      <c r="C82" s="0" t="n">
        <f aca="false">IF($D$6=1,C81,C81+C80)</f>
        <v>82515</v>
      </c>
      <c r="D82" s="0" t="n">
        <f aca="false">IF($D$6=1,D81,D81+D80)</f>
        <v>81764</v>
      </c>
    </row>
    <row r="83" customFormat="false" ht="15" hidden="false" customHeight="false" outlineLevel="0" collapsed="false">
      <c r="A83" s="0" t="s">
        <v>74</v>
      </c>
      <c r="B83" s="0" t="n">
        <f aca="false">ROUND(0.11*MAX(0,MIN(B82,Sources!B32)-Sources!B31)+0.3*MAX(0,MIN(B82,Sources!B33)-Sources!B32)+0.41*MAX(0,MIN(B82,Sources!B34)-Sources!B33)+0.45*MAX(0,B82-Sources!B34),0)</f>
        <v>25144</v>
      </c>
      <c r="C83" s="0" t="n">
        <f aca="false">ROUND(0.11*MAX(0,MIN(C82,Sources!C32)-Sources!C31)+0.3*MAX(0,MIN(C82,Sources!C33)-Sources!C32)+0.41*MAX(0,MIN(C82,Sources!C34)-Sources!C33)+0.45*MAX(0,C82-Sources!C34),0)</f>
        <v>17920</v>
      </c>
      <c r="D83" s="0" t="n">
        <f aca="false">ROUND(0.11*MAX(0,MIN(D82,Sources!D32)-Sources!D31)+0.3*MAX(0,MIN(D82,Sources!D33)-Sources!D32)+0.41*MAX(0,MIN(D82,Sources!D34)-Sources!D33)+0.45*MAX(0,D82-Sources!D34),0)</f>
        <v>17633</v>
      </c>
    </row>
    <row r="84" customFormat="false" ht="15" hidden="false" customHeight="false" outlineLevel="0" collapsed="false">
      <c r="A84" s="0" t="s">
        <v>75</v>
      </c>
      <c r="B84" s="0" t="n">
        <f aca="false">IF(B83&lt;=Sources!B36,MAX(0,ROUND(B83-(Sources!B35-Sources!B37*B83),0)),B83)</f>
        <v>25144</v>
      </c>
      <c r="C84" s="0" t="n">
        <f aca="false">IF(C83&lt;=Sources!C36,MAX(0,ROUND(C83-(Sources!C35-Sources!C37*C83),0)),C83)</f>
        <v>17920</v>
      </c>
      <c r="D84" s="0" t="n">
        <f aca="false">IF(D83&lt;=Sources!D36,MAX(0,ROUND(D83-(Sources!D35-Sources!D37*D83),0)),D83)</f>
        <v>17633</v>
      </c>
    </row>
    <row r="85" customFormat="false" ht="15" hidden="false" customHeight="false" outlineLevel="0" collapsed="false">
      <c r="A85" s="0" t="s">
        <v>76</v>
      </c>
      <c r="B85" s="0" t="n">
        <f aca="false">IF($D$6=1,ROUND(B80*Sources!B26,0),0)</f>
        <v>0</v>
      </c>
      <c r="C85" s="0" t="n">
        <f aca="false">IF($D$6=1,ROUND(C80*Sources!C26,0),0)</f>
        <v>0</v>
      </c>
      <c r="D85" s="0" t="n">
        <f aca="false">IF($D$6=1,ROUND(D80*Sources!D26,0),0)</f>
        <v>0</v>
      </c>
    </row>
    <row r="86" customFormat="false" ht="15" hidden="false" customHeight="false" outlineLevel="0" collapsed="false">
      <c r="A86" s="0" t="s">
        <v>77</v>
      </c>
      <c r="B86" s="0" t="n">
        <f aca="false">B84+B85</f>
        <v>25144</v>
      </c>
      <c r="C86" s="0" t="n">
        <f aca="false">C84+C85</f>
        <v>17920</v>
      </c>
      <c r="D86" s="0" t="n">
        <f aca="false">D84+D85</f>
        <v>17633</v>
      </c>
    </row>
    <row r="87" customFormat="false" ht="15" hidden="false" customHeight="false" outlineLevel="0" collapsed="false">
      <c r="A87" s="0" t="s">
        <v>78</v>
      </c>
      <c r="B87" s="0" t="n">
        <f aca="false">B86-Sources!B15</f>
        <v>24184</v>
      </c>
      <c r="C87" s="0" t="n">
        <f aca="false">C86-Sources!C15</f>
        <v>13837</v>
      </c>
      <c r="D87" s="0" t="n">
        <f aca="false">D86-Sources!D15</f>
        <v>17633</v>
      </c>
    </row>
    <row r="88" customFormat="false" ht="15" hidden="false" customHeight="false" outlineLevel="0" collapsed="false">
      <c r="A88" s="0" t="s">
        <v>79</v>
      </c>
      <c r="B88" s="0" t="n">
        <f aca="false">B87-Sources!B16</f>
        <v>24820</v>
      </c>
      <c r="C88" s="0" t="n">
        <f aca="false">C87-Sources!C16</f>
        <v>16749</v>
      </c>
      <c r="D88" s="0" t="n">
        <f aca="false">D87-Sources!D16</f>
        <v>16687</v>
      </c>
    </row>
    <row r="89" customFormat="false" ht="15" hidden="false" customHeight="false" outlineLevel="0" collapsed="false">
      <c r="A89" s="0" t="s">
        <v>80</v>
      </c>
      <c r="B89" s="0" t="n">
        <f aca="false">ROUND((B87-MAX(Sources!B16,0))*Sources!B23*Sources!B20,0)</f>
        <v>1354</v>
      </c>
      <c r="C89" s="0" t="n">
        <f aca="false">ROUND((C87-MAX(Sources!C16,0))*Sources!C23*Sources!C20,0)</f>
        <v>443</v>
      </c>
      <c r="D89" s="0" t="n">
        <f aca="false">ROUND((D87-MAX(Sources!D16,0))*Sources!D23*Sources!D20,0)</f>
        <v>133</v>
      </c>
    </row>
    <row r="90" customFormat="false" ht="15" hidden="false" customHeight="false" outlineLevel="0" collapsed="false">
      <c r="A90" s="0" t="s">
        <v>81</v>
      </c>
      <c r="B90" s="0" t="n">
        <f aca="false">IF($C$6=1,ROUND(B88*Sources!B24,0),0)</f>
        <v>9928</v>
      </c>
      <c r="C90" s="0" t="n">
        <f aca="false">IF($C$6=1,ROUND(C88*Sources!C24,0),0)</f>
        <v>6700</v>
      </c>
      <c r="D90" s="0" t="n">
        <f aca="false">IF($C$6=1,ROUND(D88*Sources!D24,0),0)</f>
        <v>6675</v>
      </c>
    </row>
    <row r="91" customFormat="false" ht="15" hidden="false" customHeight="false" outlineLevel="0" collapsed="false">
      <c r="A91" s="0" t="s">
        <v>82</v>
      </c>
      <c r="B91" s="0" t="n">
        <f aca="false">B87+B89+B90</f>
        <v>35466</v>
      </c>
      <c r="C91" s="0" t="n">
        <f aca="false">C87+C89+C90</f>
        <v>20980</v>
      </c>
      <c r="D91" s="0" t="n">
        <f aca="false">D87+D89+D90</f>
        <v>24441</v>
      </c>
    </row>
    <row r="92" customFormat="false" ht="15" hidden="false" customHeight="false" outlineLevel="0" collapsed="false">
      <c r="A92" s="0" t="s">
        <v>83</v>
      </c>
      <c r="B92" s="0" t="n">
        <f aca="false">B79+Sources!B17</f>
        <v>64805</v>
      </c>
      <c r="C92" s="0" t="n">
        <f aca="false">C79+Sources!C17</f>
        <v>50587</v>
      </c>
      <c r="D92" s="0" t="n">
        <f aca="false">D79+Sources!D17</f>
        <v>46904</v>
      </c>
    </row>
    <row r="93" customFormat="false" ht="15" hidden="false" customHeight="false" outlineLevel="0" collapsed="false">
      <c r="A93" s="0" t="s">
        <v>84</v>
      </c>
      <c r="B93" s="0" t="n">
        <f aca="false">ROUND(B92*Sources!B21,0)</f>
        <v>6286</v>
      </c>
      <c r="C93" s="0" t="n">
        <f aca="false">ROUND(C92*Sources!C21,0)</f>
        <v>4907</v>
      </c>
      <c r="D93" s="0" t="n">
        <f aca="false">ROUND(D92*Sources!D21,0)</f>
        <v>5206</v>
      </c>
    </row>
    <row r="94" customFormat="false" ht="15" hidden="false" customHeight="false" outlineLevel="0" collapsed="false">
      <c r="A94" s="0" t="s">
        <v>85</v>
      </c>
      <c r="B94" s="0" t="n">
        <f aca="false">ROUND(B92*Sources!B22,0)</f>
        <v>4860</v>
      </c>
      <c r="C94" s="0" t="n">
        <f aca="false">ROUND(C92*Sources!C22,0)</f>
        <v>3794</v>
      </c>
      <c r="D94" s="0" t="n">
        <f aca="false">ROUND(D92*Sources!D22,0)</f>
        <v>3518</v>
      </c>
    </row>
    <row r="95" customFormat="false" ht="15" hidden="false" customHeight="false" outlineLevel="0" collapsed="false">
      <c r="A95" s="0" t="s">
        <v>86</v>
      </c>
      <c r="B95" s="0" t="n">
        <f aca="false">B93+B94-Sources!B18</f>
        <v>11146</v>
      </c>
      <c r="C95" s="0" t="n">
        <f aca="false">C93+C94-Sources!C18</f>
        <v>7999</v>
      </c>
      <c r="D95" s="0" t="n">
        <f aca="false">D93+D94-Sources!D18</f>
        <v>8724</v>
      </c>
    </row>
    <row r="96" customFormat="false" ht="15" hidden="false" customHeight="false" outlineLevel="0" collapsed="false">
      <c r="A96" s="0" t="s">
        <v>87</v>
      </c>
      <c r="B96" s="0" t="n">
        <f aca="false">ROUND((B93-ROUND(Sources!B17*Sources!B21,0))*Sources!B23*Sources!B20,0)</f>
        <v>352</v>
      </c>
      <c r="C96" s="0" t="n">
        <f aca="false">ROUND((C93-ROUND(Sources!C17*Sources!C21,0))*Sources!C23*Sources!C20,0)</f>
        <v>144</v>
      </c>
      <c r="D96" s="0" t="n">
        <f aca="false">ROUND((D93-ROUND(Sources!D17*Sources!D21,0))*Sources!D23*Sources!D20,0)</f>
        <v>42</v>
      </c>
    </row>
    <row r="97" customFormat="false" ht="15" hidden="false" customHeight="false" outlineLevel="0" collapsed="false">
      <c r="A97" s="0" t="s">
        <v>88</v>
      </c>
      <c r="B97" s="0" t="n">
        <f aca="false">ROUND((B94-ROUND(Sources!B17*Sources!B22,0))*Sources!B23*Sources!B20,0)</f>
        <v>272</v>
      </c>
      <c r="C97" s="0" t="n">
        <f aca="false">ROUND((C94-ROUND(Sources!C17*Sources!C22,0))*Sources!C23*Sources!C20,0)</f>
        <v>112</v>
      </c>
      <c r="D97" s="0" t="n">
        <f aca="false">ROUND((D94-ROUND(Sources!D17*Sources!D22,0))*Sources!D23*Sources!D20,0)</f>
        <v>28</v>
      </c>
    </row>
    <row r="98" customFormat="false" ht="15" hidden="false" customHeight="false" outlineLevel="0" collapsed="false">
      <c r="A98" s="0" t="s">
        <v>89</v>
      </c>
      <c r="B98" s="0" t="n">
        <f aca="false">IF($C$6=1,ROUND((B93-ROUND(Sources!B17*Sources!B21,0))*Sources!B24,0),0)</f>
        <v>2514</v>
      </c>
      <c r="C98" s="0" t="n">
        <f aca="false">IF($C$6=1,ROUND((C93-ROUND(Sources!C17*Sources!C21,0))*Sources!C24,0),0)</f>
        <v>1804</v>
      </c>
      <c r="D98" s="0" t="n">
        <f aca="false">IF($C$6=1,ROUND((D93-ROUND(Sources!D17*Sources!D21,0))*Sources!D24,0),0)</f>
        <v>2082</v>
      </c>
    </row>
    <row r="99" customFormat="false" ht="15" hidden="false" customHeight="false" outlineLevel="0" collapsed="false">
      <c r="A99" s="0" t="s">
        <v>90</v>
      </c>
      <c r="B99" s="0" t="n">
        <f aca="false">IF($C$6=1,ROUND((B94-ROUND(Sources!B17*Sources!B22,0))*Sources!B24,0),0)</f>
        <v>1944</v>
      </c>
      <c r="C99" s="0" t="n">
        <f aca="false">IF($C$6=1,ROUND((C94-ROUND(Sources!C17*Sources!C22,0))*Sources!C24,0),0)</f>
        <v>1395</v>
      </c>
      <c r="D99" s="0" t="n">
        <f aca="false">IF($C$6=1,ROUND((D94-ROUND(Sources!D17*Sources!D22,0))*Sources!D24,0),0)</f>
        <v>1407</v>
      </c>
    </row>
    <row r="100" customFormat="false" ht="15" hidden="false" customHeight="false" outlineLevel="0" collapsed="false">
      <c r="A100" s="0" t="s">
        <v>91</v>
      </c>
      <c r="B100" s="0" t="n">
        <f aca="false">B93+B94+B96+B97+B98+B99</f>
        <v>16228</v>
      </c>
      <c r="C100" s="0" t="n">
        <f aca="false">C93+C94+C96+C97+C98+C99</f>
        <v>12156</v>
      </c>
      <c r="D100" s="0" t="n">
        <f aca="false">D93+D94+D96+D97+D98+D99</f>
        <v>12283</v>
      </c>
    </row>
    <row r="101" customFormat="false" ht="15" hidden="false" customHeight="false" outlineLevel="0" collapsed="false">
      <c r="A101" s="0" t="s">
        <v>92</v>
      </c>
      <c r="B101" s="0" t="n">
        <f aca="false">B91+B100+(636)</f>
        <v>52330</v>
      </c>
      <c r="C101" s="0" t="n">
        <f aca="false">C91+C100+(0)</f>
        <v>33136</v>
      </c>
      <c r="D101" s="0" t="n">
        <f aca="false">D91+D100+(-946)</f>
        <v>35778</v>
      </c>
    </row>
    <row r="102" customFormat="false" ht="15" hidden="false" customHeight="false" outlineLevel="0" collapsed="false">
      <c r="A102" s="0" t="s">
        <v>93</v>
      </c>
      <c r="B102" s="0" t="n">
        <f aca="false">B88+B89+B90+B95+B96+B97+B98+B99</f>
        <v>52330</v>
      </c>
      <c r="C102" s="0" t="n">
        <f aca="false">C88+C89+C90+C95+C96+C97+C98+C99</f>
        <v>35346</v>
      </c>
      <c r="D102" s="0" t="n">
        <f aca="false">D88+D89+D90+D95+D96+D97+D98+D99</f>
        <v>35778</v>
      </c>
    </row>
    <row r="106" customFormat="false" ht="15" hidden="false" customHeight="false" outlineLevel="0" collapsed="false">
      <c r="A106" s="1" t="s">
        <v>132</v>
      </c>
    </row>
    <row r="107" customFormat="false" ht="15" hidden="false" customHeight="false" outlineLevel="0" collapsed="false">
      <c r="B107" s="3" t="s">
        <v>2</v>
      </c>
      <c r="C107" s="3" t="s">
        <v>3</v>
      </c>
      <c r="D107" s="3" t="s">
        <v>4</v>
      </c>
    </row>
    <row r="108" customFormat="false" ht="15" hidden="false" customHeight="false" outlineLevel="0" collapsed="false">
      <c r="A108" s="0" t="s">
        <v>70</v>
      </c>
      <c r="B108" s="0" t="n">
        <f aca="false">ROUND(Sources!B9*$B$7,0)</f>
        <v>43204</v>
      </c>
      <c r="C108" s="0" t="n">
        <f aca="false">ROUND(Sources!C9*$B$7,0)</f>
        <v>31003</v>
      </c>
      <c r="D108" s="0" t="n">
        <f aca="false">ROUND(Sources!D9*$B$7,0)</f>
        <v>31269</v>
      </c>
    </row>
    <row r="109" customFormat="false" ht="15" hidden="false" customHeight="false" outlineLevel="0" collapsed="false">
      <c r="A109" s="0" t="s">
        <v>71</v>
      </c>
      <c r="B109" s="0" t="n">
        <f aca="false">ROUND(B108*$E$7,0)</f>
        <v>54005</v>
      </c>
      <c r="C109" s="0" t="n">
        <f aca="false">ROUND(C108*$E$7,0)</f>
        <v>38754</v>
      </c>
      <c r="D109" s="0" t="n">
        <f aca="false">ROUND(D108*$E$7,0)</f>
        <v>39086</v>
      </c>
    </row>
    <row r="110" customFormat="false" ht="15" hidden="false" customHeight="false" outlineLevel="0" collapsed="false">
      <c r="A110" s="0" t="s">
        <v>72</v>
      </c>
      <c r="B110" s="0" t="n">
        <f aca="false">Sources!B11+ROUND(Sources!B12*0.6,0)-Sources!B13-Sources!B14</f>
        <v>18788</v>
      </c>
      <c r="C110" s="0" t="n">
        <f aca="false">Sources!C11+ROUND(Sources!C12*0.6,0)-Sources!C13-Sources!C14</f>
        <v>24385</v>
      </c>
      <c r="D110" s="0" t="n">
        <f aca="false">Sources!D11+ROUND(Sources!D12*0.6,0)-Sources!D13-Sources!D14</f>
        <v>23134</v>
      </c>
    </row>
    <row r="111" customFormat="false" ht="15" hidden="false" customHeight="false" outlineLevel="0" collapsed="false">
      <c r="A111" s="0" t="s">
        <v>73</v>
      </c>
      <c r="B111" s="0" t="n">
        <f aca="false">IF($D$7=1,B110,B110+B109)</f>
        <v>72793</v>
      </c>
      <c r="C111" s="0" t="n">
        <f aca="false">IF($D$7=1,C110,C110+C109)</f>
        <v>63139</v>
      </c>
      <c r="D111" s="0" t="n">
        <f aca="false">IF($D$7=1,D110,D110+D109)</f>
        <v>62220</v>
      </c>
    </row>
    <row r="112" customFormat="false" ht="15" hidden="false" customHeight="false" outlineLevel="0" collapsed="false">
      <c r="A112" s="0" t="s">
        <v>74</v>
      </c>
      <c r="B112" s="0" t="n">
        <f aca="false">ROUND(0.11*MAX(0,MIN(B111,Sources!B32)-Sources!B31)+0.3*MAX(0,MIN(B111,Sources!B33)-Sources!B32)+0.41*MAX(0,MIN(B111,Sources!B34)-Sources!B33)+0.45*MAX(0,B111-Sources!B34),0)</f>
        <v>15124</v>
      </c>
      <c r="C112" s="0" t="n">
        <f aca="false">ROUND(0.11*MAX(0,MIN(C111,Sources!C32)-Sources!C31)+0.3*MAX(0,MIN(C111,Sources!C33)-Sources!C32)+0.41*MAX(0,MIN(C111,Sources!C34)-Sources!C33)+0.45*MAX(0,C111-Sources!C34),0)</f>
        <v>12107</v>
      </c>
      <c r="D112" s="0" t="n">
        <f aca="false">ROUND(0.11*MAX(0,MIN(D111,Sources!D32)-Sources!D31)+0.3*MAX(0,MIN(D111,Sources!D33)-Sources!D32)+0.41*MAX(0,MIN(D111,Sources!D34)-Sources!D33)+0.45*MAX(0,D111-Sources!D34),0)</f>
        <v>11770</v>
      </c>
    </row>
    <row r="113" customFormat="false" ht="15" hidden="false" customHeight="false" outlineLevel="0" collapsed="false">
      <c r="A113" s="0" t="s">
        <v>75</v>
      </c>
      <c r="B113" s="0" t="n">
        <f aca="false">IF(B112&lt;=Sources!B36,MAX(0,ROUND(B112-(Sources!B35-Sources!B37*B112),0)),B112)</f>
        <v>15124</v>
      </c>
      <c r="C113" s="0" t="n">
        <f aca="false">IF(C112&lt;=Sources!C36,MAX(0,ROUND(C112-(Sources!C35-Sources!C37*C112),0)),C112)</f>
        <v>12107</v>
      </c>
      <c r="D113" s="0" t="n">
        <f aca="false">IF(D112&lt;=Sources!D36,MAX(0,ROUND(D112-(Sources!D35-Sources!D37*D112),0)),D112)</f>
        <v>11770</v>
      </c>
    </row>
    <row r="114" customFormat="false" ht="15" hidden="false" customHeight="false" outlineLevel="0" collapsed="false">
      <c r="A114" s="0" t="s">
        <v>76</v>
      </c>
      <c r="B114" s="0" t="n">
        <f aca="false">IF($D$7=1,ROUND(B109*Sources!B26,0),0)</f>
        <v>0</v>
      </c>
      <c r="C114" s="0" t="n">
        <f aca="false">IF($D$7=1,ROUND(C109*Sources!C26,0),0)</f>
        <v>0</v>
      </c>
      <c r="D114" s="0" t="n">
        <f aca="false">IF($D$7=1,ROUND(D109*Sources!D26,0),0)</f>
        <v>0</v>
      </c>
    </row>
    <row r="115" customFormat="false" ht="15" hidden="false" customHeight="false" outlineLevel="0" collapsed="false">
      <c r="A115" s="0" t="s">
        <v>77</v>
      </c>
      <c r="B115" s="0" t="n">
        <f aca="false">B113+B114</f>
        <v>15124</v>
      </c>
      <c r="C115" s="0" t="n">
        <f aca="false">C113+C114</f>
        <v>12107</v>
      </c>
      <c r="D115" s="0" t="n">
        <f aca="false">D113+D114</f>
        <v>11770</v>
      </c>
    </row>
    <row r="116" customFormat="false" ht="15" hidden="false" customHeight="false" outlineLevel="0" collapsed="false">
      <c r="A116" s="0" t="s">
        <v>78</v>
      </c>
      <c r="B116" s="0" t="n">
        <f aca="false">B115-Sources!B15</f>
        <v>14164</v>
      </c>
      <c r="C116" s="0" t="n">
        <f aca="false">C115-Sources!C15</f>
        <v>8024</v>
      </c>
      <c r="D116" s="0" t="n">
        <f aca="false">D115-Sources!D15</f>
        <v>11770</v>
      </c>
    </row>
    <row r="117" customFormat="false" ht="15" hidden="false" customHeight="false" outlineLevel="0" collapsed="false">
      <c r="A117" s="0" t="s">
        <v>79</v>
      </c>
      <c r="B117" s="0" t="n">
        <f aca="false">B116-Sources!B16</f>
        <v>14800</v>
      </c>
      <c r="C117" s="0" t="n">
        <f aca="false">C116-Sources!C16</f>
        <v>10936</v>
      </c>
      <c r="D117" s="0" t="n">
        <f aca="false">D116-Sources!D16</f>
        <v>10824</v>
      </c>
    </row>
    <row r="118" customFormat="false" ht="15" hidden="false" customHeight="false" outlineLevel="0" collapsed="false">
      <c r="A118" s="0" t="s">
        <v>80</v>
      </c>
      <c r="B118" s="0" t="n">
        <f aca="false">ROUND((B116-MAX(Sources!B16,0))*Sources!B23*Sources!B20,0)</f>
        <v>793</v>
      </c>
      <c r="C118" s="0" t="n">
        <f aca="false">ROUND((C116-MAX(Sources!C16,0))*Sources!C23*Sources!C20,0)</f>
        <v>257</v>
      </c>
      <c r="D118" s="0" t="n">
        <f aca="false">ROUND((D116-MAX(Sources!D16,0))*Sources!D23*Sources!D20,0)</f>
        <v>87</v>
      </c>
    </row>
    <row r="119" customFormat="false" ht="15" hidden="false" customHeight="false" outlineLevel="0" collapsed="false">
      <c r="A119" s="0" t="s">
        <v>81</v>
      </c>
      <c r="B119" s="0" t="n">
        <f aca="false">IF($C$7=1,ROUND(B117*Sources!B24,0),0)</f>
        <v>5920</v>
      </c>
      <c r="C119" s="0" t="n">
        <f aca="false">IF($C$7=1,ROUND(C117*Sources!C24,0),0)</f>
        <v>4374</v>
      </c>
      <c r="D119" s="0" t="n">
        <f aca="false">IF($C$7=1,ROUND(D117*Sources!D24,0),0)</f>
        <v>4330</v>
      </c>
    </row>
    <row r="120" customFormat="false" ht="15" hidden="false" customHeight="false" outlineLevel="0" collapsed="false">
      <c r="A120" s="0" t="s">
        <v>82</v>
      </c>
      <c r="B120" s="0" t="n">
        <f aca="false">B116+B118+B119</f>
        <v>20877</v>
      </c>
      <c r="C120" s="0" t="n">
        <f aca="false">C116+C118+C119</f>
        <v>12655</v>
      </c>
      <c r="D120" s="0" t="n">
        <f aca="false">D116+D118+D119</f>
        <v>16187</v>
      </c>
    </row>
    <row r="121" customFormat="false" ht="15" hidden="false" customHeight="false" outlineLevel="0" collapsed="false">
      <c r="A121" s="0" t="s">
        <v>83</v>
      </c>
      <c r="B121" s="0" t="n">
        <f aca="false">B108+Sources!B17</f>
        <v>43204</v>
      </c>
      <c r="C121" s="0" t="n">
        <f aca="false">C108+Sources!C17</f>
        <v>35086</v>
      </c>
      <c r="D121" s="0" t="n">
        <f aca="false">D108+Sources!D17</f>
        <v>31269</v>
      </c>
    </row>
    <row r="122" customFormat="false" ht="15" hidden="false" customHeight="false" outlineLevel="0" collapsed="false">
      <c r="A122" s="0" t="s">
        <v>84</v>
      </c>
      <c r="B122" s="0" t="n">
        <f aca="false">ROUND(B121*Sources!B21,0)</f>
        <v>4191</v>
      </c>
      <c r="C122" s="0" t="n">
        <f aca="false">ROUND(C121*Sources!C21,0)</f>
        <v>3403</v>
      </c>
      <c r="D122" s="0" t="n">
        <f aca="false">ROUND(D121*Sources!D21,0)</f>
        <v>3471</v>
      </c>
    </row>
    <row r="123" customFormat="false" ht="15" hidden="false" customHeight="false" outlineLevel="0" collapsed="false">
      <c r="A123" s="0" t="s">
        <v>85</v>
      </c>
      <c r="B123" s="0" t="n">
        <f aca="false">ROUND(B121*Sources!B22,0)</f>
        <v>3240</v>
      </c>
      <c r="C123" s="0" t="n">
        <f aca="false">ROUND(C121*Sources!C22,0)</f>
        <v>2631</v>
      </c>
      <c r="D123" s="0" t="n">
        <f aca="false">ROUND(D121*Sources!D22,0)</f>
        <v>2345</v>
      </c>
    </row>
    <row r="124" customFormat="false" ht="15" hidden="false" customHeight="false" outlineLevel="0" collapsed="false">
      <c r="A124" s="0" t="s">
        <v>86</v>
      </c>
      <c r="B124" s="0" t="n">
        <f aca="false">B122+B123-Sources!B18</f>
        <v>7431</v>
      </c>
      <c r="C124" s="0" t="n">
        <f aca="false">C122+C123-Sources!C18</f>
        <v>5332</v>
      </c>
      <c r="D124" s="0" t="n">
        <f aca="false">D122+D123-Sources!D18</f>
        <v>5816</v>
      </c>
    </row>
    <row r="125" customFormat="false" ht="15" hidden="false" customHeight="false" outlineLevel="0" collapsed="false">
      <c r="A125" s="0" t="s">
        <v>87</v>
      </c>
      <c r="B125" s="0" t="n">
        <f aca="false">ROUND((B122-ROUND(Sources!B17*Sources!B21,0))*Sources!B23*Sources!B20,0)</f>
        <v>235</v>
      </c>
      <c r="C125" s="0" t="n">
        <f aca="false">ROUND((C122-ROUND(Sources!C17*Sources!C21,0))*Sources!C23*Sources!C20,0)</f>
        <v>96</v>
      </c>
      <c r="D125" s="0" t="n">
        <f aca="false">ROUND((D122-ROUND(Sources!D17*Sources!D21,0))*Sources!D23*Sources!D20,0)</f>
        <v>28</v>
      </c>
    </row>
    <row r="126" customFormat="false" ht="15" hidden="false" customHeight="false" outlineLevel="0" collapsed="false">
      <c r="A126" s="0" t="s">
        <v>88</v>
      </c>
      <c r="B126" s="0" t="n">
        <f aca="false">ROUND((B123-ROUND(Sources!B17*Sources!B22,0))*Sources!B23*Sources!B20,0)</f>
        <v>181</v>
      </c>
      <c r="C126" s="0" t="n">
        <f aca="false">ROUND((C123-ROUND(Sources!C17*Sources!C22,0))*Sources!C23*Sources!C20,0)</f>
        <v>74</v>
      </c>
      <c r="D126" s="0" t="n">
        <f aca="false">ROUND((D123-ROUND(Sources!D17*Sources!D22,0))*Sources!D23*Sources!D20,0)</f>
        <v>19</v>
      </c>
    </row>
    <row r="127" customFormat="false" ht="15" hidden="false" customHeight="false" outlineLevel="0" collapsed="false">
      <c r="A127" s="0" t="s">
        <v>89</v>
      </c>
      <c r="B127" s="0" t="n">
        <f aca="false">IF($C$7=1,ROUND((B122-ROUND(Sources!B17*Sources!B21,0))*Sources!B24,0),0)</f>
        <v>1676</v>
      </c>
      <c r="C127" s="0" t="n">
        <f aca="false">IF($C$7=1,ROUND((C122-ROUND(Sources!C17*Sources!C21,0))*Sources!C24,0),0)</f>
        <v>1203</v>
      </c>
      <c r="D127" s="0" t="n">
        <f aca="false">IF($C$7=1,ROUND((D122-ROUND(Sources!D17*Sources!D21,0))*Sources!D24,0),0)</f>
        <v>1388</v>
      </c>
    </row>
    <row r="128" customFormat="false" ht="15" hidden="false" customHeight="false" outlineLevel="0" collapsed="false">
      <c r="A128" s="0" t="s">
        <v>90</v>
      </c>
      <c r="B128" s="0" t="n">
        <f aca="false">IF($C$7=1,ROUND((B123-ROUND(Sources!B17*Sources!B22,0))*Sources!B24,0),0)</f>
        <v>1296</v>
      </c>
      <c r="C128" s="0" t="n">
        <f aca="false">IF($C$7=1,ROUND((C123-ROUND(Sources!C17*Sources!C22,0))*Sources!C24,0),0)</f>
        <v>930</v>
      </c>
      <c r="D128" s="0" t="n">
        <f aca="false">IF($C$7=1,ROUND((D123-ROUND(Sources!D17*Sources!D22,0))*Sources!D24,0),0)</f>
        <v>938</v>
      </c>
    </row>
    <row r="129" customFormat="false" ht="15" hidden="false" customHeight="false" outlineLevel="0" collapsed="false">
      <c r="A129" s="0" t="s">
        <v>91</v>
      </c>
      <c r="B129" s="0" t="n">
        <f aca="false">B122+B123+B125+B126+B127+B128</f>
        <v>10819</v>
      </c>
      <c r="C129" s="0" t="n">
        <f aca="false">C122+C123+C125+C126+C127+C128</f>
        <v>8337</v>
      </c>
      <c r="D129" s="0" t="n">
        <f aca="false">D122+D123+D125+D126+D127+D128</f>
        <v>8189</v>
      </c>
    </row>
    <row r="130" customFormat="false" ht="15" hidden="false" customHeight="false" outlineLevel="0" collapsed="false">
      <c r="A130" s="0" t="s">
        <v>92</v>
      </c>
      <c r="B130" s="0" t="n">
        <f aca="false">B120+B129+(636)</f>
        <v>32332</v>
      </c>
      <c r="C130" s="0" t="n">
        <f aca="false">C120+C129+(0)</f>
        <v>20992</v>
      </c>
      <c r="D130" s="0" t="n">
        <f aca="false">D120+D129+(-946)</f>
        <v>23430</v>
      </c>
    </row>
    <row r="131" customFormat="false" ht="15" hidden="false" customHeight="false" outlineLevel="0" collapsed="false">
      <c r="A131" s="0" t="s">
        <v>93</v>
      </c>
      <c r="B131" s="0" t="n">
        <f aca="false">B117+B118+B119+B124+B125+B126+B127+B128</f>
        <v>32332</v>
      </c>
      <c r="C131" s="0" t="n">
        <f aca="false">C117+C118+C119+C124+C125+C126+C127+C128</f>
        <v>23202</v>
      </c>
      <c r="D131" s="0" t="n">
        <f aca="false">D117+D118+D119+D124+D125+D126+D127+D128</f>
        <v>23430</v>
      </c>
    </row>
    <row r="135" customFormat="false" ht="15" hidden="false" customHeight="false" outlineLevel="0" collapsed="false">
      <c r="A135" s="1" t="s">
        <v>133</v>
      </c>
    </row>
    <row r="136" customFormat="false" ht="15" hidden="false" customHeight="false" outlineLevel="0" collapsed="false">
      <c r="B136" s="3" t="s">
        <v>2</v>
      </c>
      <c r="C136" s="3" t="s">
        <v>3</v>
      </c>
      <c r="D136" s="3" t="s">
        <v>4</v>
      </c>
    </row>
    <row r="137" customFormat="false" ht="15" hidden="false" customHeight="false" outlineLevel="0" collapsed="false">
      <c r="A137" s="0" t="s">
        <v>70</v>
      </c>
      <c r="B137" s="0" t="n">
        <f aca="false">ROUND(Sources!B9*$B$8,0)</f>
        <v>21602</v>
      </c>
      <c r="C137" s="0" t="n">
        <f aca="false">ROUND(Sources!C9*$B$8,0)</f>
        <v>15501</v>
      </c>
      <c r="D137" s="0" t="n">
        <f aca="false">ROUND(Sources!D9*$B$8,0)</f>
        <v>15635</v>
      </c>
    </row>
    <row r="138" customFormat="false" ht="15" hidden="false" customHeight="false" outlineLevel="0" collapsed="false">
      <c r="A138" s="0" t="s">
        <v>71</v>
      </c>
      <c r="B138" s="0" t="n">
        <f aca="false">ROUND(B137*$E$8,0)</f>
        <v>27003</v>
      </c>
      <c r="C138" s="0" t="n">
        <f aca="false">ROUND(C137*$E$8,0)</f>
        <v>19376</v>
      </c>
      <c r="D138" s="0" t="n">
        <f aca="false">ROUND(D137*$E$8,0)</f>
        <v>19544</v>
      </c>
    </row>
    <row r="139" customFormat="false" ht="15" hidden="false" customHeight="false" outlineLevel="0" collapsed="false">
      <c r="A139" s="0" t="s">
        <v>72</v>
      </c>
      <c r="B139" s="0" t="n">
        <f aca="false">Sources!B11+ROUND(Sources!B12*0.6,0)-Sources!B13-Sources!B14</f>
        <v>18788</v>
      </c>
      <c r="C139" s="0" t="n">
        <f aca="false">Sources!C11+ROUND(Sources!C12*0.6,0)-Sources!C13-Sources!C14</f>
        <v>24385</v>
      </c>
      <c r="D139" s="0" t="n">
        <f aca="false">Sources!D11+ROUND(Sources!D12*0.6,0)-Sources!D13-Sources!D14</f>
        <v>23134</v>
      </c>
    </row>
    <row r="140" customFormat="false" ht="15" hidden="false" customHeight="false" outlineLevel="0" collapsed="false">
      <c r="A140" s="0" t="s">
        <v>73</v>
      </c>
      <c r="B140" s="0" t="n">
        <f aca="false">IF($D$8=1,B139,B139+B138)</f>
        <v>45791</v>
      </c>
      <c r="C140" s="0" t="n">
        <f aca="false">IF($D$8=1,C139,C139+C138)</f>
        <v>43761</v>
      </c>
      <c r="D140" s="0" t="n">
        <f aca="false">IF($D$8=1,D139,D139+D138)</f>
        <v>42678</v>
      </c>
    </row>
    <row r="141" customFormat="false" ht="15" hidden="false" customHeight="false" outlineLevel="0" collapsed="false">
      <c r="A141" s="0" t="s">
        <v>74</v>
      </c>
      <c r="B141" s="0" t="n">
        <f aca="false">ROUND(0.11*MAX(0,MIN(B140,Sources!B32)-Sources!B31)+0.3*MAX(0,MIN(B140,Sources!B33)-Sources!B32)+0.41*MAX(0,MIN(B140,Sources!B34)-Sources!B33)+0.45*MAX(0,B140-Sources!B34),0)</f>
        <v>7024</v>
      </c>
      <c r="C141" s="0" t="n">
        <f aca="false">ROUND(0.11*MAX(0,MIN(C140,Sources!C32)-Sources!C31)+0.3*MAX(0,MIN(C140,Sources!C33)-Sources!C32)+0.41*MAX(0,MIN(C140,Sources!C34)-Sources!C33)+0.45*MAX(0,C140-Sources!C34),0)</f>
        <v>6294</v>
      </c>
      <c r="D141" s="0" t="n">
        <f aca="false">ROUND(0.11*MAX(0,MIN(D140,Sources!D32)-Sources!D31)+0.3*MAX(0,MIN(D140,Sources!D33)-Sources!D32)+0.41*MAX(0,MIN(D140,Sources!D34)-Sources!D33)+0.45*MAX(0,D140-Sources!D34),0)</f>
        <v>5907</v>
      </c>
    </row>
    <row r="142" customFormat="false" ht="15" hidden="false" customHeight="false" outlineLevel="0" collapsed="false">
      <c r="A142" s="0" t="s">
        <v>75</v>
      </c>
      <c r="B142" s="0" t="n">
        <f aca="false">IF(B141&lt;=Sources!B36,MAX(0,ROUND(B141-(Sources!B35-Sources!B37*B141),0)),B141)</f>
        <v>7024</v>
      </c>
      <c r="C142" s="0" t="n">
        <f aca="false">IF(C141&lt;=Sources!C36,MAX(0,ROUND(C141-(Sources!C35-Sources!C37*C141),0)),C141)</f>
        <v>6294</v>
      </c>
      <c r="D142" s="0" t="n">
        <f aca="false">IF(D141&lt;=Sources!D36,MAX(0,ROUND(D141-(Sources!D35-Sources!D37*D141),0)),D141)</f>
        <v>5907</v>
      </c>
    </row>
    <row r="143" customFormat="false" ht="15" hidden="false" customHeight="false" outlineLevel="0" collapsed="false">
      <c r="A143" s="0" t="s">
        <v>76</v>
      </c>
      <c r="B143" s="0" t="n">
        <f aca="false">IF($D$8=1,ROUND(B138*Sources!B26,0),0)</f>
        <v>0</v>
      </c>
      <c r="C143" s="0" t="n">
        <f aca="false">IF($D$8=1,ROUND(C138*Sources!C26,0),0)</f>
        <v>0</v>
      </c>
      <c r="D143" s="0" t="n">
        <f aca="false">IF($D$8=1,ROUND(D138*Sources!D26,0),0)</f>
        <v>0</v>
      </c>
    </row>
    <row r="144" customFormat="false" ht="15" hidden="false" customHeight="false" outlineLevel="0" collapsed="false">
      <c r="A144" s="0" t="s">
        <v>77</v>
      </c>
      <c r="B144" s="0" t="n">
        <f aca="false">B142+B143</f>
        <v>7024</v>
      </c>
      <c r="C144" s="0" t="n">
        <f aca="false">C142+C143</f>
        <v>6294</v>
      </c>
      <c r="D144" s="0" t="n">
        <f aca="false">D142+D143</f>
        <v>5907</v>
      </c>
    </row>
    <row r="145" customFormat="false" ht="15" hidden="false" customHeight="false" outlineLevel="0" collapsed="false">
      <c r="A145" s="0" t="s">
        <v>78</v>
      </c>
      <c r="B145" s="0" t="n">
        <f aca="false">B144-Sources!B15</f>
        <v>6064</v>
      </c>
      <c r="C145" s="0" t="n">
        <f aca="false">C144-Sources!C15</f>
        <v>2211</v>
      </c>
      <c r="D145" s="0" t="n">
        <f aca="false">D144-Sources!D15</f>
        <v>5907</v>
      </c>
    </row>
    <row r="146" customFormat="false" ht="15" hidden="false" customHeight="false" outlineLevel="0" collapsed="false">
      <c r="A146" s="0" t="s">
        <v>79</v>
      </c>
      <c r="B146" s="0" t="n">
        <f aca="false">B145-Sources!B16</f>
        <v>6700</v>
      </c>
      <c r="C146" s="0" t="n">
        <f aca="false">C145-Sources!C16</f>
        <v>5123</v>
      </c>
      <c r="D146" s="0" t="n">
        <f aca="false">D145-Sources!D16</f>
        <v>4961</v>
      </c>
    </row>
    <row r="147" customFormat="false" ht="15" hidden="false" customHeight="false" outlineLevel="0" collapsed="false">
      <c r="A147" s="0" t="s">
        <v>80</v>
      </c>
      <c r="B147" s="0" t="n">
        <f aca="false">ROUND((B145-MAX(Sources!B16,0))*Sources!B23*Sources!B20,0)</f>
        <v>340</v>
      </c>
      <c r="C147" s="0" t="n">
        <f aca="false">ROUND((C145-MAX(Sources!C16,0))*Sources!C23*Sources!C20,0)</f>
        <v>71</v>
      </c>
      <c r="D147" s="0" t="n">
        <f aca="false">ROUND((D145-MAX(Sources!D16,0))*Sources!D23*Sources!D20,0)</f>
        <v>40</v>
      </c>
    </row>
    <row r="148" customFormat="false" ht="15" hidden="false" customHeight="false" outlineLevel="0" collapsed="false">
      <c r="A148" s="0" t="s">
        <v>81</v>
      </c>
      <c r="B148" s="0" t="n">
        <f aca="false">IF($C$8=1,ROUND(B146*Sources!B24,0),0)</f>
        <v>2680</v>
      </c>
      <c r="C148" s="0" t="n">
        <f aca="false">IF($C$8=1,ROUND(C146*Sources!C24,0),0)</f>
        <v>2049</v>
      </c>
      <c r="D148" s="0" t="n">
        <f aca="false">IF($C$8=1,ROUND(D146*Sources!D24,0),0)</f>
        <v>1984</v>
      </c>
    </row>
    <row r="149" customFormat="false" ht="15" hidden="false" customHeight="false" outlineLevel="0" collapsed="false">
      <c r="A149" s="0" t="s">
        <v>82</v>
      </c>
      <c r="B149" s="0" t="n">
        <f aca="false">B145+B147+B148</f>
        <v>9084</v>
      </c>
      <c r="C149" s="0" t="n">
        <f aca="false">C145+C147+C148</f>
        <v>4331</v>
      </c>
      <c r="D149" s="0" t="n">
        <f aca="false">D145+D147+D148</f>
        <v>7931</v>
      </c>
    </row>
    <row r="150" customFormat="false" ht="15" hidden="false" customHeight="false" outlineLevel="0" collapsed="false">
      <c r="A150" s="0" t="s">
        <v>83</v>
      </c>
      <c r="B150" s="0" t="n">
        <f aca="false">B137+Sources!B17</f>
        <v>21602</v>
      </c>
      <c r="C150" s="0" t="n">
        <f aca="false">C137+Sources!C17</f>
        <v>19584</v>
      </c>
      <c r="D150" s="0" t="n">
        <f aca="false">D137+Sources!D17</f>
        <v>15635</v>
      </c>
    </row>
    <row r="151" customFormat="false" ht="15" hidden="false" customHeight="false" outlineLevel="0" collapsed="false">
      <c r="A151" s="0" t="s">
        <v>84</v>
      </c>
      <c r="B151" s="0" t="n">
        <f aca="false">ROUND(B150*Sources!B21,0)</f>
        <v>2095</v>
      </c>
      <c r="C151" s="0" t="n">
        <f aca="false">ROUND(C150*Sources!C21,0)</f>
        <v>1900</v>
      </c>
      <c r="D151" s="0" t="n">
        <f aca="false">ROUND(D150*Sources!D21,0)</f>
        <v>1735</v>
      </c>
    </row>
    <row r="152" customFormat="false" ht="15" hidden="false" customHeight="false" outlineLevel="0" collapsed="false">
      <c r="A152" s="0" t="s">
        <v>85</v>
      </c>
      <c r="B152" s="0" t="n">
        <f aca="false">ROUND(B150*Sources!B22,0)</f>
        <v>1620</v>
      </c>
      <c r="C152" s="0" t="n">
        <f aca="false">ROUND(C150*Sources!C22,0)</f>
        <v>1469</v>
      </c>
      <c r="D152" s="0" t="n">
        <f aca="false">ROUND(D150*Sources!D22,0)</f>
        <v>1173</v>
      </c>
    </row>
    <row r="153" customFormat="false" ht="15" hidden="false" customHeight="false" outlineLevel="0" collapsed="false">
      <c r="A153" s="0" t="s">
        <v>86</v>
      </c>
      <c r="B153" s="0" t="n">
        <f aca="false">B151+B152-Sources!B18</f>
        <v>3715</v>
      </c>
      <c r="C153" s="0" t="n">
        <f aca="false">C151+C152-Sources!C18</f>
        <v>2667</v>
      </c>
      <c r="D153" s="0" t="n">
        <f aca="false">D151+D152-Sources!D18</f>
        <v>2908</v>
      </c>
    </row>
    <row r="154" customFormat="false" ht="15" hidden="false" customHeight="false" outlineLevel="0" collapsed="false">
      <c r="A154" s="0" t="s">
        <v>87</v>
      </c>
      <c r="B154" s="0" t="n">
        <f aca="false">ROUND((B151-ROUND(Sources!B17*Sources!B21,0))*Sources!B23*Sources!B20,0)</f>
        <v>117</v>
      </c>
      <c r="C154" s="0" t="n">
        <f aca="false">ROUND((C151-ROUND(Sources!C17*Sources!C21,0))*Sources!C23*Sources!C20,0)</f>
        <v>48</v>
      </c>
      <c r="D154" s="0" t="n">
        <f aca="false">ROUND((D151-ROUND(Sources!D17*Sources!D21,0))*Sources!D23*Sources!D20,0)</f>
        <v>14</v>
      </c>
    </row>
    <row r="155" customFormat="false" ht="15" hidden="false" customHeight="false" outlineLevel="0" collapsed="false">
      <c r="A155" s="0" t="s">
        <v>88</v>
      </c>
      <c r="B155" s="0" t="n">
        <f aca="false">ROUND((B152-ROUND(Sources!B17*Sources!B22,0))*Sources!B23*Sources!B20,0)</f>
        <v>91</v>
      </c>
      <c r="C155" s="0" t="n">
        <f aca="false">ROUND((C152-ROUND(Sources!C17*Sources!C22,0))*Sources!C23*Sources!C20,0)</f>
        <v>37</v>
      </c>
      <c r="D155" s="0" t="n">
        <f aca="false">ROUND((D152-ROUND(Sources!D17*Sources!D22,0))*Sources!D23*Sources!D20,0)</f>
        <v>9</v>
      </c>
    </row>
    <row r="156" customFormat="false" ht="15" hidden="false" customHeight="false" outlineLevel="0" collapsed="false">
      <c r="A156" s="0" t="s">
        <v>89</v>
      </c>
      <c r="B156" s="0" t="n">
        <f aca="false">IF($C$8=1,ROUND((B151-ROUND(Sources!B17*Sources!B21,0))*Sources!B24,0),0)</f>
        <v>838</v>
      </c>
      <c r="C156" s="0" t="n">
        <f aca="false">IF($C$8=1,ROUND((C151-ROUND(Sources!C17*Sources!C21,0))*Sources!C24,0),0)</f>
        <v>602</v>
      </c>
      <c r="D156" s="0" t="n">
        <f aca="false">IF($C$8=1,ROUND((D151-ROUND(Sources!D17*Sources!D21,0))*Sources!D24,0),0)</f>
        <v>694</v>
      </c>
    </row>
    <row r="157" customFormat="false" ht="15" hidden="false" customHeight="false" outlineLevel="0" collapsed="false">
      <c r="A157" s="0" t="s">
        <v>90</v>
      </c>
      <c r="B157" s="0" t="n">
        <f aca="false">IF($C$8=1,ROUND((B152-ROUND(Sources!B17*Sources!B22,0))*Sources!B24,0),0)</f>
        <v>648</v>
      </c>
      <c r="C157" s="0" t="n">
        <f aca="false">IF($C$8=1,ROUND((C152-ROUND(Sources!C17*Sources!C22,0))*Sources!C24,0),0)</f>
        <v>465</v>
      </c>
      <c r="D157" s="0" t="n">
        <f aca="false">IF($C$8=1,ROUND((D152-ROUND(Sources!D17*Sources!D22,0))*Sources!D24,0),0)</f>
        <v>469</v>
      </c>
    </row>
    <row r="158" customFormat="false" ht="15" hidden="false" customHeight="false" outlineLevel="0" collapsed="false">
      <c r="A158" s="0" t="s">
        <v>91</v>
      </c>
      <c r="B158" s="0" t="n">
        <f aca="false">B151+B152+B154+B155+B156+B157</f>
        <v>5409</v>
      </c>
      <c r="C158" s="0" t="n">
        <f aca="false">C151+C152+C154+C155+C156+C157</f>
        <v>4521</v>
      </c>
      <c r="D158" s="0" t="n">
        <f aca="false">D151+D152+D154+D155+D156+D157</f>
        <v>4094</v>
      </c>
    </row>
    <row r="159" customFormat="false" ht="15" hidden="false" customHeight="false" outlineLevel="0" collapsed="false">
      <c r="A159" s="0" t="s">
        <v>92</v>
      </c>
      <c r="B159" s="0" t="n">
        <f aca="false">B149+B158+(636)</f>
        <v>15129</v>
      </c>
      <c r="C159" s="0" t="n">
        <f aca="false">C149+C158+(0)</f>
        <v>8852</v>
      </c>
      <c r="D159" s="0" t="n">
        <f aca="false">D149+D158+(-946)</f>
        <v>11079</v>
      </c>
    </row>
    <row r="160" customFormat="false" ht="15" hidden="false" customHeight="false" outlineLevel="0" collapsed="false">
      <c r="A160" s="0" t="s">
        <v>93</v>
      </c>
      <c r="B160" s="0" t="n">
        <f aca="false">B146+B147+B148+B153+B154+B155+B156+B157</f>
        <v>15129</v>
      </c>
      <c r="C160" s="0" t="n">
        <f aca="false">C146+C147+C148+C153+C154+C155+C156+C157</f>
        <v>11062</v>
      </c>
      <c r="D160" s="0" t="n">
        <f aca="false">D146+D147+D148+D153+D154+D155+D156+D157</f>
        <v>11079</v>
      </c>
    </row>
    <row r="164" customFormat="false" ht="15" hidden="false" customHeight="false" outlineLevel="0" collapsed="false">
      <c r="A164" s="1" t="s">
        <v>134</v>
      </c>
    </row>
    <row r="165" customFormat="false" ht="15" hidden="false" customHeight="false" outlineLevel="0" collapsed="false">
      <c r="B165" s="3" t="s">
        <v>2</v>
      </c>
      <c r="C165" s="3" t="s">
        <v>3</v>
      </c>
      <c r="D165" s="3" t="s">
        <v>4</v>
      </c>
    </row>
    <row r="166" customFormat="false" ht="15" hidden="false" customHeight="false" outlineLevel="0" collapsed="false">
      <c r="A166" s="0" t="s">
        <v>70</v>
      </c>
      <c r="B166" s="0" t="n">
        <f aca="false">ROUND(Sources!B9*$B$9,0)</f>
        <v>64805</v>
      </c>
      <c r="C166" s="0" t="n">
        <f aca="false">ROUND(Sources!C9*$B$9,0)</f>
        <v>46504</v>
      </c>
      <c r="D166" s="0" t="n">
        <f aca="false">ROUND(Sources!D9*$B$9,0)</f>
        <v>46904</v>
      </c>
    </row>
    <row r="167" customFormat="false" ht="15" hidden="false" customHeight="false" outlineLevel="0" collapsed="false">
      <c r="A167" s="0" t="s">
        <v>71</v>
      </c>
      <c r="B167" s="0" t="n">
        <f aca="false">ROUND(B166*$E$9,0)</f>
        <v>81006</v>
      </c>
      <c r="C167" s="0" t="n">
        <f aca="false">ROUND(C166*$E$9,0)</f>
        <v>58130</v>
      </c>
      <c r="D167" s="0" t="n">
        <f aca="false">ROUND(D166*$E$9,0)</f>
        <v>58630</v>
      </c>
    </row>
    <row r="168" customFormat="false" ht="15" hidden="false" customHeight="false" outlineLevel="0" collapsed="false">
      <c r="A168" s="0" t="s">
        <v>72</v>
      </c>
      <c r="B168" s="0" t="n">
        <f aca="false">Sources!B11+ROUND(Sources!B12*0.6,0)-Sources!B13-Sources!B14</f>
        <v>18788</v>
      </c>
      <c r="C168" s="0" t="n">
        <f aca="false">Sources!C11+ROUND(Sources!C12*0.6,0)-Sources!C13-Sources!C14</f>
        <v>24385</v>
      </c>
      <c r="D168" s="0" t="n">
        <f aca="false">Sources!D11+ROUND(Sources!D12*0.6,0)-Sources!D13-Sources!D14</f>
        <v>23134</v>
      </c>
    </row>
    <row r="169" customFormat="false" ht="15" hidden="false" customHeight="false" outlineLevel="0" collapsed="false">
      <c r="A169" s="0" t="s">
        <v>73</v>
      </c>
      <c r="B169" s="0" t="n">
        <f aca="false">IF($D$9=1,B168,B168+B167)</f>
        <v>99794</v>
      </c>
      <c r="C169" s="0" t="n">
        <f aca="false">IF($D$9=1,C168,C168+C167)</f>
        <v>82515</v>
      </c>
      <c r="D169" s="0" t="n">
        <f aca="false">IF($D$9=1,D168,D168+D167)</f>
        <v>81764</v>
      </c>
    </row>
    <row r="170" customFormat="false" ht="15" hidden="false" customHeight="false" outlineLevel="0" collapsed="false">
      <c r="A170" s="0" t="s">
        <v>74</v>
      </c>
      <c r="B170" s="0" t="n">
        <f aca="false">ROUND(0.11*MAX(0,MIN(B169,Sources!B32)-Sources!B31)+0.3*MAX(0,MIN(B169,Sources!B33)-Sources!B32)+0.41*MAX(0,MIN(B169,Sources!B34)-Sources!B33)+0.45*MAX(0,B169-Sources!B34),0)</f>
        <v>25144</v>
      </c>
      <c r="C170" s="0" t="n">
        <f aca="false">ROUND(0.11*MAX(0,MIN(C169,Sources!C32)-Sources!C31)+0.3*MAX(0,MIN(C169,Sources!C33)-Sources!C32)+0.41*MAX(0,MIN(C169,Sources!C34)-Sources!C33)+0.45*MAX(0,C169-Sources!C34),0)</f>
        <v>17920</v>
      </c>
      <c r="D170" s="0" t="n">
        <f aca="false">ROUND(0.11*MAX(0,MIN(D169,Sources!D32)-Sources!D31)+0.3*MAX(0,MIN(D169,Sources!D33)-Sources!D32)+0.41*MAX(0,MIN(D169,Sources!D34)-Sources!D33)+0.45*MAX(0,D169-Sources!D34),0)</f>
        <v>17633</v>
      </c>
    </row>
    <row r="171" customFormat="false" ht="15" hidden="false" customHeight="false" outlineLevel="0" collapsed="false">
      <c r="A171" s="0" t="s">
        <v>75</v>
      </c>
      <c r="B171" s="0" t="n">
        <f aca="false">IF(B170&lt;=Sources!B36,MAX(0,ROUND(B170-(Sources!B35-Sources!B37*B170),0)),B170)</f>
        <v>25144</v>
      </c>
      <c r="C171" s="0" t="n">
        <f aca="false">IF(C170&lt;=Sources!C36,MAX(0,ROUND(C170-(Sources!C35-Sources!C37*C170),0)),C170)</f>
        <v>17920</v>
      </c>
      <c r="D171" s="0" t="n">
        <f aca="false">IF(D170&lt;=Sources!D36,MAX(0,ROUND(D170-(Sources!D35-Sources!D37*D170),0)),D170)</f>
        <v>17633</v>
      </c>
    </row>
    <row r="172" customFormat="false" ht="15" hidden="false" customHeight="false" outlineLevel="0" collapsed="false">
      <c r="A172" s="0" t="s">
        <v>76</v>
      </c>
      <c r="B172" s="0" t="n">
        <f aca="false">IF($D$9=1,ROUND(B167*Sources!B26,0),0)</f>
        <v>0</v>
      </c>
      <c r="C172" s="0" t="n">
        <f aca="false">IF($D$9=1,ROUND(C167*Sources!C26,0),0)</f>
        <v>0</v>
      </c>
      <c r="D172" s="0" t="n">
        <f aca="false">IF($D$9=1,ROUND(D167*Sources!D26,0),0)</f>
        <v>0</v>
      </c>
    </row>
    <row r="173" customFormat="false" ht="15" hidden="false" customHeight="false" outlineLevel="0" collapsed="false">
      <c r="A173" s="0" t="s">
        <v>77</v>
      </c>
      <c r="B173" s="0" t="n">
        <f aca="false">B171+B172</f>
        <v>25144</v>
      </c>
      <c r="C173" s="0" t="n">
        <f aca="false">C171+C172</f>
        <v>17920</v>
      </c>
      <c r="D173" s="0" t="n">
        <f aca="false">D171+D172</f>
        <v>17633</v>
      </c>
    </row>
    <row r="174" customFormat="false" ht="15" hidden="false" customHeight="false" outlineLevel="0" collapsed="false">
      <c r="A174" s="0" t="s">
        <v>78</v>
      </c>
      <c r="B174" s="0" t="n">
        <f aca="false">B173-Sources!B15</f>
        <v>24184</v>
      </c>
      <c r="C174" s="0" t="n">
        <f aca="false">C173-Sources!C15</f>
        <v>13837</v>
      </c>
      <c r="D174" s="0" t="n">
        <f aca="false">D173-Sources!D15</f>
        <v>17633</v>
      </c>
    </row>
    <row r="175" customFormat="false" ht="15" hidden="false" customHeight="false" outlineLevel="0" collapsed="false">
      <c r="A175" s="0" t="s">
        <v>79</v>
      </c>
      <c r="B175" s="0" t="n">
        <f aca="false">B174-Sources!B16</f>
        <v>24820</v>
      </c>
      <c r="C175" s="0" t="n">
        <f aca="false">C174-Sources!C16</f>
        <v>16749</v>
      </c>
      <c r="D175" s="0" t="n">
        <f aca="false">D174-Sources!D16</f>
        <v>16687</v>
      </c>
    </row>
    <row r="176" customFormat="false" ht="15" hidden="false" customHeight="false" outlineLevel="0" collapsed="false">
      <c r="A176" s="0" t="s">
        <v>80</v>
      </c>
      <c r="B176" s="0" t="n">
        <f aca="false">ROUND((B174-MAX(Sources!B16,0))*Sources!B23*Sources!B20,0)</f>
        <v>1354</v>
      </c>
      <c r="C176" s="0" t="n">
        <f aca="false">ROUND((C174-MAX(Sources!C16,0))*Sources!C23*Sources!C20,0)</f>
        <v>443</v>
      </c>
      <c r="D176" s="0" t="n">
        <f aca="false">ROUND((D174-MAX(Sources!D16,0))*Sources!D23*Sources!D20,0)</f>
        <v>133</v>
      </c>
    </row>
    <row r="177" customFormat="false" ht="15" hidden="false" customHeight="false" outlineLevel="0" collapsed="false">
      <c r="A177" s="0" t="s">
        <v>81</v>
      </c>
      <c r="B177" s="0" t="n">
        <f aca="false">IF($C$9=1,ROUND(B175*Sources!B24,0),0)</f>
        <v>0</v>
      </c>
      <c r="C177" s="0" t="n">
        <f aca="false">IF($C$9=1,ROUND(C175*Sources!C24,0),0)</f>
        <v>0</v>
      </c>
      <c r="D177" s="0" t="n">
        <f aca="false">IF($C$9=1,ROUND(D175*Sources!D24,0),0)</f>
        <v>0</v>
      </c>
    </row>
    <row r="178" customFormat="false" ht="15" hidden="false" customHeight="false" outlineLevel="0" collapsed="false">
      <c r="A178" s="0" t="s">
        <v>82</v>
      </c>
      <c r="B178" s="0" t="n">
        <f aca="false">B174+B176+B177</f>
        <v>25538</v>
      </c>
      <c r="C178" s="0" t="n">
        <f aca="false">C174+C176+C177</f>
        <v>14280</v>
      </c>
      <c r="D178" s="0" t="n">
        <f aca="false">D174+D176+D177</f>
        <v>17766</v>
      </c>
    </row>
    <row r="179" customFormat="false" ht="15" hidden="false" customHeight="false" outlineLevel="0" collapsed="false">
      <c r="A179" s="0" t="s">
        <v>83</v>
      </c>
      <c r="B179" s="0" t="n">
        <f aca="false">B166+Sources!B17</f>
        <v>64805</v>
      </c>
      <c r="C179" s="0" t="n">
        <f aca="false">C166+Sources!C17</f>
        <v>50587</v>
      </c>
      <c r="D179" s="0" t="n">
        <f aca="false">D166+Sources!D17</f>
        <v>46904</v>
      </c>
    </row>
    <row r="180" customFormat="false" ht="15" hidden="false" customHeight="false" outlineLevel="0" collapsed="false">
      <c r="A180" s="0" t="s">
        <v>84</v>
      </c>
      <c r="B180" s="0" t="n">
        <f aca="false">ROUND(B179*Sources!B21,0)</f>
        <v>6286</v>
      </c>
      <c r="C180" s="0" t="n">
        <f aca="false">ROUND(C179*Sources!C21,0)</f>
        <v>4907</v>
      </c>
      <c r="D180" s="0" t="n">
        <f aca="false">ROUND(D179*Sources!D21,0)</f>
        <v>5206</v>
      </c>
    </row>
    <row r="181" customFormat="false" ht="15" hidden="false" customHeight="false" outlineLevel="0" collapsed="false">
      <c r="A181" s="0" t="s">
        <v>85</v>
      </c>
      <c r="B181" s="0" t="n">
        <f aca="false">ROUND(B179*Sources!B22,0)</f>
        <v>4860</v>
      </c>
      <c r="C181" s="0" t="n">
        <f aca="false">ROUND(C179*Sources!C22,0)</f>
        <v>3794</v>
      </c>
      <c r="D181" s="0" t="n">
        <f aca="false">ROUND(D179*Sources!D22,0)</f>
        <v>3518</v>
      </c>
    </row>
    <row r="182" customFormat="false" ht="15" hidden="false" customHeight="false" outlineLevel="0" collapsed="false">
      <c r="A182" s="0" t="s">
        <v>86</v>
      </c>
      <c r="B182" s="0" t="n">
        <f aca="false">B180+B181-Sources!B18</f>
        <v>11146</v>
      </c>
      <c r="C182" s="0" t="n">
        <f aca="false">C180+C181-Sources!C18</f>
        <v>7999</v>
      </c>
      <c r="D182" s="0" t="n">
        <f aca="false">D180+D181-Sources!D18</f>
        <v>8724</v>
      </c>
    </row>
    <row r="183" customFormat="false" ht="15" hidden="false" customHeight="false" outlineLevel="0" collapsed="false">
      <c r="A183" s="0" t="s">
        <v>87</v>
      </c>
      <c r="B183" s="0" t="n">
        <f aca="false">ROUND((B180-ROUND(Sources!B17*Sources!B21,0))*Sources!B23*Sources!B20,0)</f>
        <v>352</v>
      </c>
      <c r="C183" s="0" t="n">
        <f aca="false">ROUND((C180-ROUND(Sources!C17*Sources!C21,0))*Sources!C23*Sources!C20,0)</f>
        <v>144</v>
      </c>
      <c r="D183" s="0" t="n">
        <f aca="false">ROUND((D180-ROUND(Sources!D17*Sources!D21,0))*Sources!D23*Sources!D20,0)</f>
        <v>42</v>
      </c>
    </row>
    <row r="184" customFormat="false" ht="15" hidden="false" customHeight="false" outlineLevel="0" collapsed="false">
      <c r="A184" s="0" t="s">
        <v>88</v>
      </c>
      <c r="B184" s="0" t="n">
        <f aca="false">ROUND((B181-ROUND(Sources!B17*Sources!B22,0))*Sources!B23*Sources!B20,0)</f>
        <v>272</v>
      </c>
      <c r="C184" s="0" t="n">
        <f aca="false">ROUND((C181-ROUND(Sources!C17*Sources!C22,0))*Sources!C23*Sources!C20,0)</f>
        <v>112</v>
      </c>
      <c r="D184" s="0" t="n">
        <f aca="false">ROUND((D181-ROUND(Sources!D17*Sources!D22,0))*Sources!D23*Sources!D20,0)</f>
        <v>28</v>
      </c>
    </row>
    <row r="185" customFormat="false" ht="15" hidden="false" customHeight="false" outlineLevel="0" collapsed="false">
      <c r="A185" s="0" t="s">
        <v>89</v>
      </c>
      <c r="B185" s="0" t="n">
        <f aca="false">IF($C$9=1,ROUND((B180-ROUND(Sources!B17*Sources!B21,0))*Sources!B24,0),0)</f>
        <v>0</v>
      </c>
      <c r="C185" s="0" t="n">
        <f aca="false">IF($C$9=1,ROUND((C180-ROUND(Sources!C17*Sources!C21,0))*Sources!C24,0),0)</f>
        <v>0</v>
      </c>
      <c r="D185" s="0" t="n">
        <f aca="false">IF($C$9=1,ROUND((D180-ROUND(Sources!D17*Sources!D21,0))*Sources!D24,0),0)</f>
        <v>0</v>
      </c>
    </row>
    <row r="186" customFormat="false" ht="15" hidden="false" customHeight="false" outlineLevel="0" collapsed="false">
      <c r="A186" s="0" t="s">
        <v>90</v>
      </c>
      <c r="B186" s="0" t="n">
        <f aca="false">IF($C$9=1,ROUND((B181-ROUND(Sources!B17*Sources!B22,0))*Sources!B24,0),0)</f>
        <v>0</v>
      </c>
      <c r="C186" s="0" t="n">
        <f aca="false">IF($C$9=1,ROUND((C181-ROUND(Sources!C17*Sources!C22,0))*Sources!C24,0),0)</f>
        <v>0</v>
      </c>
      <c r="D186" s="0" t="n">
        <f aca="false">IF($C$9=1,ROUND((D181-ROUND(Sources!D17*Sources!D22,0))*Sources!D24,0),0)</f>
        <v>0</v>
      </c>
    </row>
    <row r="187" customFormat="false" ht="15" hidden="false" customHeight="false" outlineLevel="0" collapsed="false">
      <c r="A187" s="0" t="s">
        <v>91</v>
      </c>
      <c r="B187" s="0" t="n">
        <f aca="false">B180+B181+B183+B184+B185+B186</f>
        <v>11770</v>
      </c>
      <c r="C187" s="0" t="n">
        <f aca="false">C180+C181+C183+C184+C185+C186</f>
        <v>8957</v>
      </c>
      <c r="D187" s="0" t="n">
        <f aca="false">D180+D181+D183+D184+D185+D186</f>
        <v>8794</v>
      </c>
    </row>
    <row r="188" customFormat="false" ht="15" hidden="false" customHeight="false" outlineLevel="0" collapsed="false">
      <c r="A188" s="0" t="s">
        <v>92</v>
      </c>
      <c r="B188" s="0" t="n">
        <f aca="false">B178+B187+(636)</f>
        <v>37944</v>
      </c>
      <c r="C188" s="0" t="n">
        <f aca="false">C178+C187+(0)</f>
        <v>23237</v>
      </c>
      <c r="D188" s="0" t="n">
        <f aca="false">D178+D187+(-946)</f>
        <v>25614</v>
      </c>
    </row>
    <row r="189" customFormat="false" ht="15" hidden="false" customHeight="false" outlineLevel="0" collapsed="false">
      <c r="A189" s="0" t="s">
        <v>93</v>
      </c>
      <c r="B189" s="0" t="n">
        <f aca="false">B175+B176+B177+B182+B183+B184+B185+B186</f>
        <v>37944</v>
      </c>
      <c r="C189" s="0" t="n">
        <f aca="false">C175+C176+C177+C182+C183+C184+C185+C186</f>
        <v>25447</v>
      </c>
      <c r="D189" s="0" t="n">
        <f aca="false">D175+D176+D177+D182+D183+D184+D185+D186</f>
        <v>25614</v>
      </c>
    </row>
    <row r="193" customFormat="false" ht="15" hidden="false" customHeight="false" outlineLevel="0" collapsed="false">
      <c r="A193" s="1" t="s">
        <v>135</v>
      </c>
    </row>
    <row r="194" customFormat="false" ht="15" hidden="false" customHeight="false" outlineLevel="0" collapsed="false">
      <c r="B194" s="3" t="s">
        <v>2</v>
      </c>
      <c r="C194" s="3" t="s">
        <v>3</v>
      </c>
      <c r="D194" s="3" t="s">
        <v>4</v>
      </c>
    </row>
    <row r="195" customFormat="false" ht="15" hidden="false" customHeight="false" outlineLevel="0" collapsed="false">
      <c r="A195" s="0" t="s">
        <v>70</v>
      </c>
      <c r="B195" s="0" t="n">
        <f aca="false">ROUND(Sources!B9*$B$10,0)</f>
        <v>43204</v>
      </c>
      <c r="C195" s="0" t="n">
        <f aca="false">ROUND(Sources!C9*$B$10,0)</f>
        <v>31003</v>
      </c>
      <c r="D195" s="0" t="n">
        <f aca="false">ROUND(Sources!D9*$B$10,0)</f>
        <v>31269</v>
      </c>
    </row>
    <row r="196" customFormat="false" ht="15" hidden="false" customHeight="false" outlineLevel="0" collapsed="false">
      <c r="A196" s="0" t="s">
        <v>71</v>
      </c>
      <c r="B196" s="0" t="n">
        <f aca="false">ROUND(B195*$E$10,0)</f>
        <v>54005</v>
      </c>
      <c r="C196" s="0" t="n">
        <f aca="false">ROUND(C195*$E$10,0)</f>
        <v>38754</v>
      </c>
      <c r="D196" s="0" t="n">
        <f aca="false">ROUND(D195*$E$10,0)</f>
        <v>39086</v>
      </c>
    </row>
    <row r="197" customFormat="false" ht="15" hidden="false" customHeight="false" outlineLevel="0" collapsed="false">
      <c r="A197" s="0" t="s">
        <v>72</v>
      </c>
      <c r="B197" s="0" t="n">
        <f aca="false">Sources!B11+ROUND(Sources!B12*0.6,0)-Sources!B13-Sources!B14</f>
        <v>18788</v>
      </c>
      <c r="C197" s="0" t="n">
        <f aca="false">Sources!C11+ROUND(Sources!C12*0.6,0)-Sources!C13-Sources!C14</f>
        <v>24385</v>
      </c>
      <c r="D197" s="0" t="n">
        <f aca="false">Sources!D11+ROUND(Sources!D12*0.6,0)-Sources!D13-Sources!D14</f>
        <v>23134</v>
      </c>
    </row>
    <row r="198" customFormat="false" ht="15" hidden="false" customHeight="false" outlineLevel="0" collapsed="false">
      <c r="A198" s="0" t="s">
        <v>73</v>
      </c>
      <c r="B198" s="0" t="n">
        <f aca="false">IF($D$10=1,B197,B197+B196)</f>
        <v>72793</v>
      </c>
      <c r="C198" s="0" t="n">
        <f aca="false">IF($D$10=1,C197,C197+C196)</f>
        <v>63139</v>
      </c>
      <c r="D198" s="0" t="n">
        <f aca="false">IF($D$10=1,D197,D197+D196)</f>
        <v>62220</v>
      </c>
    </row>
    <row r="199" customFormat="false" ht="15" hidden="false" customHeight="false" outlineLevel="0" collapsed="false">
      <c r="A199" s="0" t="s">
        <v>74</v>
      </c>
      <c r="B199" s="0" t="n">
        <f aca="false">ROUND(0.11*MAX(0,MIN(B198,Sources!B32)-Sources!B31)+0.3*MAX(0,MIN(B198,Sources!B33)-Sources!B32)+0.41*MAX(0,MIN(B198,Sources!B34)-Sources!B33)+0.45*MAX(0,B198-Sources!B34),0)</f>
        <v>15124</v>
      </c>
      <c r="C199" s="0" t="n">
        <f aca="false">ROUND(0.11*MAX(0,MIN(C198,Sources!C32)-Sources!C31)+0.3*MAX(0,MIN(C198,Sources!C33)-Sources!C32)+0.41*MAX(0,MIN(C198,Sources!C34)-Sources!C33)+0.45*MAX(0,C198-Sources!C34),0)</f>
        <v>12107</v>
      </c>
      <c r="D199" s="0" t="n">
        <f aca="false">ROUND(0.11*MAX(0,MIN(D198,Sources!D32)-Sources!D31)+0.3*MAX(0,MIN(D198,Sources!D33)-Sources!D32)+0.41*MAX(0,MIN(D198,Sources!D34)-Sources!D33)+0.45*MAX(0,D198-Sources!D34),0)</f>
        <v>11770</v>
      </c>
    </row>
    <row r="200" customFormat="false" ht="15" hidden="false" customHeight="false" outlineLevel="0" collapsed="false">
      <c r="A200" s="0" t="s">
        <v>75</v>
      </c>
      <c r="B200" s="0" t="n">
        <f aca="false">IF(B199&lt;=Sources!B36,MAX(0,ROUND(B199-(Sources!B35-Sources!B37*B199),0)),B199)</f>
        <v>15124</v>
      </c>
      <c r="C200" s="0" t="n">
        <f aca="false">IF(C199&lt;=Sources!C36,MAX(0,ROUND(C199-(Sources!C35-Sources!C37*C199),0)),C199)</f>
        <v>12107</v>
      </c>
      <c r="D200" s="0" t="n">
        <f aca="false">IF(D199&lt;=Sources!D36,MAX(0,ROUND(D199-(Sources!D35-Sources!D37*D199),0)),D199)</f>
        <v>11770</v>
      </c>
    </row>
    <row r="201" customFormat="false" ht="15" hidden="false" customHeight="false" outlineLevel="0" collapsed="false">
      <c r="A201" s="0" t="s">
        <v>76</v>
      </c>
      <c r="B201" s="0" t="n">
        <f aca="false">IF($D$10=1,ROUND(B196*Sources!B26,0),0)</f>
        <v>0</v>
      </c>
      <c r="C201" s="0" t="n">
        <f aca="false">IF($D$10=1,ROUND(C196*Sources!C26,0),0)</f>
        <v>0</v>
      </c>
      <c r="D201" s="0" t="n">
        <f aca="false">IF($D$10=1,ROUND(D196*Sources!D26,0),0)</f>
        <v>0</v>
      </c>
    </row>
    <row r="202" customFormat="false" ht="15" hidden="false" customHeight="false" outlineLevel="0" collapsed="false">
      <c r="A202" s="0" t="s">
        <v>77</v>
      </c>
      <c r="B202" s="0" t="n">
        <f aca="false">B200+B201</f>
        <v>15124</v>
      </c>
      <c r="C202" s="0" t="n">
        <f aca="false">C200+C201</f>
        <v>12107</v>
      </c>
      <c r="D202" s="0" t="n">
        <f aca="false">D200+D201</f>
        <v>11770</v>
      </c>
    </row>
    <row r="203" customFormat="false" ht="15" hidden="false" customHeight="false" outlineLevel="0" collapsed="false">
      <c r="A203" s="0" t="s">
        <v>78</v>
      </c>
      <c r="B203" s="0" t="n">
        <f aca="false">B202-Sources!B15</f>
        <v>14164</v>
      </c>
      <c r="C203" s="0" t="n">
        <f aca="false">C202-Sources!C15</f>
        <v>8024</v>
      </c>
      <c r="D203" s="0" t="n">
        <f aca="false">D202-Sources!D15</f>
        <v>11770</v>
      </c>
    </row>
    <row r="204" customFormat="false" ht="15" hidden="false" customHeight="false" outlineLevel="0" collapsed="false">
      <c r="A204" s="0" t="s">
        <v>79</v>
      </c>
      <c r="B204" s="0" t="n">
        <f aca="false">B203-Sources!B16</f>
        <v>14800</v>
      </c>
      <c r="C204" s="0" t="n">
        <f aca="false">C203-Sources!C16</f>
        <v>10936</v>
      </c>
      <c r="D204" s="0" t="n">
        <f aca="false">D203-Sources!D16</f>
        <v>10824</v>
      </c>
    </row>
    <row r="205" customFormat="false" ht="15" hidden="false" customHeight="false" outlineLevel="0" collapsed="false">
      <c r="A205" s="0" t="s">
        <v>80</v>
      </c>
      <c r="B205" s="0" t="n">
        <f aca="false">ROUND((B203-MAX(Sources!B16,0))*Sources!B23*Sources!B20,0)</f>
        <v>793</v>
      </c>
      <c r="C205" s="0" t="n">
        <f aca="false">ROUND((C203-MAX(Sources!C16,0))*Sources!C23*Sources!C20,0)</f>
        <v>257</v>
      </c>
      <c r="D205" s="0" t="n">
        <f aca="false">ROUND((D203-MAX(Sources!D16,0))*Sources!D23*Sources!D20,0)</f>
        <v>87</v>
      </c>
    </row>
    <row r="206" customFormat="false" ht="15" hidden="false" customHeight="false" outlineLevel="0" collapsed="false">
      <c r="A206" s="0" t="s">
        <v>81</v>
      </c>
      <c r="B206" s="0" t="n">
        <f aca="false">IF($C$10=1,ROUND(B204*Sources!B24,0),0)</f>
        <v>0</v>
      </c>
      <c r="C206" s="0" t="n">
        <f aca="false">IF($C$10=1,ROUND(C204*Sources!C24,0),0)</f>
        <v>0</v>
      </c>
      <c r="D206" s="0" t="n">
        <f aca="false">IF($C$10=1,ROUND(D204*Sources!D24,0),0)</f>
        <v>0</v>
      </c>
    </row>
    <row r="207" customFormat="false" ht="15" hidden="false" customHeight="false" outlineLevel="0" collapsed="false">
      <c r="A207" s="0" t="s">
        <v>82</v>
      </c>
      <c r="B207" s="0" t="n">
        <f aca="false">B203+B205+B206</f>
        <v>14957</v>
      </c>
      <c r="C207" s="0" t="n">
        <f aca="false">C203+C205+C206</f>
        <v>8281</v>
      </c>
      <c r="D207" s="0" t="n">
        <f aca="false">D203+D205+D206</f>
        <v>11857</v>
      </c>
    </row>
    <row r="208" customFormat="false" ht="15" hidden="false" customHeight="false" outlineLevel="0" collapsed="false">
      <c r="A208" s="0" t="s">
        <v>83</v>
      </c>
      <c r="B208" s="0" t="n">
        <f aca="false">B195+Sources!B17</f>
        <v>43204</v>
      </c>
      <c r="C208" s="0" t="n">
        <f aca="false">C195+Sources!C17</f>
        <v>35086</v>
      </c>
      <c r="D208" s="0" t="n">
        <f aca="false">D195+Sources!D17</f>
        <v>31269</v>
      </c>
    </row>
    <row r="209" customFormat="false" ht="15" hidden="false" customHeight="false" outlineLevel="0" collapsed="false">
      <c r="A209" s="0" t="s">
        <v>84</v>
      </c>
      <c r="B209" s="0" t="n">
        <f aca="false">ROUND(B208*Sources!B21,0)</f>
        <v>4191</v>
      </c>
      <c r="C209" s="0" t="n">
        <f aca="false">ROUND(C208*Sources!C21,0)</f>
        <v>3403</v>
      </c>
      <c r="D209" s="0" t="n">
        <f aca="false">ROUND(D208*Sources!D21,0)</f>
        <v>3471</v>
      </c>
    </row>
    <row r="210" customFormat="false" ht="15" hidden="false" customHeight="false" outlineLevel="0" collapsed="false">
      <c r="A210" s="0" t="s">
        <v>85</v>
      </c>
      <c r="B210" s="0" t="n">
        <f aca="false">ROUND(B208*Sources!B22,0)</f>
        <v>3240</v>
      </c>
      <c r="C210" s="0" t="n">
        <f aca="false">ROUND(C208*Sources!C22,0)</f>
        <v>2631</v>
      </c>
      <c r="D210" s="0" t="n">
        <f aca="false">ROUND(D208*Sources!D22,0)</f>
        <v>2345</v>
      </c>
    </row>
    <row r="211" customFormat="false" ht="15" hidden="false" customHeight="false" outlineLevel="0" collapsed="false">
      <c r="A211" s="0" t="s">
        <v>86</v>
      </c>
      <c r="B211" s="0" t="n">
        <f aca="false">B209+B210-Sources!B18</f>
        <v>7431</v>
      </c>
      <c r="C211" s="0" t="n">
        <f aca="false">C209+C210-Sources!C18</f>
        <v>5332</v>
      </c>
      <c r="D211" s="0" t="n">
        <f aca="false">D209+D210-Sources!D18</f>
        <v>5816</v>
      </c>
    </row>
    <row r="212" customFormat="false" ht="15" hidden="false" customHeight="false" outlineLevel="0" collapsed="false">
      <c r="A212" s="0" t="s">
        <v>87</v>
      </c>
      <c r="B212" s="0" t="n">
        <f aca="false">ROUND((B209-ROUND(Sources!B17*Sources!B21,0))*Sources!B23*Sources!B20,0)</f>
        <v>235</v>
      </c>
      <c r="C212" s="0" t="n">
        <f aca="false">ROUND((C209-ROUND(Sources!C17*Sources!C21,0))*Sources!C23*Sources!C20,0)</f>
        <v>96</v>
      </c>
      <c r="D212" s="0" t="n">
        <f aca="false">ROUND((D209-ROUND(Sources!D17*Sources!D21,0))*Sources!D23*Sources!D20,0)</f>
        <v>28</v>
      </c>
    </row>
    <row r="213" customFormat="false" ht="15" hidden="false" customHeight="false" outlineLevel="0" collapsed="false">
      <c r="A213" s="0" t="s">
        <v>88</v>
      </c>
      <c r="B213" s="0" t="n">
        <f aca="false">ROUND((B210-ROUND(Sources!B17*Sources!B22,0))*Sources!B23*Sources!B20,0)</f>
        <v>181</v>
      </c>
      <c r="C213" s="0" t="n">
        <f aca="false">ROUND((C210-ROUND(Sources!C17*Sources!C22,0))*Sources!C23*Sources!C20,0)</f>
        <v>74</v>
      </c>
      <c r="D213" s="0" t="n">
        <f aca="false">ROUND((D210-ROUND(Sources!D17*Sources!D22,0))*Sources!D23*Sources!D20,0)</f>
        <v>19</v>
      </c>
    </row>
    <row r="214" customFormat="false" ht="15" hidden="false" customHeight="false" outlineLevel="0" collapsed="false">
      <c r="A214" s="0" t="s">
        <v>89</v>
      </c>
      <c r="B214" s="0" t="n">
        <f aca="false">IF($C$10=1,ROUND((B209-ROUND(Sources!B17*Sources!B21,0))*Sources!B24,0),0)</f>
        <v>0</v>
      </c>
      <c r="C214" s="0" t="n">
        <f aca="false">IF($C$10=1,ROUND((C209-ROUND(Sources!C17*Sources!C21,0))*Sources!C24,0),0)</f>
        <v>0</v>
      </c>
      <c r="D214" s="0" t="n">
        <f aca="false">IF($C$10=1,ROUND((D209-ROUND(Sources!D17*Sources!D21,0))*Sources!D24,0),0)</f>
        <v>0</v>
      </c>
    </row>
    <row r="215" customFormat="false" ht="15" hidden="false" customHeight="false" outlineLevel="0" collapsed="false">
      <c r="A215" s="0" t="s">
        <v>90</v>
      </c>
      <c r="B215" s="0" t="n">
        <f aca="false">IF($C$10=1,ROUND((B210-ROUND(Sources!B17*Sources!B22,0))*Sources!B24,0),0)</f>
        <v>0</v>
      </c>
      <c r="C215" s="0" t="n">
        <f aca="false">IF($C$10=1,ROUND((C210-ROUND(Sources!C17*Sources!C22,0))*Sources!C24,0),0)</f>
        <v>0</v>
      </c>
      <c r="D215" s="0" t="n">
        <f aca="false">IF($C$10=1,ROUND((D210-ROUND(Sources!D17*Sources!D22,0))*Sources!D24,0),0)</f>
        <v>0</v>
      </c>
    </row>
    <row r="216" customFormat="false" ht="15" hidden="false" customHeight="false" outlineLevel="0" collapsed="false">
      <c r="A216" s="0" t="s">
        <v>91</v>
      </c>
      <c r="B216" s="0" t="n">
        <f aca="false">B209+B210+B212+B213+B214+B215</f>
        <v>7847</v>
      </c>
      <c r="C216" s="0" t="n">
        <f aca="false">C209+C210+C212+C213+C214+C215</f>
        <v>6204</v>
      </c>
      <c r="D216" s="0" t="n">
        <f aca="false">D209+D210+D212+D213+D214+D215</f>
        <v>5863</v>
      </c>
    </row>
    <row r="217" customFormat="false" ht="15" hidden="false" customHeight="false" outlineLevel="0" collapsed="false">
      <c r="A217" s="0" t="s">
        <v>92</v>
      </c>
      <c r="B217" s="0" t="n">
        <f aca="false">B207+B216+(636)</f>
        <v>23440</v>
      </c>
      <c r="C217" s="0" t="n">
        <f aca="false">C207+C216+(0)</f>
        <v>14485</v>
      </c>
      <c r="D217" s="0" t="n">
        <f aca="false">D207+D216+(-946)</f>
        <v>16774</v>
      </c>
    </row>
    <row r="218" customFormat="false" ht="15" hidden="false" customHeight="false" outlineLevel="0" collapsed="false">
      <c r="A218" s="0" t="s">
        <v>93</v>
      </c>
      <c r="B218" s="0" t="n">
        <f aca="false">B204+B205+B206+B211+B212+B213+B214+B215</f>
        <v>23440</v>
      </c>
      <c r="C218" s="0" t="n">
        <f aca="false">C204+C205+C206+C211+C212+C213+C214+C215</f>
        <v>16695</v>
      </c>
      <c r="D218" s="0" t="n">
        <f aca="false">D204+D205+D206+D211+D212+D213+D214+D215</f>
        <v>16774</v>
      </c>
    </row>
    <row r="222" customFormat="false" ht="15" hidden="false" customHeight="false" outlineLevel="0" collapsed="false">
      <c r="A222" s="1" t="s">
        <v>136</v>
      </c>
    </row>
    <row r="223" customFormat="false" ht="15" hidden="false" customHeight="false" outlineLevel="0" collapsed="false">
      <c r="B223" s="3" t="s">
        <v>2</v>
      </c>
      <c r="C223" s="3" t="s">
        <v>3</v>
      </c>
      <c r="D223" s="3" t="s">
        <v>4</v>
      </c>
    </row>
    <row r="224" customFormat="false" ht="15" hidden="false" customHeight="false" outlineLevel="0" collapsed="false">
      <c r="A224" s="0" t="s">
        <v>70</v>
      </c>
      <c r="B224" s="0" t="n">
        <f aca="false">ROUND(Sources!B9*$B$11,0)</f>
        <v>21602</v>
      </c>
      <c r="C224" s="0" t="n">
        <f aca="false">ROUND(Sources!C9*$B$11,0)</f>
        <v>15501</v>
      </c>
      <c r="D224" s="0" t="n">
        <f aca="false">ROUND(Sources!D9*$B$11,0)</f>
        <v>15635</v>
      </c>
    </row>
    <row r="225" customFormat="false" ht="15" hidden="false" customHeight="false" outlineLevel="0" collapsed="false">
      <c r="A225" s="0" t="s">
        <v>71</v>
      </c>
      <c r="B225" s="0" t="n">
        <f aca="false">ROUND(B224*$E$11,0)</f>
        <v>27003</v>
      </c>
      <c r="C225" s="0" t="n">
        <f aca="false">ROUND(C224*$E$11,0)</f>
        <v>19376</v>
      </c>
      <c r="D225" s="0" t="n">
        <f aca="false">ROUND(D224*$E$11,0)</f>
        <v>19544</v>
      </c>
    </row>
    <row r="226" customFormat="false" ht="15" hidden="false" customHeight="false" outlineLevel="0" collapsed="false">
      <c r="A226" s="0" t="s">
        <v>72</v>
      </c>
      <c r="B226" s="0" t="n">
        <f aca="false">Sources!B11+ROUND(Sources!B12*0.6,0)-Sources!B13-Sources!B14</f>
        <v>18788</v>
      </c>
      <c r="C226" s="0" t="n">
        <f aca="false">Sources!C11+ROUND(Sources!C12*0.6,0)-Sources!C13-Sources!C14</f>
        <v>24385</v>
      </c>
      <c r="D226" s="0" t="n">
        <f aca="false">Sources!D11+ROUND(Sources!D12*0.6,0)-Sources!D13-Sources!D14</f>
        <v>23134</v>
      </c>
    </row>
    <row r="227" customFormat="false" ht="15" hidden="false" customHeight="false" outlineLevel="0" collapsed="false">
      <c r="A227" s="0" t="s">
        <v>73</v>
      </c>
      <c r="B227" s="0" t="n">
        <f aca="false">IF($D$11=1,B226,B226+B225)</f>
        <v>45791</v>
      </c>
      <c r="C227" s="0" t="n">
        <f aca="false">IF($D$11=1,C226,C226+C225)</f>
        <v>43761</v>
      </c>
      <c r="D227" s="0" t="n">
        <f aca="false">IF($D$11=1,D226,D226+D225)</f>
        <v>42678</v>
      </c>
    </row>
    <row r="228" customFormat="false" ht="15" hidden="false" customHeight="false" outlineLevel="0" collapsed="false">
      <c r="A228" s="0" t="s">
        <v>74</v>
      </c>
      <c r="B228" s="0" t="n">
        <f aca="false">ROUND(0.11*MAX(0,MIN(B227,Sources!B32)-Sources!B31)+0.3*MAX(0,MIN(B227,Sources!B33)-Sources!B32)+0.41*MAX(0,MIN(B227,Sources!B34)-Sources!B33)+0.45*MAX(0,B227-Sources!B34),0)</f>
        <v>7024</v>
      </c>
      <c r="C228" s="0" t="n">
        <f aca="false">ROUND(0.11*MAX(0,MIN(C227,Sources!C32)-Sources!C31)+0.3*MAX(0,MIN(C227,Sources!C33)-Sources!C32)+0.41*MAX(0,MIN(C227,Sources!C34)-Sources!C33)+0.45*MAX(0,C227-Sources!C34),0)</f>
        <v>6294</v>
      </c>
      <c r="D228" s="0" t="n">
        <f aca="false">ROUND(0.11*MAX(0,MIN(D227,Sources!D32)-Sources!D31)+0.3*MAX(0,MIN(D227,Sources!D33)-Sources!D32)+0.41*MAX(0,MIN(D227,Sources!D34)-Sources!D33)+0.45*MAX(0,D227-Sources!D34),0)</f>
        <v>5907</v>
      </c>
    </row>
    <row r="229" customFormat="false" ht="15" hidden="false" customHeight="false" outlineLevel="0" collapsed="false">
      <c r="A229" s="0" t="s">
        <v>75</v>
      </c>
      <c r="B229" s="0" t="n">
        <f aca="false">IF(B228&lt;=Sources!B36,MAX(0,ROUND(B228-(Sources!B35-Sources!B37*B228),0)),B228)</f>
        <v>7024</v>
      </c>
      <c r="C229" s="0" t="n">
        <f aca="false">IF(C228&lt;=Sources!C36,MAX(0,ROUND(C228-(Sources!C35-Sources!C37*C228),0)),C228)</f>
        <v>6294</v>
      </c>
      <c r="D229" s="0" t="n">
        <f aca="false">IF(D228&lt;=Sources!D36,MAX(0,ROUND(D228-(Sources!D35-Sources!D37*D228),0)),D228)</f>
        <v>5907</v>
      </c>
    </row>
    <row r="230" customFormat="false" ht="15" hidden="false" customHeight="false" outlineLevel="0" collapsed="false">
      <c r="A230" s="0" t="s">
        <v>76</v>
      </c>
      <c r="B230" s="0" t="n">
        <f aca="false">IF($D$11=1,ROUND(B225*Sources!B26,0),0)</f>
        <v>0</v>
      </c>
      <c r="C230" s="0" t="n">
        <f aca="false">IF($D$11=1,ROUND(C225*Sources!C26,0),0)</f>
        <v>0</v>
      </c>
      <c r="D230" s="0" t="n">
        <f aca="false">IF($D$11=1,ROUND(D225*Sources!D26,0),0)</f>
        <v>0</v>
      </c>
    </row>
    <row r="231" customFormat="false" ht="15" hidden="false" customHeight="false" outlineLevel="0" collapsed="false">
      <c r="A231" s="0" t="s">
        <v>77</v>
      </c>
      <c r="B231" s="0" t="n">
        <f aca="false">B229+B230</f>
        <v>7024</v>
      </c>
      <c r="C231" s="0" t="n">
        <f aca="false">C229+C230</f>
        <v>6294</v>
      </c>
      <c r="D231" s="0" t="n">
        <f aca="false">D229+D230</f>
        <v>5907</v>
      </c>
    </row>
    <row r="232" customFormat="false" ht="15" hidden="false" customHeight="false" outlineLevel="0" collapsed="false">
      <c r="A232" s="0" t="s">
        <v>78</v>
      </c>
      <c r="B232" s="0" t="n">
        <f aca="false">B231-Sources!B15</f>
        <v>6064</v>
      </c>
      <c r="C232" s="0" t="n">
        <f aca="false">C231-Sources!C15</f>
        <v>2211</v>
      </c>
      <c r="D232" s="0" t="n">
        <f aca="false">D231-Sources!D15</f>
        <v>5907</v>
      </c>
    </row>
    <row r="233" customFormat="false" ht="15" hidden="false" customHeight="false" outlineLevel="0" collapsed="false">
      <c r="A233" s="0" t="s">
        <v>79</v>
      </c>
      <c r="B233" s="0" t="n">
        <f aca="false">B232-Sources!B16</f>
        <v>6700</v>
      </c>
      <c r="C233" s="0" t="n">
        <f aca="false">C232-Sources!C16</f>
        <v>5123</v>
      </c>
      <c r="D233" s="0" t="n">
        <f aca="false">D232-Sources!D16</f>
        <v>4961</v>
      </c>
    </row>
    <row r="234" customFormat="false" ht="15" hidden="false" customHeight="false" outlineLevel="0" collapsed="false">
      <c r="A234" s="0" t="s">
        <v>80</v>
      </c>
      <c r="B234" s="0" t="n">
        <f aca="false">ROUND((B232-MAX(Sources!B16,0))*Sources!B23*Sources!B20,0)</f>
        <v>340</v>
      </c>
      <c r="C234" s="0" t="n">
        <f aca="false">ROUND((C232-MAX(Sources!C16,0))*Sources!C23*Sources!C20,0)</f>
        <v>71</v>
      </c>
      <c r="D234" s="0" t="n">
        <f aca="false">ROUND((D232-MAX(Sources!D16,0))*Sources!D23*Sources!D20,0)</f>
        <v>40</v>
      </c>
    </row>
    <row r="235" customFormat="false" ht="15" hidden="false" customHeight="false" outlineLevel="0" collapsed="false">
      <c r="A235" s="0" t="s">
        <v>81</v>
      </c>
      <c r="B235" s="0" t="n">
        <f aca="false">IF($C$11=1,ROUND(B233*Sources!B24,0),0)</f>
        <v>0</v>
      </c>
      <c r="C235" s="0" t="n">
        <f aca="false">IF($C$11=1,ROUND(C233*Sources!C24,0),0)</f>
        <v>0</v>
      </c>
      <c r="D235" s="0" t="n">
        <f aca="false">IF($C$11=1,ROUND(D233*Sources!D24,0),0)</f>
        <v>0</v>
      </c>
    </row>
    <row r="236" customFormat="false" ht="15" hidden="false" customHeight="false" outlineLevel="0" collapsed="false">
      <c r="A236" s="0" t="s">
        <v>82</v>
      </c>
      <c r="B236" s="0" t="n">
        <f aca="false">B232+B234+B235</f>
        <v>6404</v>
      </c>
      <c r="C236" s="0" t="n">
        <f aca="false">C232+C234+C235</f>
        <v>2282</v>
      </c>
      <c r="D236" s="0" t="n">
        <f aca="false">D232+D234+D235</f>
        <v>5947</v>
      </c>
    </row>
    <row r="237" customFormat="false" ht="15" hidden="false" customHeight="false" outlineLevel="0" collapsed="false">
      <c r="A237" s="0" t="s">
        <v>83</v>
      </c>
      <c r="B237" s="0" t="n">
        <f aca="false">B224+Sources!B17</f>
        <v>21602</v>
      </c>
      <c r="C237" s="0" t="n">
        <f aca="false">C224+Sources!C17</f>
        <v>19584</v>
      </c>
      <c r="D237" s="0" t="n">
        <f aca="false">D224+Sources!D17</f>
        <v>15635</v>
      </c>
    </row>
    <row r="238" customFormat="false" ht="15" hidden="false" customHeight="false" outlineLevel="0" collapsed="false">
      <c r="A238" s="0" t="s">
        <v>84</v>
      </c>
      <c r="B238" s="0" t="n">
        <f aca="false">ROUND(B237*Sources!B21,0)</f>
        <v>2095</v>
      </c>
      <c r="C238" s="0" t="n">
        <f aca="false">ROUND(C237*Sources!C21,0)</f>
        <v>1900</v>
      </c>
      <c r="D238" s="0" t="n">
        <f aca="false">ROUND(D237*Sources!D21,0)</f>
        <v>1735</v>
      </c>
    </row>
    <row r="239" customFormat="false" ht="15" hidden="false" customHeight="false" outlineLevel="0" collapsed="false">
      <c r="A239" s="0" t="s">
        <v>85</v>
      </c>
      <c r="B239" s="0" t="n">
        <f aca="false">ROUND(B237*Sources!B22,0)</f>
        <v>1620</v>
      </c>
      <c r="C239" s="0" t="n">
        <f aca="false">ROUND(C237*Sources!C22,0)</f>
        <v>1469</v>
      </c>
      <c r="D239" s="0" t="n">
        <f aca="false">ROUND(D237*Sources!D22,0)</f>
        <v>1173</v>
      </c>
    </row>
    <row r="240" customFormat="false" ht="15" hidden="false" customHeight="false" outlineLevel="0" collapsed="false">
      <c r="A240" s="0" t="s">
        <v>86</v>
      </c>
      <c r="B240" s="0" t="n">
        <f aca="false">B238+B239-Sources!B18</f>
        <v>3715</v>
      </c>
      <c r="C240" s="0" t="n">
        <f aca="false">C238+C239-Sources!C18</f>
        <v>2667</v>
      </c>
      <c r="D240" s="0" t="n">
        <f aca="false">D238+D239-Sources!D18</f>
        <v>2908</v>
      </c>
    </row>
    <row r="241" customFormat="false" ht="15" hidden="false" customHeight="false" outlineLevel="0" collapsed="false">
      <c r="A241" s="0" t="s">
        <v>87</v>
      </c>
      <c r="B241" s="0" t="n">
        <f aca="false">ROUND((B238-ROUND(Sources!B17*Sources!B21,0))*Sources!B23*Sources!B20,0)</f>
        <v>117</v>
      </c>
      <c r="C241" s="0" t="n">
        <f aca="false">ROUND((C238-ROUND(Sources!C17*Sources!C21,0))*Sources!C23*Sources!C20,0)</f>
        <v>48</v>
      </c>
      <c r="D241" s="0" t="n">
        <f aca="false">ROUND((D238-ROUND(Sources!D17*Sources!D21,0))*Sources!D23*Sources!D20,0)</f>
        <v>14</v>
      </c>
    </row>
    <row r="242" customFormat="false" ht="15" hidden="false" customHeight="false" outlineLevel="0" collapsed="false">
      <c r="A242" s="0" t="s">
        <v>88</v>
      </c>
      <c r="B242" s="0" t="n">
        <f aca="false">ROUND((B239-ROUND(Sources!B17*Sources!B22,0))*Sources!B23*Sources!B20,0)</f>
        <v>91</v>
      </c>
      <c r="C242" s="0" t="n">
        <f aca="false">ROUND((C239-ROUND(Sources!C17*Sources!C22,0))*Sources!C23*Sources!C20,0)</f>
        <v>37</v>
      </c>
      <c r="D242" s="0" t="n">
        <f aca="false">ROUND((D239-ROUND(Sources!D17*Sources!D22,0))*Sources!D23*Sources!D20,0)</f>
        <v>9</v>
      </c>
    </row>
    <row r="243" customFormat="false" ht="15" hidden="false" customHeight="false" outlineLevel="0" collapsed="false">
      <c r="A243" s="0" t="s">
        <v>89</v>
      </c>
      <c r="B243" s="0" t="n">
        <f aca="false">IF($C$11=1,ROUND((B238-ROUND(Sources!B17*Sources!B21,0))*Sources!B24,0),0)</f>
        <v>0</v>
      </c>
      <c r="C243" s="0" t="n">
        <f aca="false">IF($C$11=1,ROUND((C238-ROUND(Sources!C17*Sources!C21,0))*Sources!C24,0),0)</f>
        <v>0</v>
      </c>
      <c r="D243" s="0" t="n">
        <f aca="false">IF($C$11=1,ROUND((D238-ROUND(Sources!D17*Sources!D21,0))*Sources!D24,0),0)</f>
        <v>0</v>
      </c>
    </row>
    <row r="244" customFormat="false" ht="15" hidden="false" customHeight="false" outlineLevel="0" collapsed="false">
      <c r="A244" s="0" t="s">
        <v>90</v>
      </c>
      <c r="B244" s="0" t="n">
        <f aca="false">IF($C$11=1,ROUND((B239-ROUND(Sources!B17*Sources!B22,0))*Sources!B24,0),0)</f>
        <v>0</v>
      </c>
      <c r="C244" s="0" t="n">
        <f aca="false">IF($C$11=1,ROUND((C239-ROUND(Sources!C17*Sources!C22,0))*Sources!C24,0),0)</f>
        <v>0</v>
      </c>
      <c r="D244" s="0" t="n">
        <f aca="false">IF($C$11=1,ROUND((D239-ROUND(Sources!D17*Sources!D22,0))*Sources!D24,0),0)</f>
        <v>0</v>
      </c>
    </row>
    <row r="245" customFormat="false" ht="15" hidden="false" customHeight="false" outlineLevel="0" collapsed="false">
      <c r="A245" s="0" t="s">
        <v>91</v>
      </c>
      <c r="B245" s="0" t="n">
        <f aca="false">B238+B239+B241+B242+B243+B244</f>
        <v>3923</v>
      </c>
      <c r="C245" s="0" t="n">
        <f aca="false">C238+C239+C241+C242+C243+C244</f>
        <v>3454</v>
      </c>
      <c r="D245" s="0" t="n">
        <f aca="false">D238+D239+D241+D242+D243+D244</f>
        <v>2931</v>
      </c>
    </row>
    <row r="246" customFormat="false" ht="15" hidden="false" customHeight="false" outlineLevel="0" collapsed="false">
      <c r="A246" s="0" t="s">
        <v>92</v>
      </c>
      <c r="B246" s="0" t="n">
        <f aca="false">B236+B245+(636)</f>
        <v>10963</v>
      </c>
      <c r="C246" s="0" t="n">
        <f aca="false">C236+C245+(0)</f>
        <v>5736</v>
      </c>
      <c r="D246" s="0" t="n">
        <f aca="false">D236+D245+(-946)</f>
        <v>7932</v>
      </c>
    </row>
    <row r="247" customFormat="false" ht="15" hidden="false" customHeight="false" outlineLevel="0" collapsed="false">
      <c r="A247" s="0" t="s">
        <v>93</v>
      </c>
      <c r="B247" s="0" t="n">
        <f aca="false">B233+B234+B235+B240+B241+B242+B243+B244</f>
        <v>10963</v>
      </c>
      <c r="C247" s="0" t="n">
        <f aca="false">C233+C234+C235+C240+C241+C242+C243+C244</f>
        <v>7946</v>
      </c>
      <c r="D247" s="0" t="n">
        <f aca="false">D233+D234+D235+D240+D241+D242+D243+D244</f>
        <v>7932</v>
      </c>
    </row>
    <row r="251" customFormat="false" ht="15" hidden="false" customHeight="false" outlineLevel="0" collapsed="false">
      <c r="A251" s="1" t="s">
        <v>137</v>
      </c>
    </row>
    <row r="252" customFormat="false" ht="15" hidden="false" customHeight="false" outlineLevel="0" collapsed="false">
      <c r="B252" s="3" t="s">
        <v>2</v>
      </c>
      <c r="C252" s="3" t="s">
        <v>3</v>
      </c>
      <c r="D252" s="3" t="s">
        <v>4</v>
      </c>
    </row>
    <row r="253" customFormat="false" ht="15" hidden="false" customHeight="false" outlineLevel="0" collapsed="false">
      <c r="A253" s="0" t="s">
        <v>70</v>
      </c>
      <c r="B253" s="0" t="n">
        <f aca="false">ROUND(Sources!B9*$B$12,0)</f>
        <v>86407</v>
      </c>
      <c r="C253" s="0" t="n">
        <f aca="false">ROUND(Sources!C9*$B$12,0)</f>
        <v>62005</v>
      </c>
      <c r="D253" s="0" t="n">
        <f aca="false">ROUND(Sources!D9*$B$12,0)</f>
        <v>62538</v>
      </c>
    </row>
    <row r="254" customFormat="false" ht="15" hidden="false" customHeight="false" outlineLevel="0" collapsed="false">
      <c r="A254" s="0" t="s">
        <v>71</v>
      </c>
      <c r="B254" s="0" t="n">
        <f aca="false">ROUND(B253*$E$12,0)</f>
        <v>108009</v>
      </c>
      <c r="C254" s="0" t="n">
        <f aca="false">ROUND(C253*$E$12,0)</f>
        <v>77506</v>
      </c>
      <c r="D254" s="0" t="n">
        <f aca="false">ROUND(D253*$E$12,0)</f>
        <v>78173</v>
      </c>
    </row>
    <row r="255" customFormat="false" ht="15" hidden="false" customHeight="false" outlineLevel="0" collapsed="false">
      <c r="A255" s="0" t="s">
        <v>72</v>
      </c>
      <c r="B255" s="0" t="n">
        <f aca="false">Sources!B11+ROUND(Sources!B12*0.6,0)-Sources!B13-Sources!B14</f>
        <v>18788</v>
      </c>
      <c r="C255" s="0" t="n">
        <f aca="false">Sources!C11+ROUND(Sources!C12*0.6,0)-Sources!C13-Sources!C14</f>
        <v>24385</v>
      </c>
      <c r="D255" s="0" t="n">
        <f aca="false">Sources!D11+ROUND(Sources!D12*0.6,0)-Sources!D13-Sources!D14</f>
        <v>23134</v>
      </c>
    </row>
    <row r="256" customFormat="false" ht="15" hidden="false" customHeight="false" outlineLevel="0" collapsed="false">
      <c r="A256" s="0" t="s">
        <v>73</v>
      </c>
      <c r="B256" s="0" t="n">
        <f aca="false">IF($D$12=1,B255,B255+B254)</f>
        <v>18788</v>
      </c>
      <c r="C256" s="0" t="n">
        <f aca="false">IF($D$12=1,C255,C255+C254)</f>
        <v>24385</v>
      </c>
      <c r="D256" s="0" t="n">
        <f aca="false">IF($D$12=1,D255,D255+D254)</f>
        <v>23134</v>
      </c>
    </row>
    <row r="257" customFormat="false" ht="15" hidden="false" customHeight="false" outlineLevel="0" collapsed="false">
      <c r="A257" s="0" t="s">
        <v>74</v>
      </c>
      <c r="B257" s="0" t="n">
        <f aca="false">ROUND(0.11*MAX(0,MIN(B256,Sources!B32)-Sources!B31)+0.3*MAX(0,MIN(B256,Sources!B33)-Sources!B32)+0.41*MAX(0,MIN(B256,Sources!B34)-Sources!B33)+0.45*MAX(0,B256-Sources!B34),0)</f>
        <v>824</v>
      </c>
      <c r="C257" s="0" t="n">
        <f aca="false">ROUND(0.11*MAX(0,MIN(C256,Sources!C32)-Sources!C31)+0.3*MAX(0,MIN(C256,Sources!C33)-Sources!C32)+0.41*MAX(0,MIN(C256,Sources!C34)-Sources!C33)+0.45*MAX(0,C256-Sources!C34),0)</f>
        <v>1418</v>
      </c>
      <c r="D257" s="0" t="n">
        <f aca="false">ROUND(0.11*MAX(0,MIN(D256,Sources!D32)-Sources!D31)+0.3*MAX(0,MIN(D256,Sources!D33)-Sources!D32)+0.41*MAX(0,MIN(D256,Sources!D34)-Sources!D33)+0.45*MAX(0,D256-Sources!D34),0)</f>
        <v>1269</v>
      </c>
    </row>
    <row r="258" customFormat="false" ht="15" hidden="false" customHeight="false" outlineLevel="0" collapsed="false">
      <c r="A258" s="0" t="s">
        <v>75</v>
      </c>
      <c r="B258" s="0" t="n">
        <f aca="false">IF(B257&lt;=Sources!B36,MAX(0,ROUND(B257-(Sources!B35-Sources!B37*B257),0)),B257)</f>
        <v>324</v>
      </c>
      <c r="C258" s="0" t="n">
        <f aca="false">IF(C257&lt;=Sources!C36,MAX(0,ROUND(C257-(Sources!C35-Sources!C37*C257),0)),C257)</f>
        <v>1171</v>
      </c>
      <c r="D258" s="0" t="n">
        <f aca="false">IF(D257&lt;=Sources!D36,MAX(0,ROUND(D257-(Sources!D35-Sources!D37*D257),0)),D257)</f>
        <v>946</v>
      </c>
    </row>
    <row r="259" customFormat="false" ht="15" hidden="false" customHeight="false" outlineLevel="0" collapsed="false">
      <c r="A259" s="0" t="s">
        <v>76</v>
      </c>
      <c r="B259" s="0" t="n">
        <f aca="false">IF($D$12=1,ROUND(B254*Sources!B26,0),0)</f>
        <v>13825</v>
      </c>
      <c r="C259" s="0" t="n">
        <f aca="false">IF($D$12=1,ROUND(C254*Sources!C26,0),0)</f>
        <v>9921</v>
      </c>
      <c r="D259" s="0" t="n">
        <f aca="false">IF($D$12=1,ROUND(D254*Sources!D26,0),0)</f>
        <v>10006</v>
      </c>
    </row>
    <row r="260" customFormat="false" ht="15" hidden="false" customHeight="false" outlineLevel="0" collapsed="false">
      <c r="A260" s="0" t="s">
        <v>77</v>
      </c>
      <c r="B260" s="0" t="n">
        <f aca="false">B258+B259</f>
        <v>14149</v>
      </c>
      <c r="C260" s="0" t="n">
        <f aca="false">C258+C259</f>
        <v>11092</v>
      </c>
      <c r="D260" s="0" t="n">
        <f aca="false">D258+D259</f>
        <v>10952</v>
      </c>
    </row>
    <row r="261" customFormat="false" ht="15" hidden="false" customHeight="false" outlineLevel="0" collapsed="false">
      <c r="A261" s="0" t="s">
        <v>78</v>
      </c>
      <c r="B261" s="0" t="n">
        <f aca="false">B260-Sources!B15</f>
        <v>13189</v>
      </c>
      <c r="C261" s="0" t="n">
        <f aca="false">C260-Sources!C15</f>
        <v>7009</v>
      </c>
      <c r="D261" s="0" t="n">
        <f aca="false">D260-Sources!D15</f>
        <v>10952</v>
      </c>
    </row>
    <row r="262" customFormat="false" ht="15" hidden="false" customHeight="false" outlineLevel="0" collapsed="false">
      <c r="A262" s="0" t="s">
        <v>79</v>
      </c>
      <c r="B262" s="0" t="n">
        <f aca="false">B261-Sources!B16</f>
        <v>13825</v>
      </c>
      <c r="C262" s="0" t="n">
        <f aca="false">C261-Sources!C16</f>
        <v>9921</v>
      </c>
      <c r="D262" s="0" t="n">
        <f aca="false">D261-Sources!D16</f>
        <v>10006</v>
      </c>
    </row>
    <row r="263" customFormat="false" ht="15" hidden="false" customHeight="false" outlineLevel="0" collapsed="false">
      <c r="A263" s="0" t="s">
        <v>80</v>
      </c>
      <c r="B263" s="0" t="n">
        <f aca="false">ROUND((B261-MAX(Sources!B16,0))*Sources!B23*Sources!B20,0)</f>
        <v>739</v>
      </c>
      <c r="C263" s="0" t="n">
        <f aca="false">ROUND((C261-MAX(Sources!C16,0))*Sources!C23*Sources!C20,0)</f>
        <v>224</v>
      </c>
      <c r="D263" s="0" t="n">
        <f aca="false">ROUND((D261-MAX(Sources!D16,0))*Sources!D23*Sources!D20,0)</f>
        <v>80</v>
      </c>
    </row>
    <row r="264" customFormat="false" ht="15" hidden="false" customHeight="false" outlineLevel="0" collapsed="false">
      <c r="A264" s="0" t="s">
        <v>81</v>
      </c>
      <c r="B264" s="0" t="n">
        <f aca="false">IF($C$12=1,ROUND(B262*Sources!B24,0),0)</f>
        <v>5530</v>
      </c>
      <c r="C264" s="0" t="n">
        <f aca="false">IF($C$12=1,ROUND(C262*Sources!C24,0),0)</f>
        <v>3968</v>
      </c>
      <c r="D264" s="0" t="n">
        <f aca="false">IF($C$12=1,ROUND(D262*Sources!D24,0),0)</f>
        <v>4002</v>
      </c>
    </row>
    <row r="265" customFormat="false" ht="15" hidden="false" customHeight="false" outlineLevel="0" collapsed="false">
      <c r="A265" s="0" t="s">
        <v>82</v>
      </c>
      <c r="B265" s="0" t="n">
        <f aca="false">B261+B263+B264</f>
        <v>19458</v>
      </c>
      <c r="C265" s="0" t="n">
        <f aca="false">C261+C263+C264</f>
        <v>11201</v>
      </c>
      <c r="D265" s="0" t="n">
        <f aca="false">D261+D263+D264</f>
        <v>15034</v>
      </c>
    </row>
    <row r="266" customFormat="false" ht="15" hidden="false" customHeight="false" outlineLevel="0" collapsed="false">
      <c r="A266" s="0" t="s">
        <v>83</v>
      </c>
      <c r="B266" s="0" t="n">
        <f aca="false">B253+Sources!B17</f>
        <v>86407</v>
      </c>
      <c r="C266" s="0" t="n">
        <f aca="false">C253+Sources!C17</f>
        <v>66088</v>
      </c>
      <c r="D266" s="0" t="n">
        <f aca="false">D253+Sources!D17</f>
        <v>62538</v>
      </c>
    </row>
    <row r="267" customFormat="false" ht="15" hidden="false" customHeight="false" outlineLevel="0" collapsed="false">
      <c r="A267" s="0" t="s">
        <v>84</v>
      </c>
      <c r="B267" s="0" t="n">
        <f aca="false">ROUND(B266*Sources!B21,0)</f>
        <v>8381</v>
      </c>
      <c r="C267" s="0" t="n">
        <f aca="false">ROUND(C266*Sources!C21,0)</f>
        <v>6411</v>
      </c>
      <c r="D267" s="0" t="n">
        <f aca="false">ROUND(D266*Sources!D21,0)</f>
        <v>6942</v>
      </c>
    </row>
    <row r="268" customFormat="false" ht="15" hidden="false" customHeight="false" outlineLevel="0" collapsed="false">
      <c r="A268" s="0" t="s">
        <v>85</v>
      </c>
      <c r="B268" s="0" t="n">
        <f aca="false">ROUND(B266*Sources!B22,0)</f>
        <v>6481</v>
      </c>
      <c r="C268" s="0" t="n">
        <f aca="false">ROUND(C266*Sources!C22,0)</f>
        <v>4957</v>
      </c>
      <c r="D268" s="0" t="n">
        <f aca="false">ROUND(D266*Sources!D22,0)</f>
        <v>4690</v>
      </c>
    </row>
    <row r="269" customFormat="false" ht="15" hidden="false" customHeight="false" outlineLevel="0" collapsed="false">
      <c r="A269" s="0" t="s">
        <v>86</v>
      </c>
      <c r="B269" s="0" t="n">
        <f aca="false">B267+B268-Sources!B18</f>
        <v>14862</v>
      </c>
      <c r="C269" s="0" t="n">
        <f aca="false">C267+C268-Sources!C18</f>
        <v>10666</v>
      </c>
      <c r="D269" s="0" t="n">
        <f aca="false">D267+D268-Sources!D18</f>
        <v>11632</v>
      </c>
    </row>
    <row r="270" customFormat="false" ht="15" hidden="false" customHeight="false" outlineLevel="0" collapsed="false">
      <c r="A270" s="0" t="s">
        <v>87</v>
      </c>
      <c r="B270" s="0" t="n">
        <f aca="false">ROUND((B267-ROUND(Sources!B17*Sources!B21,0))*Sources!B23*Sources!B20,0)</f>
        <v>469</v>
      </c>
      <c r="C270" s="0" t="n">
        <f aca="false">ROUND((C267-ROUND(Sources!C17*Sources!C21,0))*Sources!C23*Sources!C20,0)</f>
        <v>192</v>
      </c>
      <c r="D270" s="0" t="n">
        <f aca="false">ROUND((D267-ROUND(Sources!D17*Sources!D21,0))*Sources!D23*Sources!D20,0)</f>
        <v>56</v>
      </c>
    </row>
    <row r="271" customFormat="false" ht="15" hidden="false" customHeight="false" outlineLevel="0" collapsed="false">
      <c r="A271" s="0" t="s">
        <v>88</v>
      </c>
      <c r="B271" s="0" t="n">
        <f aca="false">ROUND((B268-ROUND(Sources!B17*Sources!B22,0))*Sources!B23*Sources!B20,0)</f>
        <v>363</v>
      </c>
      <c r="C271" s="0" t="n">
        <f aca="false">ROUND((C268-ROUND(Sources!C17*Sources!C22,0))*Sources!C23*Sources!C20,0)</f>
        <v>149</v>
      </c>
      <c r="D271" s="0" t="n">
        <f aca="false">ROUND((D268-ROUND(Sources!D17*Sources!D22,0))*Sources!D23*Sources!D20,0)</f>
        <v>38</v>
      </c>
    </row>
    <row r="272" customFormat="false" ht="15" hidden="false" customHeight="false" outlineLevel="0" collapsed="false">
      <c r="A272" s="0" t="s">
        <v>89</v>
      </c>
      <c r="B272" s="0" t="n">
        <f aca="false">IF($C$12=1,ROUND((B267-ROUND(Sources!B17*Sources!B21,0))*Sources!B24,0),0)</f>
        <v>3352</v>
      </c>
      <c r="C272" s="0" t="n">
        <f aca="false">IF($C$12=1,ROUND((C267-ROUND(Sources!C17*Sources!C21,0))*Sources!C24,0),0)</f>
        <v>2406</v>
      </c>
      <c r="D272" s="0" t="n">
        <f aca="false">IF($C$12=1,ROUND((D267-ROUND(Sources!D17*Sources!D21,0))*Sources!D24,0),0)</f>
        <v>2777</v>
      </c>
    </row>
    <row r="273" customFormat="false" ht="15" hidden="false" customHeight="false" outlineLevel="0" collapsed="false">
      <c r="A273" s="0" t="s">
        <v>90</v>
      </c>
      <c r="B273" s="0" t="n">
        <f aca="false">IF($C$12=1,ROUND((B268-ROUND(Sources!B17*Sources!B22,0))*Sources!B24,0),0)</f>
        <v>2592</v>
      </c>
      <c r="C273" s="0" t="n">
        <f aca="false">IF($C$12=1,ROUND((C268-ROUND(Sources!C17*Sources!C22,0))*Sources!C24,0),0)</f>
        <v>1860</v>
      </c>
      <c r="D273" s="0" t="n">
        <f aca="false">IF($C$12=1,ROUND((D268-ROUND(Sources!D17*Sources!D22,0))*Sources!D24,0),0)</f>
        <v>1876</v>
      </c>
    </row>
    <row r="274" customFormat="false" ht="15" hidden="false" customHeight="false" outlineLevel="0" collapsed="false">
      <c r="A274" s="0" t="s">
        <v>91</v>
      </c>
      <c r="B274" s="0" t="n">
        <f aca="false">B267+B268+B270+B271+B272+B273</f>
        <v>21638</v>
      </c>
      <c r="C274" s="0" t="n">
        <f aca="false">C267+C268+C270+C271+C272+C273</f>
        <v>15975</v>
      </c>
      <c r="D274" s="0" t="n">
        <f aca="false">D267+D268+D270+D271+D272+D273</f>
        <v>16379</v>
      </c>
    </row>
    <row r="275" customFormat="false" ht="15" hidden="false" customHeight="false" outlineLevel="0" collapsed="false">
      <c r="A275" s="0" t="s">
        <v>92</v>
      </c>
      <c r="B275" s="0" t="n">
        <f aca="false">B265+B274+(636)</f>
        <v>41732</v>
      </c>
      <c r="C275" s="0" t="n">
        <f aca="false">C265+C274+(0)</f>
        <v>27176</v>
      </c>
      <c r="D275" s="0" t="n">
        <f aca="false">D265+D274+(-946)</f>
        <v>30467</v>
      </c>
    </row>
    <row r="276" customFormat="false" ht="15" hidden="false" customHeight="false" outlineLevel="0" collapsed="false">
      <c r="A276" s="0" t="s">
        <v>93</v>
      </c>
      <c r="B276" s="0" t="n">
        <f aca="false">B262+B263+B264+B269+B270+B271+B272+B273</f>
        <v>41732</v>
      </c>
      <c r="C276" s="0" t="n">
        <f aca="false">C262+C263+C264+C269+C270+C271+C272+C273</f>
        <v>29386</v>
      </c>
      <c r="D276" s="0" t="n">
        <f aca="false">D262+D263+D264+D269+D270+D271+D272+D273</f>
        <v>30467</v>
      </c>
    </row>
    <row r="280" customFormat="false" ht="15" hidden="false" customHeight="false" outlineLevel="0" collapsed="false">
      <c r="A280" s="1" t="s">
        <v>138</v>
      </c>
    </row>
    <row r="281" customFormat="false" ht="15" hidden="false" customHeight="false" outlineLevel="0" collapsed="false">
      <c r="B281" s="3" t="s">
        <v>2</v>
      </c>
      <c r="C281" s="3" t="s">
        <v>3</v>
      </c>
      <c r="D281" s="3" t="s">
        <v>4</v>
      </c>
    </row>
    <row r="282" customFormat="false" ht="15" hidden="false" customHeight="false" outlineLevel="0" collapsed="false">
      <c r="A282" s="0" t="s">
        <v>70</v>
      </c>
      <c r="B282" s="0" t="n">
        <f aca="false">ROUND(Sources!B9*$B$13,0)</f>
        <v>86407</v>
      </c>
      <c r="C282" s="0" t="n">
        <f aca="false">ROUND(Sources!C9*$B$13,0)</f>
        <v>62005</v>
      </c>
      <c r="D282" s="0" t="n">
        <f aca="false">ROUND(Sources!D9*$B$13,0)</f>
        <v>62538</v>
      </c>
    </row>
    <row r="283" customFormat="false" ht="15" hidden="false" customHeight="false" outlineLevel="0" collapsed="false">
      <c r="A283" s="0" t="s">
        <v>71</v>
      </c>
      <c r="B283" s="0" t="n">
        <f aca="false">ROUND(B282*$E$13,0)</f>
        <v>108009</v>
      </c>
      <c r="C283" s="0" t="n">
        <f aca="false">ROUND(C282*$E$13,0)</f>
        <v>77506</v>
      </c>
      <c r="D283" s="0" t="n">
        <f aca="false">ROUND(D282*$E$13,0)</f>
        <v>78173</v>
      </c>
    </row>
    <row r="284" customFormat="false" ht="15" hidden="false" customHeight="false" outlineLevel="0" collapsed="false">
      <c r="A284" s="0" t="s">
        <v>72</v>
      </c>
      <c r="B284" s="0" t="n">
        <f aca="false">Sources!B11+ROUND(Sources!B12*0.6,0)-Sources!B13-Sources!B14</f>
        <v>18788</v>
      </c>
      <c r="C284" s="0" t="n">
        <f aca="false">Sources!C11+ROUND(Sources!C12*0.6,0)-Sources!C13-Sources!C14</f>
        <v>24385</v>
      </c>
      <c r="D284" s="0" t="n">
        <f aca="false">Sources!D11+ROUND(Sources!D12*0.6,0)-Sources!D13-Sources!D14</f>
        <v>23134</v>
      </c>
    </row>
    <row r="285" customFormat="false" ht="15" hidden="false" customHeight="false" outlineLevel="0" collapsed="false">
      <c r="A285" s="0" t="s">
        <v>73</v>
      </c>
      <c r="B285" s="0" t="n">
        <f aca="false">IF($D$13=1,B284,B284+B283)</f>
        <v>18788</v>
      </c>
      <c r="C285" s="0" t="n">
        <f aca="false">IF($D$13=1,C284,C284+C283)</f>
        <v>24385</v>
      </c>
      <c r="D285" s="0" t="n">
        <f aca="false">IF($D$13=1,D284,D284+D283)</f>
        <v>23134</v>
      </c>
    </row>
    <row r="286" customFormat="false" ht="15" hidden="false" customHeight="false" outlineLevel="0" collapsed="false">
      <c r="A286" s="0" t="s">
        <v>74</v>
      </c>
      <c r="B286" s="0" t="n">
        <f aca="false">ROUND(0.11*MAX(0,MIN(B285,Sources!B32)-Sources!B31)+0.3*MAX(0,MIN(B285,Sources!B33)-Sources!B32)+0.41*MAX(0,MIN(B285,Sources!B34)-Sources!B33)+0.45*MAX(0,B285-Sources!B34),0)</f>
        <v>824</v>
      </c>
      <c r="C286" s="0" t="n">
        <f aca="false">ROUND(0.11*MAX(0,MIN(C285,Sources!C32)-Sources!C31)+0.3*MAX(0,MIN(C285,Sources!C33)-Sources!C32)+0.41*MAX(0,MIN(C285,Sources!C34)-Sources!C33)+0.45*MAX(0,C285-Sources!C34),0)</f>
        <v>1418</v>
      </c>
      <c r="D286" s="0" t="n">
        <f aca="false">ROUND(0.11*MAX(0,MIN(D285,Sources!D32)-Sources!D31)+0.3*MAX(0,MIN(D285,Sources!D33)-Sources!D32)+0.41*MAX(0,MIN(D285,Sources!D34)-Sources!D33)+0.45*MAX(0,D285-Sources!D34),0)</f>
        <v>1269</v>
      </c>
    </row>
    <row r="287" customFormat="false" ht="15" hidden="false" customHeight="false" outlineLevel="0" collapsed="false">
      <c r="A287" s="0" t="s">
        <v>75</v>
      </c>
      <c r="B287" s="0" t="n">
        <f aca="false">IF(B286&lt;=Sources!B36,MAX(0,ROUND(B286-(Sources!B35-Sources!B37*B286),0)),B286)</f>
        <v>324</v>
      </c>
      <c r="C287" s="0" t="n">
        <f aca="false">IF(C286&lt;=Sources!C36,MAX(0,ROUND(C286-(Sources!C35-Sources!C37*C286),0)),C286)</f>
        <v>1171</v>
      </c>
      <c r="D287" s="0" t="n">
        <f aca="false">IF(D286&lt;=Sources!D36,MAX(0,ROUND(D286-(Sources!D35-Sources!D37*D286),0)),D286)</f>
        <v>946</v>
      </c>
    </row>
    <row r="288" customFormat="false" ht="15" hidden="false" customHeight="false" outlineLevel="0" collapsed="false">
      <c r="A288" s="0" t="s">
        <v>76</v>
      </c>
      <c r="B288" s="0" t="n">
        <f aca="false">IF($D$13=1,ROUND(B283*Sources!B26,0),0)</f>
        <v>13825</v>
      </c>
      <c r="C288" s="0" t="n">
        <f aca="false">IF($D$13=1,ROUND(C283*Sources!C26,0),0)</f>
        <v>9921</v>
      </c>
      <c r="D288" s="0" t="n">
        <f aca="false">IF($D$13=1,ROUND(D283*Sources!D26,0),0)</f>
        <v>10006</v>
      </c>
    </row>
    <row r="289" customFormat="false" ht="15" hidden="false" customHeight="false" outlineLevel="0" collapsed="false">
      <c r="A289" s="0" t="s">
        <v>77</v>
      </c>
      <c r="B289" s="0" t="n">
        <f aca="false">B287+B288</f>
        <v>14149</v>
      </c>
      <c r="C289" s="0" t="n">
        <f aca="false">C287+C288</f>
        <v>11092</v>
      </c>
      <c r="D289" s="0" t="n">
        <f aca="false">D287+D288</f>
        <v>10952</v>
      </c>
    </row>
    <row r="290" customFormat="false" ht="15" hidden="false" customHeight="false" outlineLevel="0" collapsed="false">
      <c r="A290" s="0" t="s">
        <v>78</v>
      </c>
      <c r="B290" s="0" t="n">
        <f aca="false">B289-Sources!B15</f>
        <v>13189</v>
      </c>
      <c r="C290" s="0" t="n">
        <f aca="false">C289-Sources!C15</f>
        <v>7009</v>
      </c>
      <c r="D290" s="0" t="n">
        <f aca="false">D289-Sources!D15</f>
        <v>10952</v>
      </c>
    </row>
    <row r="291" customFormat="false" ht="15" hidden="false" customHeight="false" outlineLevel="0" collapsed="false">
      <c r="A291" s="0" t="s">
        <v>79</v>
      </c>
      <c r="B291" s="0" t="n">
        <f aca="false">B290-Sources!B16</f>
        <v>13825</v>
      </c>
      <c r="C291" s="0" t="n">
        <f aca="false">C290-Sources!C16</f>
        <v>9921</v>
      </c>
      <c r="D291" s="0" t="n">
        <f aca="false">D290-Sources!D16</f>
        <v>10006</v>
      </c>
    </row>
    <row r="292" customFormat="false" ht="15" hidden="false" customHeight="false" outlineLevel="0" collapsed="false">
      <c r="A292" s="0" t="s">
        <v>80</v>
      </c>
      <c r="B292" s="0" t="n">
        <f aca="false">ROUND((B290-MAX(Sources!B16,0))*Sources!B23*Sources!B20,0)</f>
        <v>739</v>
      </c>
      <c r="C292" s="0" t="n">
        <f aca="false">ROUND((C290-MAX(Sources!C16,0))*Sources!C23*Sources!C20,0)</f>
        <v>224</v>
      </c>
      <c r="D292" s="0" t="n">
        <f aca="false">ROUND((D290-MAX(Sources!D16,0))*Sources!D23*Sources!D20,0)</f>
        <v>80</v>
      </c>
    </row>
    <row r="293" customFormat="false" ht="15" hidden="false" customHeight="false" outlineLevel="0" collapsed="false">
      <c r="A293" s="0" t="s">
        <v>81</v>
      </c>
      <c r="B293" s="0" t="n">
        <f aca="false">IF($C$13=1,ROUND(B291*Sources!B24,0),0)</f>
        <v>0</v>
      </c>
      <c r="C293" s="0" t="n">
        <f aca="false">IF($C$13=1,ROUND(C291*Sources!C24,0),0)</f>
        <v>0</v>
      </c>
      <c r="D293" s="0" t="n">
        <f aca="false">IF($C$13=1,ROUND(D291*Sources!D24,0),0)</f>
        <v>0</v>
      </c>
    </row>
    <row r="294" customFormat="false" ht="15" hidden="false" customHeight="false" outlineLevel="0" collapsed="false">
      <c r="A294" s="0" t="s">
        <v>82</v>
      </c>
      <c r="B294" s="0" t="n">
        <f aca="false">B290+B292+B293</f>
        <v>13928</v>
      </c>
      <c r="C294" s="0" t="n">
        <f aca="false">C290+C292+C293</f>
        <v>7233</v>
      </c>
      <c r="D294" s="0" t="n">
        <f aca="false">D290+D292+D293</f>
        <v>11032</v>
      </c>
    </row>
    <row r="295" customFormat="false" ht="15" hidden="false" customHeight="false" outlineLevel="0" collapsed="false">
      <c r="A295" s="0" t="s">
        <v>83</v>
      </c>
      <c r="B295" s="0" t="n">
        <f aca="false">B282+Sources!B17</f>
        <v>86407</v>
      </c>
      <c r="C295" s="0" t="n">
        <f aca="false">C282+Sources!C17</f>
        <v>66088</v>
      </c>
      <c r="D295" s="0" t="n">
        <f aca="false">D282+Sources!D17</f>
        <v>62538</v>
      </c>
    </row>
    <row r="296" customFormat="false" ht="15" hidden="false" customHeight="false" outlineLevel="0" collapsed="false">
      <c r="A296" s="0" t="s">
        <v>84</v>
      </c>
      <c r="B296" s="0" t="n">
        <f aca="false">ROUND(B295*Sources!B21,0)</f>
        <v>8381</v>
      </c>
      <c r="C296" s="0" t="n">
        <f aca="false">ROUND(C295*Sources!C21,0)</f>
        <v>6411</v>
      </c>
      <c r="D296" s="0" t="n">
        <f aca="false">ROUND(D295*Sources!D21,0)</f>
        <v>6942</v>
      </c>
    </row>
    <row r="297" customFormat="false" ht="15" hidden="false" customHeight="false" outlineLevel="0" collapsed="false">
      <c r="A297" s="0" t="s">
        <v>85</v>
      </c>
      <c r="B297" s="0" t="n">
        <f aca="false">ROUND(B295*Sources!B22,0)</f>
        <v>6481</v>
      </c>
      <c r="C297" s="0" t="n">
        <f aca="false">ROUND(C295*Sources!C22,0)</f>
        <v>4957</v>
      </c>
      <c r="D297" s="0" t="n">
        <f aca="false">ROUND(D295*Sources!D22,0)</f>
        <v>4690</v>
      </c>
    </row>
    <row r="298" customFormat="false" ht="15" hidden="false" customHeight="false" outlineLevel="0" collapsed="false">
      <c r="A298" s="0" t="s">
        <v>86</v>
      </c>
      <c r="B298" s="0" t="n">
        <f aca="false">B296+B297-Sources!B18</f>
        <v>14862</v>
      </c>
      <c r="C298" s="0" t="n">
        <f aca="false">C296+C297-Sources!C18</f>
        <v>10666</v>
      </c>
      <c r="D298" s="0" t="n">
        <f aca="false">D296+D297-Sources!D18</f>
        <v>11632</v>
      </c>
    </row>
    <row r="299" customFormat="false" ht="15" hidden="false" customHeight="false" outlineLevel="0" collapsed="false">
      <c r="A299" s="0" t="s">
        <v>87</v>
      </c>
      <c r="B299" s="0" t="n">
        <f aca="false">ROUND((B296-ROUND(Sources!B17*Sources!B21,0))*Sources!B23*Sources!B20,0)</f>
        <v>469</v>
      </c>
      <c r="C299" s="0" t="n">
        <f aca="false">ROUND((C296-ROUND(Sources!C17*Sources!C21,0))*Sources!C23*Sources!C20,0)</f>
        <v>192</v>
      </c>
      <c r="D299" s="0" t="n">
        <f aca="false">ROUND((D296-ROUND(Sources!D17*Sources!D21,0))*Sources!D23*Sources!D20,0)</f>
        <v>56</v>
      </c>
    </row>
    <row r="300" customFormat="false" ht="15" hidden="false" customHeight="false" outlineLevel="0" collapsed="false">
      <c r="A300" s="0" t="s">
        <v>88</v>
      </c>
      <c r="B300" s="0" t="n">
        <f aca="false">ROUND((B297-ROUND(Sources!B17*Sources!B22,0))*Sources!B23*Sources!B20,0)</f>
        <v>363</v>
      </c>
      <c r="C300" s="0" t="n">
        <f aca="false">ROUND((C297-ROUND(Sources!C17*Sources!C22,0))*Sources!C23*Sources!C20,0)</f>
        <v>149</v>
      </c>
      <c r="D300" s="0" t="n">
        <f aca="false">ROUND((D297-ROUND(Sources!D17*Sources!D22,0))*Sources!D23*Sources!D20,0)</f>
        <v>38</v>
      </c>
    </row>
    <row r="301" customFormat="false" ht="15" hidden="false" customHeight="false" outlineLevel="0" collapsed="false">
      <c r="A301" s="0" t="s">
        <v>89</v>
      </c>
      <c r="B301" s="0" t="n">
        <f aca="false">IF($C$13=1,ROUND((B296-ROUND(Sources!B17*Sources!B21,0))*Sources!B24,0),0)</f>
        <v>0</v>
      </c>
      <c r="C301" s="0" t="n">
        <f aca="false">IF($C$13=1,ROUND((C296-ROUND(Sources!C17*Sources!C21,0))*Sources!C24,0),0)</f>
        <v>0</v>
      </c>
      <c r="D301" s="0" t="n">
        <f aca="false">IF($C$13=1,ROUND((D296-ROUND(Sources!D17*Sources!D21,0))*Sources!D24,0),0)</f>
        <v>0</v>
      </c>
    </row>
    <row r="302" customFormat="false" ht="15" hidden="false" customHeight="false" outlineLevel="0" collapsed="false">
      <c r="A302" s="0" t="s">
        <v>90</v>
      </c>
      <c r="B302" s="0" t="n">
        <f aca="false">IF($C$13=1,ROUND((B297-ROUND(Sources!B17*Sources!B22,0))*Sources!B24,0),0)</f>
        <v>0</v>
      </c>
      <c r="C302" s="0" t="n">
        <f aca="false">IF($C$13=1,ROUND((C297-ROUND(Sources!C17*Sources!C22,0))*Sources!C24,0),0)</f>
        <v>0</v>
      </c>
      <c r="D302" s="0" t="n">
        <f aca="false">IF($C$13=1,ROUND((D297-ROUND(Sources!D17*Sources!D22,0))*Sources!D24,0),0)</f>
        <v>0</v>
      </c>
    </row>
    <row r="303" customFormat="false" ht="15" hidden="false" customHeight="false" outlineLevel="0" collapsed="false">
      <c r="A303" s="0" t="s">
        <v>91</v>
      </c>
      <c r="B303" s="0" t="n">
        <f aca="false">B296+B297+B299+B300+B301+B302</f>
        <v>15694</v>
      </c>
      <c r="C303" s="0" t="n">
        <f aca="false">C296+C297+C299+C300+C301+C302</f>
        <v>11709</v>
      </c>
      <c r="D303" s="0" t="n">
        <f aca="false">D296+D297+D299+D300+D301+D302</f>
        <v>11726</v>
      </c>
    </row>
    <row r="304" customFormat="false" ht="15" hidden="false" customHeight="false" outlineLevel="0" collapsed="false">
      <c r="A304" s="0" t="s">
        <v>92</v>
      </c>
      <c r="B304" s="0" t="n">
        <f aca="false">B294+B303+(636)</f>
        <v>30258</v>
      </c>
      <c r="C304" s="0" t="n">
        <f aca="false">C294+C303+(0)</f>
        <v>18942</v>
      </c>
      <c r="D304" s="0" t="n">
        <f aca="false">D294+D303+(-946)</f>
        <v>21812</v>
      </c>
    </row>
    <row r="305" customFormat="false" ht="15" hidden="false" customHeight="false" outlineLevel="0" collapsed="false">
      <c r="A305" s="0" t="s">
        <v>93</v>
      </c>
      <c r="B305" s="0" t="n">
        <f aca="false">B291+B292+B293+B298+B299+B300+B301+B302</f>
        <v>30258</v>
      </c>
      <c r="C305" s="0" t="n">
        <f aca="false">C291+C292+C293+C298+C299+C300+C301+C302</f>
        <v>21152</v>
      </c>
      <c r="D305" s="0" t="n">
        <f aca="false">D291+D292+D293+D298+D299+D300+D301+D302</f>
        <v>21812</v>
      </c>
    </row>
    <row r="309" customFormat="false" ht="15" hidden="false" customHeight="false" outlineLevel="0" collapsed="false">
      <c r="A309" s="1" t="s">
        <v>139</v>
      </c>
    </row>
    <row r="310" customFormat="false" ht="15" hidden="false" customHeight="false" outlineLevel="0" collapsed="false">
      <c r="B310" s="3" t="s">
        <v>2</v>
      </c>
      <c r="C310" s="3" t="s">
        <v>3</v>
      </c>
      <c r="D310" s="3" t="s">
        <v>4</v>
      </c>
    </row>
    <row r="311" customFormat="false" ht="15" hidden="false" customHeight="false" outlineLevel="0" collapsed="false">
      <c r="A311" s="0" t="s">
        <v>70</v>
      </c>
      <c r="B311" s="0" t="n">
        <f aca="false">ROUND(Sources!B5*$B$14,0)</f>
        <v>96617</v>
      </c>
      <c r="C311" s="0" t="n">
        <f aca="false">ROUND(Sources!C5*$B$14,0)</f>
        <v>69432</v>
      </c>
      <c r="D311" s="0" t="n">
        <f aca="false">ROUND(Sources!D5*$B$14,0)</f>
        <v>69864</v>
      </c>
    </row>
    <row r="312" customFormat="false" ht="15" hidden="false" customHeight="false" outlineLevel="0" collapsed="false">
      <c r="A312" s="0" t="s">
        <v>71</v>
      </c>
      <c r="B312" s="0" t="n">
        <f aca="false">ROUND(B311*$E$14,0)</f>
        <v>120771</v>
      </c>
      <c r="C312" s="0" t="n">
        <f aca="false">ROUND(C311*$E$14,0)</f>
        <v>86790</v>
      </c>
      <c r="D312" s="0" t="n">
        <f aca="false">ROUND(D311*$E$14,0)</f>
        <v>87330</v>
      </c>
    </row>
    <row r="313" customFormat="false" ht="15" hidden="false" customHeight="false" outlineLevel="0" collapsed="false">
      <c r="A313" s="0" t="s">
        <v>72</v>
      </c>
      <c r="B313" s="0" t="n">
        <f aca="false">Sources!B11+ROUND(Sources!B12*0.6,0)-Sources!B13-Sources!B14</f>
        <v>18788</v>
      </c>
      <c r="C313" s="0" t="n">
        <f aca="false">Sources!C11+ROUND(Sources!C12*0.6,0)-Sources!C13-Sources!C14</f>
        <v>24385</v>
      </c>
      <c r="D313" s="0" t="n">
        <f aca="false">Sources!D11+ROUND(Sources!D12*0.6,0)-Sources!D13-Sources!D14</f>
        <v>23134</v>
      </c>
    </row>
    <row r="314" customFormat="false" ht="15" hidden="false" customHeight="false" outlineLevel="0" collapsed="false">
      <c r="A314" s="0" t="s">
        <v>73</v>
      </c>
      <c r="B314" s="0" t="n">
        <f aca="false">IF($D$14=1,B313,B313+B312)</f>
        <v>139559</v>
      </c>
      <c r="C314" s="0" t="n">
        <f aca="false">IF($D$14=1,C313,C313+C312)</f>
        <v>111175</v>
      </c>
      <c r="D314" s="0" t="n">
        <f aca="false">IF($D$14=1,D313,D313+D312)</f>
        <v>110464</v>
      </c>
    </row>
    <row r="315" customFormat="false" ht="15" hidden="false" customHeight="false" outlineLevel="0" collapsed="false">
      <c r="A315" s="0" t="s">
        <v>74</v>
      </c>
      <c r="B315" s="0" t="n">
        <f aca="false">ROUND(0.11*MAX(0,MIN(B314,Sources!B32)-Sources!B31)+0.3*MAX(0,MIN(B314,Sources!B33)-Sources!B32)+0.41*MAX(0,MIN(B314,Sources!B34)-Sources!B33)+0.45*MAX(0,B314-Sources!B34),0)</f>
        <v>41448</v>
      </c>
      <c r="C315" s="0" t="n">
        <f aca="false">ROUND(0.11*MAX(0,MIN(C314,Sources!C32)-Sources!C31)+0.3*MAX(0,MIN(C314,Sources!C33)-Sources!C32)+0.41*MAX(0,MIN(C314,Sources!C34)-Sources!C33)+0.45*MAX(0,C314-Sources!C34),0)</f>
        <v>29527</v>
      </c>
      <c r="D315" s="0" t="n">
        <f aca="false">ROUND(0.11*MAX(0,MIN(D314,Sources!D32)-Sources!D31)+0.3*MAX(0,MIN(D314,Sources!D33)-Sources!D32)+0.41*MAX(0,MIN(D314,Sources!D34)-Sources!D33)+0.45*MAX(0,D314-Sources!D34),0)</f>
        <v>29091</v>
      </c>
    </row>
    <row r="316" customFormat="false" ht="15" hidden="false" customHeight="false" outlineLevel="0" collapsed="false">
      <c r="A316" s="0" t="s">
        <v>75</v>
      </c>
      <c r="B316" s="0" t="n">
        <f aca="false">IF(B315&lt;=Sources!B36,MAX(0,ROUND(B315-(Sources!B35-Sources!B37*B315),0)),B315)</f>
        <v>41448</v>
      </c>
      <c r="C316" s="0" t="n">
        <f aca="false">IF(C315&lt;=Sources!C36,MAX(0,ROUND(C315-(Sources!C35-Sources!C37*C315),0)),C315)</f>
        <v>29527</v>
      </c>
      <c r="D316" s="0" t="n">
        <f aca="false">IF(D315&lt;=Sources!D36,MAX(0,ROUND(D315-(Sources!D35-Sources!D37*D315),0)),D315)</f>
        <v>29091</v>
      </c>
    </row>
    <row r="317" customFormat="false" ht="15" hidden="false" customHeight="false" outlineLevel="0" collapsed="false">
      <c r="A317" s="0" t="s">
        <v>76</v>
      </c>
      <c r="B317" s="0" t="n">
        <f aca="false">IF($D$14=1,ROUND(B312*Sources!B26,0),0)</f>
        <v>0</v>
      </c>
      <c r="C317" s="0" t="n">
        <f aca="false">IF($D$14=1,ROUND(C312*Sources!C26,0),0)</f>
        <v>0</v>
      </c>
      <c r="D317" s="0" t="n">
        <f aca="false">IF($D$14=1,ROUND(D312*Sources!D26,0),0)</f>
        <v>0</v>
      </c>
    </row>
    <row r="318" customFormat="false" ht="15" hidden="false" customHeight="false" outlineLevel="0" collapsed="false">
      <c r="A318" s="0" t="s">
        <v>77</v>
      </c>
      <c r="B318" s="0" t="n">
        <f aca="false">B316+B317</f>
        <v>41448</v>
      </c>
      <c r="C318" s="0" t="n">
        <f aca="false">C316+C317</f>
        <v>29527</v>
      </c>
      <c r="D318" s="0" t="n">
        <f aca="false">D316+D317</f>
        <v>29091</v>
      </c>
    </row>
    <row r="319" customFormat="false" ht="15" hidden="false" customHeight="false" outlineLevel="0" collapsed="false">
      <c r="A319" s="0" t="s">
        <v>78</v>
      </c>
      <c r="B319" s="0" t="n">
        <f aca="false">B318-Sources!B15</f>
        <v>40488</v>
      </c>
      <c r="C319" s="0" t="n">
        <f aca="false">C318-Sources!C15</f>
        <v>25444</v>
      </c>
      <c r="D319" s="0" t="n">
        <f aca="false">D318-Sources!D15</f>
        <v>29091</v>
      </c>
    </row>
    <row r="320" customFormat="false" ht="15" hidden="false" customHeight="false" outlineLevel="0" collapsed="false">
      <c r="A320" s="0" t="s">
        <v>79</v>
      </c>
      <c r="B320" s="0" t="n">
        <f aca="false">B319-Sources!B16</f>
        <v>41124</v>
      </c>
      <c r="C320" s="0" t="n">
        <f aca="false">C319-Sources!C16</f>
        <v>28356</v>
      </c>
      <c r="D320" s="0" t="n">
        <f aca="false">D319-Sources!D16</f>
        <v>28145</v>
      </c>
    </row>
    <row r="321" customFormat="false" ht="15" hidden="false" customHeight="false" outlineLevel="0" collapsed="false">
      <c r="A321" s="0" t="s">
        <v>80</v>
      </c>
      <c r="B321" s="0" t="n">
        <f aca="false">ROUND((B319-MAX(Sources!B16,0))*Sources!B23*Sources!B20,0)</f>
        <v>2267</v>
      </c>
      <c r="C321" s="0" t="n">
        <f aca="false">ROUND((C319-MAX(Sources!C16,0))*Sources!C23*Sources!C20,0)</f>
        <v>814</v>
      </c>
      <c r="D321" s="0" t="n">
        <f aca="false">ROUND((D319-MAX(Sources!D16,0))*Sources!D23*Sources!D20,0)</f>
        <v>225</v>
      </c>
    </row>
    <row r="322" customFormat="false" ht="15" hidden="false" customHeight="false" outlineLevel="0" collapsed="false">
      <c r="A322" s="0" t="s">
        <v>81</v>
      </c>
      <c r="B322" s="0" t="n">
        <f aca="false">IF($C$14=1,ROUND(B320*Sources!B24,0),0)</f>
        <v>16450</v>
      </c>
      <c r="C322" s="0" t="n">
        <f aca="false">IF($C$14=1,ROUND(C320*Sources!C24,0),0)</f>
        <v>11342</v>
      </c>
      <c r="D322" s="0" t="n">
        <f aca="false">IF($C$14=1,ROUND(D320*Sources!D24,0),0)</f>
        <v>11258</v>
      </c>
    </row>
    <row r="323" customFormat="false" ht="15" hidden="false" customHeight="false" outlineLevel="0" collapsed="false">
      <c r="A323" s="0" t="s">
        <v>82</v>
      </c>
      <c r="B323" s="0" t="n">
        <f aca="false">B319+B321+B322</f>
        <v>59205</v>
      </c>
      <c r="C323" s="0" t="n">
        <f aca="false">C319+C321+C322</f>
        <v>37600</v>
      </c>
      <c r="D323" s="0" t="n">
        <f aca="false">D319+D321+D322</f>
        <v>40574</v>
      </c>
    </row>
    <row r="324" customFormat="false" ht="15" hidden="false" customHeight="false" outlineLevel="0" collapsed="false">
      <c r="A324" s="0" t="s">
        <v>83</v>
      </c>
      <c r="B324" s="0" t="n">
        <f aca="false">B311+Sources!B17</f>
        <v>96617</v>
      </c>
      <c r="C324" s="0" t="n">
        <f aca="false">C311+Sources!C17</f>
        <v>73515</v>
      </c>
      <c r="D324" s="0" t="n">
        <f aca="false">D311+Sources!D17</f>
        <v>69864</v>
      </c>
    </row>
    <row r="325" customFormat="false" ht="15" hidden="false" customHeight="false" outlineLevel="0" collapsed="false">
      <c r="A325" s="0" t="s">
        <v>84</v>
      </c>
      <c r="B325" s="0" t="n">
        <f aca="false">ROUND(B324*Sources!B21,0)</f>
        <v>9372</v>
      </c>
      <c r="C325" s="0" t="n">
        <f aca="false">ROUND(C324*Sources!C21,0)</f>
        <v>7131</v>
      </c>
      <c r="D325" s="0" t="n">
        <f aca="false">ROUND(D324*Sources!D21,0)</f>
        <v>7755</v>
      </c>
    </row>
    <row r="326" customFormat="false" ht="15" hidden="false" customHeight="false" outlineLevel="0" collapsed="false">
      <c r="A326" s="0" t="s">
        <v>85</v>
      </c>
      <c r="B326" s="0" t="n">
        <f aca="false">ROUND(B324*Sources!B22,0)</f>
        <v>7246</v>
      </c>
      <c r="C326" s="0" t="n">
        <f aca="false">ROUND(C324*Sources!C22,0)</f>
        <v>5514</v>
      </c>
      <c r="D326" s="0" t="n">
        <f aca="false">ROUND(D324*Sources!D22,0)</f>
        <v>5240</v>
      </c>
    </row>
    <row r="327" customFormat="false" ht="15" hidden="false" customHeight="false" outlineLevel="0" collapsed="false">
      <c r="A327" s="0" t="s">
        <v>86</v>
      </c>
      <c r="B327" s="0" t="n">
        <f aca="false">B325+B326-Sources!B18</f>
        <v>16618</v>
      </c>
      <c r="C327" s="0" t="n">
        <f aca="false">C325+C326-Sources!C18</f>
        <v>11943</v>
      </c>
      <c r="D327" s="0" t="n">
        <f aca="false">D325+D326-Sources!D18</f>
        <v>12995</v>
      </c>
    </row>
    <row r="328" customFormat="false" ht="15" hidden="false" customHeight="false" outlineLevel="0" collapsed="false">
      <c r="A328" s="0" t="s">
        <v>87</v>
      </c>
      <c r="B328" s="0" t="n">
        <f aca="false">ROUND((B325-ROUND(Sources!B17*Sources!B21,0))*Sources!B23*Sources!B20,0)</f>
        <v>525</v>
      </c>
      <c r="C328" s="0" t="n">
        <f aca="false">ROUND((C325-ROUND(Sources!C17*Sources!C21,0))*Sources!C23*Sources!C20,0)</f>
        <v>216</v>
      </c>
      <c r="D328" s="0" t="n">
        <f aca="false">ROUND((D325-ROUND(Sources!D17*Sources!D21,0))*Sources!D23*Sources!D20,0)</f>
        <v>62</v>
      </c>
    </row>
    <row r="329" customFormat="false" ht="15" hidden="false" customHeight="false" outlineLevel="0" collapsed="false">
      <c r="A329" s="0" t="s">
        <v>88</v>
      </c>
      <c r="B329" s="0" t="n">
        <f aca="false">ROUND((B326-ROUND(Sources!B17*Sources!B22,0))*Sources!B23*Sources!B20,0)</f>
        <v>406</v>
      </c>
      <c r="C329" s="0" t="n">
        <f aca="false">ROUND((C326-ROUND(Sources!C17*Sources!C22,0))*Sources!C23*Sources!C20,0)</f>
        <v>167</v>
      </c>
      <c r="D329" s="0" t="n">
        <f aca="false">ROUND((D326-ROUND(Sources!D17*Sources!D22,0))*Sources!D23*Sources!D20,0)</f>
        <v>42</v>
      </c>
    </row>
    <row r="330" customFormat="false" ht="15" hidden="false" customHeight="false" outlineLevel="0" collapsed="false">
      <c r="A330" s="0" t="s">
        <v>89</v>
      </c>
      <c r="B330" s="0" t="n">
        <f aca="false">IF($C$14=1,ROUND((B325-ROUND(Sources!B17*Sources!B21,0))*Sources!B24,0),0)</f>
        <v>3749</v>
      </c>
      <c r="C330" s="0" t="n">
        <f aca="false">IF($C$14=1,ROUND((C325-ROUND(Sources!C17*Sources!C21,0))*Sources!C24,0),0)</f>
        <v>2694</v>
      </c>
      <c r="D330" s="0" t="n">
        <f aca="false">IF($C$14=1,ROUND((D325-ROUND(Sources!D17*Sources!D21,0))*Sources!D24,0),0)</f>
        <v>3102</v>
      </c>
    </row>
    <row r="331" customFormat="false" ht="15" hidden="false" customHeight="false" outlineLevel="0" collapsed="false">
      <c r="A331" s="0" t="s">
        <v>90</v>
      </c>
      <c r="B331" s="0" t="n">
        <f aca="false">IF($C$14=1,ROUND((B326-ROUND(Sources!B17*Sources!B22,0))*Sources!B24,0),0)</f>
        <v>2898</v>
      </c>
      <c r="C331" s="0" t="n">
        <f aca="false">IF($C$14=1,ROUND((C326-ROUND(Sources!C17*Sources!C22,0))*Sources!C24,0),0)</f>
        <v>2083</v>
      </c>
      <c r="D331" s="0" t="n">
        <f aca="false">IF($C$14=1,ROUND((D326-ROUND(Sources!D17*Sources!D22,0))*Sources!D24,0),0)</f>
        <v>2096</v>
      </c>
    </row>
    <row r="332" customFormat="false" ht="15" hidden="false" customHeight="false" outlineLevel="0" collapsed="false">
      <c r="A332" s="0" t="s">
        <v>91</v>
      </c>
      <c r="B332" s="0" t="n">
        <f aca="false">B325+B326+B328+B329+B330+B331</f>
        <v>24196</v>
      </c>
      <c r="C332" s="0" t="n">
        <f aca="false">C325+C326+C328+C329+C330+C331</f>
        <v>17805</v>
      </c>
      <c r="D332" s="0" t="n">
        <f aca="false">D325+D326+D328+D329+D330+D331</f>
        <v>18297</v>
      </c>
    </row>
    <row r="333" customFormat="false" ht="15" hidden="false" customHeight="false" outlineLevel="0" collapsed="false">
      <c r="A333" s="0" t="s">
        <v>92</v>
      </c>
      <c r="B333" s="0" t="n">
        <f aca="false">B323+B332+(636)</f>
        <v>84037</v>
      </c>
      <c r="C333" s="0" t="n">
        <f aca="false">C323+C332+(0)</f>
        <v>55405</v>
      </c>
      <c r="D333" s="0" t="n">
        <f aca="false">D323+D332+(-946)</f>
        <v>57925</v>
      </c>
    </row>
    <row r="334" customFormat="false" ht="15" hidden="false" customHeight="false" outlineLevel="0" collapsed="false">
      <c r="A334" s="0" t="s">
        <v>93</v>
      </c>
      <c r="B334" s="0" t="n">
        <f aca="false">B320+B321+B322+B327+B328+B329+B330+B331</f>
        <v>84037</v>
      </c>
      <c r="C334" s="0" t="n">
        <f aca="false">C320+C321+C322+C327+C328+C329+C330+C331</f>
        <v>57615</v>
      </c>
      <c r="D334" s="0" t="n">
        <f aca="false">D320+D321+D322+D327+D328+D329+D330+D331</f>
        <v>57925</v>
      </c>
    </row>
    <row r="338" customFormat="false" ht="15" hidden="false" customHeight="false" outlineLevel="0" collapsed="false">
      <c r="A338" s="1" t="s">
        <v>140</v>
      </c>
    </row>
    <row r="339" customFormat="false" ht="15" hidden="false" customHeight="false" outlineLevel="0" collapsed="false">
      <c r="B339" s="3" t="s">
        <v>2</v>
      </c>
      <c r="C339" s="3" t="s">
        <v>3</v>
      </c>
      <c r="D339" s="3" t="s">
        <v>4</v>
      </c>
    </row>
    <row r="340" customFormat="false" ht="15" hidden="false" customHeight="false" outlineLevel="0" collapsed="false">
      <c r="A340" s="0" t="s">
        <v>70</v>
      </c>
      <c r="B340" s="0" t="n">
        <f aca="false">ROUND(Sources!B9*$B$15,0)</f>
        <v>86407</v>
      </c>
      <c r="C340" s="0" t="n">
        <f aca="false">ROUND(Sources!C9*$B$15,0)</f>
        <v>62005</v>
      </c>
      <c r="D340" s="0" t="n">
        <f aca="false">ROUND(Sources!D9*$B$15,0)</f>
        <v>62538</v>
      </c>
    </row>
    <row r="341" customFormat="false" ht="15" hidden="false" customHeight="false" outlineLevel="0" collapsed="false">
      <c r="A341" s="0" t="s">
        <v>71</v>
      </c>
      <c r="B341" s="0" t="n">
        <f aca="false">ROUND(B340*$E$15,0)</f>
        <v>86407</v>
      </c>
      <c r="C341" s="0" t="n">
        <f aca="false">ROUND(C340*$E$15,0)</f>
        <v>62005</v>
      </c>
      <c r="D341" s="0" t="n">
        <f aca="false">ROUND(D340*$E$15,0)</f>
        <v>62538</v>
      </c>
    </row>
    <row r="342" customFormat="false" ht="15" hidden="false" customHeight="false" outlineLevel="0" collapsed="false">
      <c r="A342" s="0" t="s">
        <v>72</v>
      </c>
      <c r="B342" s="0" t="n">
        <f aca="false">Sources!B11+ROUND(Sources!B12*0.6,0)-Sources!B13-Sources!B14</f>
        <v>18788</v>
      </c>
      <c r="C342" s="0" t="n">
        <f aca="false">Sources!C11+ROUND(Sources!C12*0.6,0)-Sources!C13-Sources!C14</f>
        <v>24385</v>
      </c>
      <c r="D342" s="0" t="n">
        <f aca="false">Sources!D11+ROUND(Sources!D12*0.6,0)-Sources!D13-Sources!D14</f>
        <v>23134</v>
      </c>
    </row>
    <row r="343" customFormat="false" ht="15" hidden="false" customHeight="false" outlineLevel="0" collapsed="false">
      <c r="A343" s="0" t="s">
        <v>73</v>
      </c>
      <c r="B343" s="0" t="n">
        <f aca="false">IF($D$15=1,B342,B342+B341)</f>
        <v>105195</v>
      </c>
      <c r="C343" s="0" t="n">
        <f aca="false">IF($D$15=1,C342,C342+C341)</f>
        <v>86390</v>
      </c>
      <c r="D343" s="0" t="n">
        <f aca="false">IF($D$15=1,D342,D342+D341)</f>
        <v>85672</v>
      </c>
    </row>
    <row r="344" customFormat="false" ht="15" hidden="false" customHeight="false" outlineLevel="0" collapsed="false">
      <c r="A344" s="0" t="s">
        <v>74</v>
      </c>
      <c r="B344" s="0" t="n">
        <f aca="false">ROUND(0.11*MAX(0,MIN(B343,Sources!B32)-Sources!B31)+0.3*MAX(0,MIN(B343,Sources!B33)-Sources!B32)+0.41*MAX(0,MIN(B343,Sources!B34)-Sources!B33)+0.45*MAX(0,B343-Sources!B34),0)</f>
        <v>27359</v>
      </c>
      <c r="C344" s="0" t="n">
        <f aca="false">ROUND(0.11*MAX(0,MIN(C343,Sources!C32)-Sources!C31)+0.3*MAX(0,MIN(C343,Sources!C33)-Sources!C32)+0.41*MAX(0,MIN(C343,Sources!C34)-Sources!C33)+0.45*MAX(0,C343-Sources!C34),0)</f>
        <v>19365</v>
      </c>
      <c r="D344" s="0" t="n">
        <f aca="false">ROUND(0.11*MAX(0,MIN(D343,Sources!D32)-Sources!D31)+0.3*MAX(0,MIN(D343,Sources!D33)-Sources!D32)+0.41*MAX(0,MIN(D343,Sources!D34)-Sources!D33)+0.45*MAX(0,D343-Sources!D34),0)</f>
        <v>18926</v>
      </c>
    </row>
    <row r="345" customFormat="false" ht="15" hidden="false" customHeight="false" outlineLevel="0" collapsed="false">
      <c r="A345" s="0" t="s">
        <v>75</v>
      </c>
      <c r="B345" s="0" t="n">
        <f aca="false">IF(B344&lt;=Sources!B36,MAX(0,ROUND(B344-(Sources!B35-Sources!B37*B344),0)),B344)</f>
        <v>27359</v>
      </c>
      <c r="C345" s="0" t="n">
        <f aca="false">IF(C344&lt;=Sources!C36,MAX(0,ROUND(C344-(Sources!C35-Sources!C37*C344),0)),C344)</f>
        <v>19365</v>
      </c>
      <c r="D345" s="0" t="n">
        <f aca="false">IF(D344&lt;=Sources!D36,MAX(0,ROUND(D344-(Sources!D35-Sources!D37*D344),0)),D344)</f>
        <v>18926</v>
      </c>
    </row>
    <row r="346" customFormat="false" ht="15" hidden="false" customHeight="false" outlineLevel="0" collapsed="false">
      <c r="A346" s="0" t="s">
        <v>76</v>
      </c>
      <c r="B346" s="0" t="n">
        <f aca="false">IF($D$15=1,ROUND(B341*Sources!B26,0),0)</f>
        <v>0</v>
      </c>
      <c r="C346" s="0" t="n">
        <f aca="false">IF($D$15=1,ROUND(C341*Sources!C26,0),0)</f>
        <v>0</v>
      </c>
      <c r="D346" s="0" t="n">
        <f aca="false">IF($D$15=1,ROUND(D341*Sources!D26,0),0)</f>
        <v>0</v>
      </c>
    </row>
    <row r="347" customFormat="false" ht="15" hidden="false" customHeight="false" outlineLevel="0" collapsed="false">
      <c r="A347" s="0" t="s">
        <v>77</v>
      </c>
      <c r="B347" s="0" t="n">
        <f aca="false">B345+B346</f>
        <v>27359</v>
      </c>
      <c r="C347" s="0" t="n">
        <f aca="false">C345+C346</f>
        <v>19365</v>
      </c>
      <c r="D347" s="0" t="n">
        <f aca="false">D345+D346</f>
        <v>18926</v>
      </c>
    </row>
    <row r="348" customFormat="false" ht="15" hidden="false" customHeight="false" outlineLevel="0" collapsed="false">
      <c r="A348" s="0" t="s">
        <v>78</v>
      </c>
      <c r="B348" s="0" t="n">
        <f aca="false">B347-Sources!B15</f>
        <v>26399</v>
      </c>
      <c r="C348" s="0" t="n">
        <f aca="false">C347-Sources!C15</f>
        <v>15282</v>
      </c>
      <c r="D348" s="0" t="n">
        <f aca="false">D347-Sources!D15</f>
        <v>18926</v>
      </c>
    </row>
    <row r="349" customFormat="false" ht="15" hidden="false" customHeight="false" outlineLevel="0" collapsed="false">
      <c r="A349" s="0" t="s">
        <v>79</v>
      </c>
      <c r="B349" s="0" t="n">
        <f aca="false">B348-Sources!B16</f>
        <v>27035</v>
      </c>
      <c r="C349" s="0" t="n">
        <f aca="false">C348-Sources!C16</f>
        <v>18194</v>
      </c>
      <c r="D349" s="0" t="n">
        <f aca="false">D348-Sources!D16</f>
        <v>17980</v>
      </c>
    </row>
    <row r="350" customFormat="false" ht="15" hidden="false" customHeight="false" outlineLevel="0" collapsed="false">
      <c r="A350" s="0" t="s">
        <v>80</v>
      </c>
      <c r="B350" s="0" t="n">
        <f aca="false">ROUND((B348-MAX(Sources!B16,0))*Sources!B23*Sources!B20,0)</f>
        <v>1478</v>
      </c>
      <c r="C350" s="0" t="n">
        <f aca="false">ROUND((C348-MAX(Sources!C16,0))*Sources!C23*Sources!C20,0)</f>
        <v>489</v>
      </c>
      <c r="D350" s="0" t="n">
        <f aca="false">ROUND((D348-MAX(Sources!D16,0))*Sources!D23*Sources!D20,0)</f>
        <v>144</v>
      </c>
    </row>
    <row r="351" customFormat="false" ht="15" hidden="false" customHeight="false" outlineLevel="0" collapsed="false">
      <c r="A351" s="0" t="s">
        <v>81</v>
      </c>
      <c r="B351" s="0" t="n">
        <f aca="false">IF($C$15=1,ROUND(B349*Sources!B24,0),0)</f>
        <v>10814</v>
      </c>
      <c r="C351" s="0" t="n">
        <f aca="false">IF($C$15=1,ROUND(C349*Sources!C24,0),0)</f>
        <v>7278</v>
      </c>
      <c r="D351" s="0" t="n">
        <f aca="false">IF($C$15=1,ROUND(D349*Sources!D24,0),0)</f>
        <v>7192</v>
      </c>
    </row>
    <row r="352" customFormat="false" ht="15" hidden="false" customHeight="false" outlineLevel="0" collapsed="false">
      <c r="A352" s="0" t="s">
        <v>82</v>
      </c>
      <c r="B352" s="0" t="n">
        <f aca="false">B348+B350+B351</f>
        <v>38691</v>
      </c>
      <c r="C352" s="0" t="n">
        <f aca="false">C348+C350+C351</f>
        <v>23049</v>
      </c>
      <c r="D352" s="0" t="n">
        <f aca="false">D348+D350+D351</f>
        <v>26262</v>
      </c>
    </row>
    <row r="353" customFormat="false" ht="15" hidden="false" customHeight="false" outlineLevel="0" collapsed="false">
      <c r="A353" s="0" t="s">
        <v>83</v>
      </c>
      <c r="B353" s="0" t="n">
        <f aca="false">B340+Sources!B17</f>
        <v>86407</v>
      </c>
      <c r="C353" s="0" t="n">
        <f aca="false">C340+Sources!C17</f>
        <v>66088</v>
      </c>
      <c r="D353" s="0" t="n">
        <f aca="false">D340+Sources!D17</f>
        <v>62538</v>
      </c>
    </row>
    <row r="354" customFormat="false" ht="15" hidden="false" customHeight="false" outlineLevel="0" collapsed="false">
      <c r="A354" s="0" t="s">
        <v>84</v>
      </c>
      <c r="B354" s="0" t="n">
        <f aca="false">ROUND(B353*Sources!B21,0)</f>
        <v>8381</v>
      </c>
      <c r="C354" s="0" t="n">
        <f aca="false">ROUND(C353*Sources!C21,0)</f>
        <v>6411</v>
      </c>
      <c r="D354" s="0" t="n">
        <f aca="false">ROUND(D353*Sources!D21,0)</f>
        <v>6942</v>
      </c>
    </row>
    <row r="355" customFormat="false" ht="15" hidden="false" customHeight="false" outlineLevel="0" collapsed="false">
      <c r="A355" s="0" t="s">
        <v>85</v>
      </c>
      <c r="B355" s="0" t="n">
        <f aca="false">ROUND(B353*Sources!B22,0)</f>
        <v>6481</v>
      </c>
      <c r="C355" s="0" t="n">
        <f aca="false">ROUND(C353*Sources!C22,0)</f>
        <v>4957</v>
      </c>
      <c r="D355" s="0" t="n">
        <f aca="false">ROUND(D353*Sources!D22,0)</f>
        <v>4690</v>
      </c>
    </row>
    <row r="356" customFormat="false" ht="15" hidden="false" customHeight="false" outlineLevel="0" collapsed="false">
      <c r="A356" s="0" t="s">
        <v>86</v>
      </c>
      <c r="B356" s="0" t="n">
        <f aca="false">B354+B355-Sources!B18</f>
        <v>14862</v>
      </c>
      <c r="C356" s="0" t="n">
        <f aca="false">C354+C355-Sources!C18</f>
        <v>10666</v>
      </c>
      <c r="D356" s="0" t="n">
        <f aca="false">D354+D355-Sources!D18</f>
        <v>11632</v>
      </c>
    </row>
    <row r="357" customFormat="false" ht="15" hidden="false" customHeight="false" outlineLevel="0" collapsed="false">
      <c r="A357" s="0" t="s">
        <v>87</v>
      </c>
      <c r="B357" s="0" t="n">
        <f aca="false">ROUND((B354-ROUND(Sources!B17*Sources!B21,0))*Sources!B23*Sources!B20,0)</f>
        <v>469</v>
      </c>
      <c r="C357" s="0" t="n">
        <f aca="false">ROUND((C354-ROUND(Sources!C17*Sources!C21,0))*Sources!C23*Sources!C20,0)</f>
        <v>192</v>
      </c>
      <c r="D357" s="0" t="n">
        <f aca="false">ROUND((D354-ROUND(Sources!D17*Sources!D21,0))*Sources!D23*Sources!D20,0)</f>
        <v>56</v>
      </c>
    </row>
    <row r="358" customFormat="false" ht="15" hidden="false" customHeight="false" outlineLevel="0" collapsed="false">
      <c r="A358" s="0" t="s">
        <v>88</v>
      </c>
      <c r="B358" s="0" t="n">
        <f aca="false">ROUND((B355-ROUND(Sources!B17*Sources!B22,0))*Sources!B23*Sources!B20,0)</f>
        <v>363</v>
      </c>
      <c r="C358" s="0" t="n">
        <f aca="false">ROUND((C355-ROUND(Sources!C17*Sources!C22,0))*Sources!C23*Sources!C20,0)</f>
        <v>149</v>
      </c>
      <c r="D358" s="0" t="n">
        <f aca="false">ROUND((D355-ROUND(Sources!D17*Sources!D22,0))*Sources!D23*Sources!D20,0)</f>
        <v>38</v>
      </c>
    </row>
    <row r="359" customFormat="false" ht="15" hidden="false" customHeight="false" outlineLevel="0" collapsed="false">
      <c r="A359" s="0" t="s">
        <v>89</v>
      </c>
      <c r="B359" s="0" t="n">
        <f aca="false">IF($C$15=1,ROUND((B354-ROUND(Sources!B17*Sources!B21,0))*Sources!B24,0),0)</f>
        <v>3352</v>
      </c>
      <c r="C359" s="0" t="n">
        <f aca="false">IF($C$15=1,ROUND((C354-ROUND(Sources!C17*Sources!C21,0))*Sources!C24,0),0)</f>
        <v>2406</v>
      </c>
      <c r="D359" s="0" t="n">
        <f aca="false">IF($C$15=1,ROUND((D354-ROUND(Sources!D17*Sources!D21,0))*Sources!D24,0),0)</f>
        <v>2777</v>
      </c>
    </row>
    <row r="360" customFormat="false" ht="15" hidden="false" customHeight="false" outlineLevel="0" collapsed="false">
      <c r="A360" s="0" t="s">
        <v>90</v>
      </c>
      <c r="B360" s="0" t="n">
        <f aca="false">IF($C$15=1,ROUND((B355-ROUND(Sources!B17*Sources!B22,0))*Sources!B24,0),0)</f>
        <v>2592</v>
      </c>
      <c r="C360" s="0" t="n">
        <f aca="false">IF($C$15=1,ROUND((C355-ROUND(Sources!C17*Sources!C22,0))*Sources!C24,0),0)</f>
        <v>1860</v>
      </c>
      <c r="D360" s="0" t="n">
        <f aca="false">IF($C$15=1,ROUND((D355-ROUND(Sources!D17*Sources!D22,0))*Sources!D24,0),0)</f>
        <v>1876</v>
      </c>
    </row>
    <row r="361" customFormat="false" ht="15" hidden="false" customHeight="false" outlineLevel="0" collapsed="false">
      <c r="A361" s="0" t="s">
        <v>91</v>
      </c>
      <c r="B361" s="0" t="n">
        <f aca="false">B354+B355+B357+B358+B359+B360</f>
        <v>21638</v>
      </c>
      <c r="C361" s="0" t="n">
        <f aca="false">C354+C355+C357+C358+C359+C360</f>
        <v>15975</v>
      </c>
      <c r="D361" s="0" t="n">
        <f aca="false">D354+D355+D357+D358+D359+D360</f>
        <v>16379</v>
      </c>
    </row>
    <row r="362" customFormat="false" ht="15" hidden="false" customHeight="false" outlineLevel="0" collapsed="false">
      <c r="A362" s="0" t="s">
        <v>92</v>
      </c>
      <c r="B362" s="0" t="n">
        <f aca="false">B352+B361+(636)</f>
        <v>60965</v>
      </c>
      <c r="C362" s="0" t="n">
        <f aca="false">C352+C361+(0)</f>
        <v>39024</v>
      </c>
      <c r="D362" s="0" t="n">
        <f aca="false">D352+D361+(-946)</f>
        <v>41695</v>
      </c>
    </row>
    <row r="363" customFormat="false" ht="15" hidden="false" customHeight="false" outlineLevel="0" collapsed="false">
      <c r="A363" s="0" t="s">
        <v>93</v>
      </c>
      <c r="B363" s="0" t="n">
        <f aca="false">B349+B350+B351+B356+B357+B358+B359+B360</f>
        <v>60965</v>
      </c>
      <c r="C363" s="0" t="n">
        <f aca="false">C349+C350+C351+C356+C357+C358+C359+C360</f>
        <v>41234</v>
      </c>
      <c r="D363" s="0" t="n">
        <f aca="false">D349+D350+D351+D356+D357+D358+D359+D360</f>
        <v>41695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6" t="s">
        <v>141</v>
      </c>
    </row>
    <row r="2" customFormat="false" ht="41.75" hidden="false" customHeight="false" outlineLevel="0" collapsed="false">
      <c r="A2" s="7" t="s">
        <v>142</v>
      </c>
    </row>
    <row r="3" customFormat="false" ht="28.35" hidden="false" customHeight="false" outlineLevel="0" collapsed="false">
      <c r="A3" s="7" t="s">
        <v>143</v>
      </c>
    </row>
    <row r="4" customFormat="false" ht="28.35" hidden="false" customHeight="false" outlineLevel="0" collapsed="false">
      <c r="A4" s="7" t="s">
        <v>144</v>
      </c>
    </row>
    <row r="5" customFormat="false" ht="28.35" hidden="false" customHeight="false" outlineLevel="0" collapsed="false">
      <c r="A5" s="7" t="s">
        <v>145</v>
      </c>
    </row>
    <row r="6" customFormat="false" ht="15" hidden="false" customHeight="false" outlineLevel="0" collapsed="false">
      <c r="A6" s="7" t="s">
        <v>146</v>
      </c>
    </row>
    <row r="7" customFormat="false" ht="28.35" hidden="false" customHeight="false" outlineLevel="0" collapsed="false">
      <c r="A7" s="7" t="s">
        <v>147</v>
      </c>
    </row>
    <row r="8" customFormat="false" ht="41.75" hidden="false" customHeight="false" outlineLevel="0" collapsed="false">
      <c r="A8" s="7" t="s">
        <v>148</v>
      </c>
    </row>
    <row r="9" customFormat="false" ht="41.75" hidden="false" customHeight="false" outlineLevel="0" collapsed="false">
      <c r="A9" s="7" t="s">
        <v>149</v>
      </c>
    </row>
    <row r="10" customFormat="false" ht="15" hidden="false" customHeight="false" outlineLevel="0" collapsed="false">
      <c r="A10" s="7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2026-10-27T09:31:55Z</dcterms:created>
  <dc:creator>openpyxl</dc:creator>
  <dc:description/>
  <dc:language>en-US</dc:language>
  <cp:lastModifiedBy/>
  <dcterms:modified xsi:type="dcterms:W3CDTF">2026-10-27T09:31:55Z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