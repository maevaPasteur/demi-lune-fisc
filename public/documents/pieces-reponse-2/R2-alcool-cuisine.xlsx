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Calcul" sheetId="2" state="visible" r:id="rId2"/>
    <sheet xmlns:r="http://schemas.openxmlformats.org/officeDocument/2006/relationships" name="Euros" sheetId="3" state="visible" r:id="rId3"/>
    <sheet xmlns:r="http://schemas.openxmlformats.org/officeDocument/2006/relationships" name="Metho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Sources - cuisine a la carte (hors menus). Donnees copiees de R1-alcool-cuisine-controles.xlsx (onglet 3) et R1-alcool-cuisine-reperes.xlsx (onglet 2).</t>
        </is>
      </c>
    </row>
    <row r="3">
      <c r="A3" s="2" t="inlineStr">
        <is>
          <t>Alcool</t>
        </is>
      </c>
      <c r="B3" s="2" t="inlineStr">
        <is>
          <t>Carte ex1 (L)</t>
        </is>
      </c>
      <c r="C3" s="2" t="inlineStr">
        <is>
          <t>Carte ex2 (L)</t>
        </is>
      </c>
      <c r="D3" s="2" t="inlineStr">
        <is>
          <t>Carte ex3 (L)</t>
        </is>
      </c>
      <c r="E3" s="2" t="inlineStr">
        <is>
          <t>Menus ex1 (L)</t>
        </is>
      </c>
      <c r="F3" s="2" t="inlineStr">
        <is>
          <t>Menus ex2 (L)</t>
        </is>
      </c>
      <c r="G3" s="2" t="inlineStr">
        <is>
          <t>Menus ex3 (L)</t>
        </is>
      </c>
      <c r="H3" s="2" t="inlineStr">
        <is>
          <t>Deja retranche service ex1 (L)</t>
        </is>
      </c>
      <c r="I3" s="2" t="inlineStr">
        <is>
          <t>ex2</t>
        </is>
      </c>
      <c r="J3" s="2" t="inlineStr">
        <is>
          <t>ex3</t>
        </is>
      </c>
      <c r="K3" s="2" t="inlineStr">
        <is>
          <t>Plafond achats ex1 (L)</t>
        </is>
      </c>
      <c r="L3" s="2" t="inlineStr">
        <is>
          <t>ex2</t>
        </is>
      </c>
      <c r="M3" s="2" t="inlineStr">
        <is>
          <t>ex3</t>
        </is>
      </c>
    </row>
    <row r="4">
      <c r="A4" t="inlineStr">
        <is>
          <t>Ravelin</t>
        </is>
      </c>
      <c r="B4" t="n">
        <v>51.7</v>
      </c>
      <c r="C4" t="n">
        <v>47</v>
      </c>
      <c r="D4" t="n">
        <v>53.2</v>
      </c>
      <c r="E4" t="n">
        <v>25</v>
      </c>
      <c r="F4" t="n">
        <v>39.8</v>
      </c>
      <c r="G4" t="n">
        <v>35.1</v>
      </c>
      <c r="H4" t="n">
        <v>162.32</v>
      </c>
      <c r="I4" t="n">
        <v>162.57</v>
      </c>
      <c r="J4" t="n">
        <v>155.54</v>
      </c>
      <c r="K4" t="inlineStr"/>
      <c r="L4" t="inlineStr"/>
      <c r="M4" t="inlineStr"/>
    </row>
    <row r="5">
      <c r="A5" t="inlineStr">
        <is>
          <t>Macvin</t>
        </is>
      </c>
      <c r="B5" t="n">
        <v>36.14</v>
      </c>
      <c r="C5" t="n">
        <v>42.7</v>
      </c>
      <c r="D5" t="n">
        <v>44.32</v>
      </c>
      <c r="E5" t="n">
        <v>24.65</v>
      </c>
      <c r="F5" t="n">
        <v>14.38</v>
      </c>
      <c r="G5" t="n">
        <v>15.32</v>
      </c>
      <c r="H5" t="n">
        <v>77.73999999999999</v>
      </c>
      <c r="I5" t="n">
        <v>88.31999999999999</v>
      </c>
      <c r="J5" t="n">
        <v>74.06</v>
      </c>
      <c r="K5" t="inlineStr"/>
      <c r="L5" t="inlineStr"/>
      <c r="M5" t="inlineStr"/>
    </row>
    <row r="6">
      <c r="A6" t="inlineStr">
        <is>
          <t>Vin jaune</t>
        </is>
      </c>
      <c r="B6" t="n">
        <v>39.39</v>
      </c>
      <c r="C6" t="n">
        <v>40.38</v>
      </c>
      <c r="D6" t="n">
        <v>33.65</v>
      </c>
      <c r="E6" t="n">
        <v>3.73</v>
      </c>
      <c r="F6" t="n">
        <v>3.5</v>
      </c>
      <c r="G6" t="n">
        <v>3.83</v>
      </c>
      <c r="H6" t="n">
        <v>37.17</v>
      </c>
      <c r="I6" t="n">
        <v>36.93</v>
      </c>
      <c r="J6" t="n">
        <v>37.48</v>
      </c>
      <c r="K6" t="inlineStr"/>
      <c r="L6" t="inlineStr"/>
      <c r="M6" t="inlineStr"/>
    </row>
    <row r="7">
      <c r="A7" t="inlineStr">
        <is>
          <t>Calvados</t>
        </is>
      </c>
      <c r="B7" t="n">
        <v>36</v>
      </c>
      <c r="C7" t="n">
        <v>35.52</v>
      </c>
      <c r="D7" t="n">
        <v>35.02</v>
      </c>
      <c r="E7" t="n">
        <v>5.27</v>
      </c>
      <c r="F7" t="n">
        <v>3.84</v>
      </c>
      <c r="G7" t="n">
        <v>3.42</v>
      </c>
      <c r="H7" t="n">
        <v>33.1</v>
      </c>
      <c r="I7" t="n">
        <v>30.02</v>
      </c>
      <c r="J7" t="n">
        <v>30.05</v>
      </c>
      <c r="K7" t="n">
        <v>32</v>
      </c>
      <c r="L7" t="n">
        <v>22</v>
      </c>
      <c r="M7" t="n">
        <v>19</v>
      </c>
    </row>
    <row r="8">
      <c r="A8" t="inlineStr">
        <is>
          <t>Porto</t>
        </is>
      </c>
      <c r="B8" t="n">
        <v>16.32</v>
      </c>
      <c r="C8" t="n">
        <v>21.99</v>
      </c>
      <c r="D8" t="n">
        <v>21.84</v>
      </c>
      <c r="E8" t="n">
        <v>2.65</v>
      </c>
      <c r="F8" t="n">
        <v>3.69</v>
      </c>
      <c r="G8" t="n">
        <v>4.25</v>
      </c>
      <c r="H8" t="n">
        <v>3.98</v>
      </c>
      <c r="I8" t="n">
        <v>5.83</v>
      </c>
      <c r="J8" t="n">
        <v>5.56</v>
      </c>
      <c r="K8" t="n">
        <v>16.5</v>
      </c>
      <c r="L8" t="n">
        <v>51.8</v>
      </c>
      <c r="M8" t="n">
        <v>46.5</v>
      </c>
    </row>
    <row r="9">
      <c r="A9" t="inlineStr">
        <is>
          <t>Creme cassis</t>
        </is>
      </c>
      <c r="B9" t="n">
        <v>0.32</v>
      </c>
      <c r="C9" t="n">
        <v>1.48</v>
      </c>
      <c r="D9" t="n">
        <v>1</v>
      </c>
      <c r="E9" t="n">
        <v>5.3</v>
      </c>
      <c r="F9" t="n">
        <v>5.39</v>
      </c>
      <c r="G9" t="n">
        <v>5.18</v>
      </c>
      <c r="H9" t="n">
        <v>10.64</v>
      </c>
      <c r="I9" t="n">
        <v>11.32</v>
      </c>
      <c r="J9" t="n">
        <v>11.32</v>
      </c>
      <c r="K9" t="inlineStr"/>
      <c r="L9" t="inlineStr"/>
      <c r="M9" t="inlineStr"/>
    </row>
    <row r="10">
      <c r="A10" t="inlineStr">
        <is>
          <t>Bailey's</t>
        </is>
      </c>
      <c r="B10" t="n">
        <v>0.28</v>
      </c>
      <c r="C10" t="n">
        <v>0.48</v>
      </c>
      <c r="D10" t="n">
        <v>0.16</v>
      </c>
      <c r="E10" t="n">
        <v>0</v>
      </c>
      <c r="F10" t="n">
        <v>6.86</v>
      </c>
      <c r="G10" t="n">
        <v>7.5</v>
      </c>
      <c r="H10" t="n">
        <v>0</v>
      </c>
      <c r="I10" t="n">
        <v>0</v>
      </c>
      <c r="J10" t="n">
        <v>0</v>
      </c>
      <c r="K10" t="inlineStr"/>
      <c r="L10" t="inlineStr"/>
      <c r="M10" t="inlineStr"/>
    </row>
    <row r="11">
      <c r="A11" t="inlineStr">
        <is>
          <t>Grand Marnier</t>
        </is>
      </c>
      <c r="B11" t="n">
        <v>3.18</v>
      </c>
      <c r="C11" t="n">
        <v>2.48</v>
      </c>
      <c r="D11" t="n">
        <v>1.76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2.8</v>
      </c>
      <c r="L11" t="n">
        <v>1.4</v>
      </c>
      <c r="M11" t="n">
        <v>6.3</v>
      </c>
    </row>
    <row r="12">
      <c r="A12" t="inlineStr">
        <is>
          <t>Marc bourgogne</t>
        </is>
      </c>
      <c r="B12" t="n">
        <v>0</v>
      </c>
      <c r="C12" t="n">
        <v>0</v>
      </c>
      <c r="D12" t="n">
        <v>0</v>
      </c>
      <c r="E12" t="n">
        <v>5.3</v>
      </c>
      <c r="F12" t="n">
        <v>0.28</v>
      </c>
      <c r="G12" t="n">
        <v>0</v>
      </c>
      <c r="H12" t="n">
        <v>0</v>
      </c>
      <c r="I12" t="n">
        <v>0</v>
      </c>
      <c r="J12" t="n">
        <v>0</v>
      </c>
      <c r="K12" t="inlineStr"/>
      <c r="L12" t="inlineStr"/>
      <c r="M12" t="inlineStr"/>
    </row>
    <row r="13">
      <c r="A13" t="inlineStr">
        <is>
          <t>Liqueur poire</t>
        </is>
      </c>
      <c r="B13" t="n">
        <v>0</v>
      </c>
      <c r="C13" t="n">
        <v>0</v>
      </c>
      <c r="D13" t="n">
        <v>0</v>
      </c>
      <c r="E13" t="n">
        <v>0</v>
      </c>
      <c r="F13" t="n">
        <v>1.75</v>
      </c>
      <c r="G13" t="n">
        <v>2.32</v>
      </c>
      <c r="H13" t="n">
        <v>0</v>
      </c>
      <c r="I13" t="n">
        <v>0</v>
      </c>
      <c r="J13" t="n">
        <v>0</v>
      </c>
      <c r="K13" t="inlineStr"/>
      <c r="L13" t="inlineStr"/>
      <c r="M13" t="inlineStr"/>
    </row>
    <row r="15">
      <c r="A15" t="inlineStr">
        <is>
          <t>Marc de Bourgogne : plafond specifique de 210 cl sortis du stock sur 3 exercices (280 cl factures, code 550252, moins 1 bouteille inventoriee au 31/03/2025). Voir onglet Calcul, ligne Marc.</t>
        </is>
      </c>
    </row>
    <row r="16">
      <c r="A16" t="inlineStr">
        <is>
          <t>Ravelin : le service retranche la part cuisine du volume unique des BIB sur les TROIS exercices ; l'annexe 7-1 (p.51) porte le ravelin sur l'exercice 1 (25 bouteilles, 1 875 cl ; ligne 'Fondue Jurassienne 372 x 10 = 3 720'). La premisse 'ex1 = 0 retranche' est donc fausse : supplement ravelin = 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Calcul par FORMULE du supplement a la carte (hors menus), exercice par exercice, planche a zero.</t>
        </is>
      </c>
    </row>
    <row r="3">
      <c r="A3" s="2" t="inlineStr">
        <is>
          <t>Alcool</t>
        </is>
      </c>
      <c r="B3" s="2" t="inlineStr">
        <is>
          <t>Demande totale ex1 (carte+menus)</t>
        </is>
      </c>
      <c r="C3" s="2" t="inlineStr">
        <is>
          <t>ex2</t>
        </is>
      </c>
      <c r="D3" s="2" t="inlineStr">
        <is>
          <t>ex3</t>
        </is>
      </c>
      <c r="E3" s="2" t="inlineStr">
        <is>
          <t>Demande effective (plafonnee) ex1</t>
        </is>
      </c>
      <c r="F3" s="2" t="inlineStr">
        <is>
          <t>ex2</t>
        </is>
      </c>
      <c r="G3" s="2" t="inlineStr">
        <is>
          <t>ex3</t>
        </is>
      </c>
      <c r="H3" s="2" t="inlineStr">
        <is>
          <t>Supplement ex1 =MAX(0,eff-retranche)</t>
        </is>
      </c>
      <c r="I3" s="2" t="inlineStr">
        <is>
          <t>ex2</t>
        </is>
      </c>
      <c r="J3" s="2" t="inlineStr">
        <is>
          <t>ex3</t>
        </is>
      </c>
      <c r="K3" s="2" t="inlineStr">
        <is>
          <t>Supplement 3 ans</t>
        </is>
      </c>
      <c r="L3" s="2" t="inlineStr">
        <is>
          <t>Part MENUS (hors perimetre de cette page)</t>
        </is>
      </c>
      <c r="M3" s="2" t="inlineStr">
        <is>
          <t>Supplement A LA CARTE (cette page)</t>
        </is>
      </c>
      <c r="O3" t="inlineStr">
        <is>
          <t>menus-supp ex1</t>
        </is>
      </c>
      <c r="P3" t="inlineStr">
        <is>
          <t>ex2</t>
        </is>
      </c>
      <c r="Q3" t="inlineStr">
        <is>
          <t>ex3</t>
        </is>
      </c>
    </row>
    <row r="4">
      <c r="A4" t="inlineStr">
        <is>
          <t>Ravelin</t>
        </is>
      </c>
      <c r="B4">
        <f>Sources!B4+Sources!E4</f>
        <v/>
      </c>
      <c r="C4">
        <f>Sources!C4+Sources!F4</f>
        <v/>
      </c>
      <c r="D4">
        <f>Sources!D4+Sources!G4</f>
        <v/>
      </c>
      <c r="E4">
        <f>B4</f>
        <v/>
      </c>
      <c r="F4">
        <f>C4</f>
        <v/>
      </c>
      <c r="G4">
        <f>D4</f>
        <v/>
      </c>
      <c r="H4">
        <f>MAX(0,E4-Sources!H4)</f>
        <v/>
      </c>
      <c r="I4">
        <f>MAX(0,F4-Sources!I4)</f>
        <v/>
      </c>
      <c r="J4">
        <f>MAX(0,G4-Sources!J4)</f>
        <v/>
      </c>
      <c r="K4">
        <f>SUM(H4:J4)</f>
        <v/>
      </c>
      <c r="L4">
        <f>SUM(O4:Q4)</f>
        <v/>
      </c>
      <c r="M4">
        <f>K4-L4</f>
        <v/>
      </c>
      <c r="O4">
        <f>MIN(MAX(0,Sources!E4-Sources!H4),H4)</f>
        <v/>
      </c>
      <c r="P4">
        <f>MIN(MAX(0,Sources!F4-Sources!I4),I4)</f>
        <v/>
      </c>
      <c r="Q4">
        <f>MIN(MAX(0,Sources!G4-Sources!J4),J4)</f>
        <v/>
      </c>
    </row>
    <row r="5">
      <c r="A5" t="inlineStr">
        <is>
          <t>Macvin</t>
        </is>
      </c>
      <c r="B5">
        <f>Sources!B5+Sources!E5</f>
        <v/>
      </c>
      <c r="C5">
        <f>Sources!C5+Sources!F5</f>
        <v/>
      </c>
      <c r="D5">
        <f>Sources!D5+Sources!G5</f>
        <v/>
      </c>
      <c r="E5">
        <f>B5</f>
        <v/>
      </c>
      <c r="F5">
        <f>C5</f>
        <v/>
      </c>
      <c r="G5">
        <f>D5</f>
        <v/>
      </c>
      <c r="H5">
        <f>MAX(0,E5-Sources!H5)</f>
        <v/>
      </c>
      <c r="I5">
        <f>MAX(0,F5-Sources!I5)</f>
        <v/>
      </c>
      <c r="J5">
        <f>MAX(0,G5-Sources!J5)</f>
        <v/>
      </c>
      <c r="K5">
        <f>SUM(H5:J5)</f>
        <v/>
      </c>
      <c r="L5">
        <f>SUM(O5:Q5)</f>
        <v/>
      </c>
      <c r="M5">
        <f>K5-L5</f>
        <v/>
      </c>
      <c r="O5">
        <f>MIN(MAX(0,Sources!E5-Sources!H5),H5)</f>
        <v/>
      </c>
      <c r="P5">
        <f>MIN(MAX(0,Sources!F5-Sources!I5),I5)</f>
        <v/>
      </c>
      <c r="Q5">
        <f>MIN(MAX(0,Sources!G5-Sources!J5),J5)</f>
        <v/>
      </c>
    </row>
    <row r="6">
      <c r="A6" t="inlineStr">
        <is>
          <t>Vin jaune</t>
        </is>
      </c>
      <c r="B6">
        <f>Sources!B6+Sources!E6</f>
        <v/>
      </c>
      <c r="C6">
        <f>Sources!C6+Sources!F6</f>
        <v/>
      </c>
      <c r="D6">
        <f>Sources!D6+Sources!G6</f>
        <v/>
      </c>
      <c r="E6">
        <f>B6</f>
        <v/>
      </c>
      <c r="F6">
        <f>C6</f>
        <v/>
      </c>
      <c r="G6">
        <f>D6</f>
        <v/>
      </c>
      <c r="H6">
        <f>MAX(0,E6-Sources!H6)</f>
        <v/>
      </c>
      <c r="I6">
        <f>MAX(0,F6-Sources!I6)</f>
        <v/>
      </c>
      <c r="J6">
        <f>MAX(0,G6-Sources!J6)</f>
        <v/>
      </c>
      <c r="K6">
        <f>SUM(H6:J6)</f>
        <v/>
      </c>
      <c r="L6">
        <f>SUM(O6:Q6)</f>
        <v/>
      </c>
      <c r="M6">
        <f>K6-L6</f>
        <v/>
      </c>
      <c r="O6">
        <f>MIN(MAX(0,Sources!E6-Sources!H6),H6)</f>
        <v/>
      </c>
      <c r="P6">
        <f>MIN(MAX(0,Sources!F6-Sources!I6),I6)</f>
        <v/>
      </c>
      <c r="Q6">
        <f>MIN(MAX(0,Sources!G6-Sources!J6),J6)</f>
        <v/>
      </c>
    </row>
    <row r="7">
      <c r="A7" t="inlineStr">
        <is>
          <t>Calvados</t>
        </is>
      </c>
      <c r="B7">
        <f>Sources!B7+Sources!E7</f>
        <v/>
      </c>
      <c r="C7">
        <f>Sources!C7+Sources!F7</f>
        <v/>
      </c>
      <c r="D7">
        <f>Sources!D7+Sources!G7</f>
        <v/>
      </c>
      <c r="E7">
        <f>MIN(B7,Sources!K7)</f>
        <v/>
      </c>
      <c r="F7">
        <f>MIN(C7,Sources!L7)</f>
        <v/>
      </c>
      <c r="G7">
        <f>MIN(D7,Sources!M7)</f>
        <v/>
      </c>
      <c r="H7">
        <f>MAX(0,E7-Sources!H7)</f>
        <v/>
      </c>
      <c r="I7">
        <f>MAX(0,F7-Sources!I7)</f>
        <v/>
      </c>
      <c r="J7">
        <f>MAX(0,G7-Sources!J7)</f>
        <v/>
      </c>
      <c r="K7">
        <f>SUM(H7:J7)</f>
        <v/>
      </c>
      <c r="L7">
        <f>SUM(O7:Q7)</f>
        <v/>
      </c>
      <c r="M7">
        <f>K7-L7</f>
        <v/>
      </c>
      <c r="O7">
        <f>MIN(MAX(0,Sources!E7-Sources!H7),H7)</f>
        <v/>
      </c>
      <c r="P7">
        <f>MIN(MAX(0,Sources!F7-Sources!I7),I7)</f>
        <v/>
      </c>
      <c r="Q7">
        <f>MIN(MAX(0,Sources!G7-Sources!J7),J7)</f>
        <v/>
      </c>
    </row>
    <row r="8">
      <c r="A8" t="inlineStr">
        <is>
          <t>Porto</t>
        </is>
      </c>
      <c r="B8">
        <f>Sources!B8+Sources!E8</f>
        <v/>
      </c>
      <c r="C8">
        <f>Sources!C8+Sources!F8</f>
        <v/>
      </c>
      <c r="D8">
        <f>Sources!D8+Sources!G8</f>
        <v/>
      </c>
      <c r="E8">
        <f>MIN(B8,Sources!K8)</f>
        <v/>
      </c>
      <c r="F8">
        <f>MIN(C8,Sources!L8)</f>
        <v/>
      </c>
      <c r="G8">
        <f>MIN(D8,Sources!M8)</f>
        <v/>
      </c>
      <c r="H8">
        <f>MAX(0,E8-Sources!H8)</f>
        <v/>
      </c>
      <c r="I8">
        <f>MAX(0,F8-Sources!I8)</f>
        <v/>
      </c>
      <c r="J8">
        <f>MAX(0,G8-Sources!J8)</f>
        <v/>
      </c>
      <c r="K8">
        <f>SUM(H8:J8)</f>
        <v/>
      </c>
      <c r="L8">
        <f>SUM(O8:Q8)</f>
        <v/>
      </c>
      <c r="M8">
        <f>K8-L8</f>
        <v/>
      </c>
      <c r="O8">
        <f>MIN(MAX(0,Sources!E8-Sources!H8),H8)</f>
        <v/>
      </c>
      <c r="P8">
        <f>MIN(MAX(0,Sources!F8-Sources!I8),I8)</f>
        <v/>
      </c>
      <c r="Q8">
        <f>MIN(MAX(0,Sources!G8-Sources!J8),J8)</f>
        <v/>
      </c>
    </row>
    <row r="9">
      <c r="A9" t="inlineStr">
        <is>
          <t>Creme cassis</t>
        </is>
      </c>
      <c r="B9">
        <f>Sources!B9+Sources!E9</f>
        <v/>
      </c>
      <c r="C9">
        <f>Sources!C9+Sources!F9</f>
        <v/>
      </c>
      <c r="D9">
        <f>Sources!D9+Sources!G9</f>
        <v/>
      </c>
      <c r="E9">
        <f>B9</f>
        <v/>
      </c>
      <c r="F9">
        <f>C9</f>
        <v/>
      </c>
      <c r="G9">
        <f>D9</f>
        <v/>
      </c>
      <c r="H9">
        <f>MAX(0,E9-Sources!H9)</f>
        <v/>
      </c>
      <c r="I9">
        <f>MAX(0,F9-Sources!I9)</f>
        <v/>
      </c>
      <c r="J9">
        <f>MAX(0,G9-Sources!J9)</f>
        <v/>
      </c>
      <c r="K9">
        <f>SUM(H9:J9)</f>
        <v/>
      </c>
      <c r="L9">
        <f>SUM(O9:Q9)</f>
        <v/>
      </c>
      <c r="M9">
        <f>K9-L9</f>
        <v/>
      </c>
      <c r="O9">
        <f>MIN(MAX(0,Sources!E9-Sources!H9),H9)</f>
        <v/>
      </c>
      <c r="P9">
        <f>MIN(MAX(0,Sources!F9-Sources!I9),I9)</f>
        <v/>
      </c>
      <c r="Q9">
        <f>MIN(MAX(0,Sources!G9-Sources!J9),J9)</f>
        <v/>
      </c>
    </row>
    <row r="10">
      <c r="A10" t="inlineStr">
        <is>
          <t>Bailey's</t>
        </is>
      </c>
      <c r="B10">
        <f>Sources!B10+Sources!E10</f>
        <v/>
      </c>
      <c r="C10">
        <f>Sources!C10+Sources!F10</f>
        <v/>
      </c>
      <c r="D10">
        <f>Sources!D10+Sources!G10</f>
        <v/>
      </c>
      <c r="E10">
        <f>B10</f>
        <v/>
      </c>
      <c r="F10">
        <f>C10</f>
        <v/>
      </c>
      <c r="G10">
        <f>D10</f>
        <v/>
      </c>
      <c r="H10">
        <f>MAX(0,E10-Sources!H10)</f>
        <v/>
      </c>
      <c r="I10">
        <f>MAX(0,F10-Sources!I10)</f>
        <v/>
      </c>
      <c r="J10">
        <f>MAX(0,G10-Sources!J10)</f>
        <v/>
      </c>
      <c r="K10">
        <f>SUM(H10:J10)</f>
        <v/>
      </c>
      <c r="L10">
        <f>SUM(O10:Q10)</f>
        <v/>
      </c>
      <c r="M10">
        <f>K10-L10</f>
        <v/>
      </c>
      <c r="O10">
        <f>MIN(MAX(0,Sources!E10-Sources!H10),H10)</f>
        <v/>
      </c>
      <c r="P10">
        <f>MIN(MAX(0,Sources!F10-Sources!I10),I10)</f>
        <v/>
      </c>
      <c r="Q10">
        <f>MIN(MAX(0,Sources!G10-Sources!J10),J10)</f>
        <v/>
      </c>
    </row>
    <row r="11">
      <c r="A11" t="inlineStr">
        <is>
          <t>Grand Marnier</t>
        </is>
      </c>
      <c r="B11">
        <f>Sources!B11+Sources!E11</f>
        <v/>
      </c>
      <c r="C11">
        <f>Sources!C11+Sources!F11</f>
        <v/>
      </c>
      <c r="D11">
        <f>Sources!D11+Sources!G11</f>
        <v/>
      </c>
      <c r="E11">
        <f>MIN(B11,Sources!K11)</f>
        <v/>
      </c>
      <c r="F11">
        <f>MIN(C11,Sources!L11)</f>
        <v/>
      </c>
      <c r="G11">
        <f>MIN(D11,Sources!M11)</f>
        <v/>
      </c>
      <c r="H11">
        <f>MAX(0,E11-Sources!H11)</f>
        <v/>
      </c>
      <c r="I11">
        <f>MAX(0,F11-Sources!I11)</f>
        <v/>
      </c>
      <c r="J11">
        <f>MAX(0,G11-Sources!J11)</f>
        <v/>
      </c>
      <c r="K11">
        <f>SUM(H11:J11)</f>
        <v/>
      </c>
      <c r="L11">
        <f>SUM(O11:Q11)</f>
        <v/>
      </c>
      <c r="M11">
        <f>K11-L11</f>
        <v/>
      </c>
      <c r="O11">
        <f>MIN(MAX(0,Sources!E11-Sources!H11),H11)</f>
        <v/>
      </c>
      <c r="P11">
        <f>MIN(MAX(0,Sources!F11-Sources!I11),I11)</f>
        <v/>
      </c>
      <c r="Q11">
        <f>MIN(MAX(0,Sources!G11-Sources!J11),J11)</f>
        <v/>
      </c>
    </row>
    <row r="12">
      <c r="A12" t="inlineStr">
        <is>
          <t>Marc bourgogne</t>
        </is>
      </c>
      <c r="B12">
        <f>Sources!B12+Sources!E12</f>
        <v/>
      </c>
      <c r="C12">
        <f>Sources!C12+Sources!F12</f>
        <v/>
      </c>
      <c r="D12">
        <f>Sources!D12+Sources!G12</f>
        <v/>
      </c>
      <c r="E12">
        <f>B12</f>
        <v/>
      </c>
      <c r="F12">
        <f>C12</f>
        <v/>
      </c>
      <c r="G12">
        <f>D12</f>
        <v/>
      </c>
      <c r="H12">
        <f>MAX(0,E12-Sources!H12)</f>
        <v/>
      </c>
      <c r="I12">
        <f>MAX(0,F12-Sources!I12)</f>
        <v/>
      </c>
      <c r="J12">
        <f>MAX(0,G12-Sources!J12)</f>
        <v/>
      </c>
      <c r="K12">
        <f>2.10</f>
        <v/>
      </c>
      <c r="L12">
        <f>2.10</f>
        <v/>
      </c>
      <c r="M12">
        <f>0</f>
        <v/>
      </c>
      <c r="O12">
        <f>MIN(MAX(0,Sources!E12-Sources!H12),H12)</f>
        <v/>
      </c>
      <c r="P12">
        <f>MIN(MAX(0,Sources!F12-Sources!I12),I12)</f>
        <v/>
      </c>
      <c r="Q12">
        <f>MIN(MAX(0,Sources!G12-Sources!J12),J12)</f>
        <v/>
      </c>
    </row>
    <row r="13">
      <c r="A13" t="inlineStr">
        <is>
          <t>Liqueur poire</t>
        </is>
      </c>
      <c r="B13">
        <f>Sources!B13+Sources!E13</f>
        <v/>
      </c>
      <c r="C13">
        <f>Sources!C13+Sources!F13</f>
        <v/>
      </c>
      <c r="D13">
        <f>Sources!D13+Sources!G13</f>
        <v/>
      </c>
      <c r="E13">
        <f>B13</f>
        <v/>
      </c>
      <c r="F13">
        <f>C13</f>
        <v/>
      </c>
      <c r="G13">
        <f>D13</f>
        <v/>
      </c>
      <c r="H13">
        <f>MAX(0,E13-Sources!H13)</f>
        <v/>
      </c>
      <c r="I13">
        <f>MAX(0,F13-Sources!I13)</f>
        <v/>
      </c>
      <c r="J13">
        <f>MAX(0,G13-Sources!J13)</f>
        <v/>
      </c>
      <c r="K13">
        <f>SUM(H13:J13)</f>
        <v/>
      </c>
      <c r="L13">
        <f>SUM(O13:Q13)</f>
        <v/>
      </c>
      <c r="M13">
        <f>K13-L13</f>
        <v/>
      </c>
      <c r="O13">
        <f>MIN(MAX(0,Sources!E13-Sources!H13),H13)</f>
        <v/>
      </c>
      <c r="P13">
        <f>MIN(MAX(0,Sources!F13-Sources!I13),I13)</f>
        <v/>
      </c>
      <c r="Q13">
        <f>MIN(MAX(0,Sources!G13-Sources!J13),J13)</f>
        <v/>
      </c>
    </row>
    <row r="14">
      <c r="A14" s="3" t="inlineStr">
        <is>
          <t>TOTAL</t>
        </is>
      </c>
      <c r="K14" s="3">
        <f>SUM(K4:K13)</f>
        <v/>
      </c>
      <c r="L14" s="3">
        <f>SUM(L4:L13)</f>
        <v/>
      </c>
      <c r="M14" s="3">
        <f>SUM(M4:M13)</f>
        <v/>
      </c>
    </row>
    <row r="16">
      <c r="A16" t="inlineStr">
        <is>
          <t>La colonne M (supplement A LA CARTE) est le perimetre de cette page. La colonne L (part menus) est traitee dans R2-alcool-plats-menus.xlsx : elle est EXCLUE d'ici pour eviter tout double comptage.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Conversion litres -&gt; euros de CA liquides reconstitue (TTC). Prix de vente au verre : ANNEXE-B1_prix-vente-quantite_2022-2023.xls (exercice 2022-2023).</t>
        </is>
      </c>
    </row>
    <row r="3">
      <c r="A3" s="2" t="inlineStr">
        <is>
          <t>Alcool (supplement a la carte)</t>
        </is>
      </c>
      <c r="B3" s="2" t="inlineStr">
        <is>
          <t>Litres</t>
        </is>
      </c>
      <c r="C3" s="2" t="inlineStr">
        <is>
          <t>cl/verre</t>
        </is>
      </c>
      <c r="D3" s="2" t="inlineStr">
        <is>
          <t>Prix verre TTC (B1)</t>
        </is>
      </c>
      <c r="E3" s="2" t="inlineStr">
        <is>
          <t>Prix au cl =prix/cl</t>
        </is>
      </c>
      <c r="F3" s="2" t="inlineStr">
        <is>
          <t>CA liquides TTC =litres*100*prix_cl</t>
        </is>
      </c>
    </row>
    <row r="4">
      <c r="A4" t="inlineStr">
        <is>
          <t>Vin jaune</t>
        </is>
      </c>
      <c r="B4" t="n">
        <v>12.9</v>
      </c>
      <c r="C4" t="n">
        <v>12</v>
      </c>
      <c r="D4" t="n">
        <v>12</v>
      </c>
      <c r="E4">
        <f>D4/C4</f>
        <v/>
      </c>
      <c r="F4">
        <f>B4*100*E4</f>
        <v/>
      </c>
    </row>
    <row r="5">
      <c r="A5" t="inlineStr">
        <is>
          <t>Porto</t>
        </is>
      </c>
      <c r="B5" t="n">
        <v>52.9</v>
      </c>
      <c r="C5" t="n">
        <v>6</v>
      </c>
      <c r="D5" t="n">
        <v>4.2</v>
      </c>
      <c r="E5">
        <f>D5/C5</f>
        <v/>
      </c>
      <c r="F5">
        <f>B5*100*E5</f>
        <v/>
      </c>
    </row>
    <row r="6">
      <c r="A6" t="inlineStr">
        <is>
          <t>Bailey's (IVRESSE)</t>
        </is>
      </c>
      <c r="B6" t="n">
        <v>0.92</v>
      </c>
      <c r="C6" t="n">
        <v>4</v>
      </c>
      <c r="D6" t="n">
        <v>5.2</v>
      </c>
      <c r="E6">
        <f>D6/C6</f>
        <v/>
      </c>
      <c r="F6">
        <f>B6*100*E6</f>
        <v/>
      </c>
    </row>
    <row r="7">
      <c r="A7" s="3" t="inlineStr">
        <is>
          <t>Grand Marnier</t>
        </is>
      </c>
      <c r="B7" t="n">
        <v>5.96</v>
      </c>
      <c r="D7" t="inlineStr">
        <is>
          <t>prix de vente au verre absent de l'annexe B1 : effet euro non chiffre (limite)</t>
        </is>
      </c>
    </row>
    <row r="8">
      <c r="A8" s="3" t="inlineStr">
        <is>
          <t>TOTAL CA liquides TTC (hors Grand Marnier)</t>
        </is>
      </c>
      <c r="F8" s="3">
        <f>SUM(F4:F6)</f>
        <v/>
      </c>
    </row>
    <row r="10">
      <c r="A10" t="inlineStr">
        <is>
          <t>Ce montant est l'effet sur le CA LIQUIDES reconstitue (TTC), avant application du coefficient liquides/solides et de la TVA par le service. Son exactitude par exercice suppose la communication des annexes 7-1 a 7-3 (prix unitaire reellement applique) et des annexes B des exercices 2023-2024 et 2024-2025, absentes du dossier.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METHODE - R2-alcool-cuisine (cuisine A LA CARTE, hors menus)</t>
        </is>
      </c>
    </row>
    <row r="2">
      <c r="A2" t="inlineStr"/>
    </row>
    <row r="3">
      <c r="A3" t="inlineStr">
        <is>
          <t>PERIMETRE. Cette page ne porte QUE l'alcool cuit dans les plats vendus A LA CARTE. L'alcool cuit dans les plats des MENUS au forfait est traite dans R2-alcool-plats-menus.xlsx. Les deux perimetres sont disjoints et s'additionnent, sans recouvrement.</t>
        </is>
      </c>
    </row>
    <row r="4">
      <c r="A4" t="inlineStr"/>
    </row>
    <row r="5">
      <c r="A5" t="inlineStr">
        <is>
          <t>ETAPE 1 - Demande. Pour chaque alcool et chaque exercice, demande = volume carte + volume menus (onglet Sources), chaque terme = nombre de plats vendus en caisse (ANNEXE-D / C) x dose du courriel des dirigeants du 30/03/2026.</t>
        </is>
      </c>
    </row>
    <row r="6">
      <c r="A6" t="inlineStr">
        <is>
          <t>ETAPE 2 - Plafonnement. La demande effective est plafonnee aux achats factures (code article, fournisseur FCBS) lorsque la demande les depasse : Calvados, Porto (ex1), Grand Marnier. Marc de Bourgogne : plafond global 210 cl sortis du stock.</t>
        </is>
      </c>
    </row>
    <row r="7">
      <c r="A7" t="inlineStr">
        <is>
          <t>ETAPE 3 - Supplement = MAX(0 ; demande effective - deja retranche par le service), calcule EXERCICE PAR EXERCICE et planche a zero (un litre retranche sur un exercice ne neutralise pas un litre cuit sur un autre : les bases sont etablies exercice par exercice).</t>
        </is>
      </c>
    </row>
    <row r="8">
      <c r="A8" t="inlineStr">
        <is>
          <t>ETAPE 4 - Separation carte / menus. La part MENUS du supplement (colonne L de l'onglet Calcul) est exclue de cette page et reportee dans R2-alcool-plats-menus.xlsx. Il reste la part A LA CARTE (colonne M).</t>
        </is>
      </c>
    </row>
    <row r="9">
      <c r="A9" t="inlineStr"/>
    </row>
    <row r="10">
      <c r="A10" t="inlineStr">
        <is>
          <t>RESULTAT (onglet Calcul, colonne M) : Vin jaune 12,90 + Porto 52,90 + Bailey's (carte, IVRESSE) 0,92 + Grand Marnier 5,96 = 72,68 L.</t>
        </is>
      </c>
    </row>
    <row r="11">
      <c r="A11" t="inlineStr"/>
    </row>
    <row r="12">
      <c r="A12" t="inlineStr">
        <is>
          <t>RAVELIN = 0. Le service declare avoir retranche 796,43 L de ravelin (480,43 L 'cuisine' + 316 L 'kirs'), dont la part cuisine sur les trois exercices. L'annexe 7-1 (p.51) etablit que le ravelin figure bien dans le volume unique des BIB de l'exercice 1 (25 bouteilles, 1 875 cl) et que le service y retranche la 'Fondue Jurassienne 372 x 10 = 3 720'. La premisse 'nulle sur l'exercice 1' qui soutenait l'ancien chiffre de 76,7 L est donc fausse : le supplement ravelin est nul sur les trois exercices.</t>
        </is>
      </c>
    </row>
    <row r="13">
      <c r="A13" t="inlineStr">
        <is>
          <t>MACVIN = 0, CALVADOS = 0, CREME DE CASSIS = 0 : le service en retranche deja, exercice par exercice, davantage que le volume cuit (reperes Q, D et part desserts des cremes).</t>
        </is>
      </c>
    </row>
    <row r="14">
      <c r="A14" t="inlineStr"/>
    </row>
    <row r="15">
      <c r="A15" t="inlineStr">
        <is>
          <t>DOSES - FOURCHETTES. Le courriel du 30/03/2026 donne une fourchette pour deux postes : fondue '9 ou 10 cl', plats flambes 'environ 4 a 5 cl'. On retient la valeur que LE SERVICE retient lui-meme : 10 cl pour la fondue (en-tete repere E, p.66), 4 cl pour le Calvados (repere D) ; pour le Macvin le service a retenu 5 cl (ex1 et ex2) puis 4 cl (ex3). Ces fourchettes sont sans effet sur le supplement de cette page : ravelin, macvin et calvados ont un supplement nul ; seul le vin jaune des fondues subsiste, a 10 cl = la valeur du service.</t>
        </is>
      </c>
    </row>
    <row r="16">
      <c r="A16" t="inlineStr">
        <is>
          <t>MACVIN 5 cl : contrairement a l'ancienne redaction ('4 cl partout, sans exception'), le service applique 5 cl au macvin cuisine sur les exercices 1 et 2 (repere Q, annexe 7). Cela AUGMENTE ce qu'il retranche (240 L), donc le supplement macvin reste nul : le point joue en notre faveur.</t>
        </is>
      </c>
    </row>
    <row r="17">
      <c r="A17" t="inlineStr"/>
    </row>
    <row r="18">
      <c r="A18" t="inlineStr">
        <is>
          <t>EUROS (onglet Euros). Effet sur le CA liquides reconstitue (TTC) = litres x 100 x (prix du verre / cl du verre), prix lus dans l'annexe B1 (2022-2023). Grand Marnier non chiffre faute de prix de vente au verre dans B1.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2026-10-25T19:15:07Z</dcterms:created>
  <dcterms:modified xmlns:dcterms="http://purl.org/dc/terms/" xmlns:xsi="http://www.w3.org/2001/XMLSchema-instance" xsi:type="dcterms:W3CDTF">2026-10-25T19:15:07Z</dcterms:modified>
</cp:coreProperties>
</file>