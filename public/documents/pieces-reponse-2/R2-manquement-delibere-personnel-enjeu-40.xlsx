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Calcul" sheetId="2" state="visible" r:id="rId2"/>
    <sheet xmlns:r="http://schemas.openxmlformats.org/officeDocument/2006/relationships" name="Méth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 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b val="1"/>
      <color rgb="008A1C1C"/>
    </font>
  </fonts>
  <fills count="3">
    <fill>
      <patternFill/>
    </fill>
    <fill>
      <patternFill patternType="gray125"/>
    </fill>
    <fill>
      <patternFill patternType="solid">
        <fgColor rgb="002F5B5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3" fillId="0" borderId="0" pivotButton="0" quotePrefix="0" xfId="0"/>
    <xf numFmtId="3" fontId="3" fillId="0" borderId="0" applyAlignment="1" pivotButton="0" quotePrefix="0" xfId="0">
      <alignment horizontal="right"/>
    </xf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4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Sources — proposition de rectification 3924, SARL LA DEMI-LUNE (éditée le 18/05/2026)</t>
        </is>
      </c>
    </row>
    <row r="3" ht="42" customHeight="1">
      <c r="A3" s="2" t="inlineStr">
        <is>
          <t>Toutes les valeurs ci-dessous sont recopiées des tableaux récapitulatifs IS (pages 59-62) et TVA (pages 63-65) de la proposition société, ainsi que des discordances TTC page 58. Aucune valeur n'est estimée.</t>
        </is>
      </c>
    </row>
    <row r="5">
      <c r="A5" s="3" t="inlineStr">
        <is>
          <t>Grandeur (source page)</t>
        </is>
      </c>
      <c r="B5" s="3" t="inlineStr">
        <is>
          <t>Base / assiette</t>
        </is>
      </c>
      <c r="C5" s="3" t="inlineStr">
        <is>
          <t>Clos 31/03/2023</t>
        </is>
      </c>
      <c r="D5" s="3" t="inlineStr">
        <is>
          <t>Clos 31/03/2024</t>
        </is>
      </c>
      <c r="E5" s="3" t="inlineStr">
        <is>
          <t>Clos 31/03/2025</t>
        </is>
      </c>
    </row>
    <row r="6">
      <c r="A6" s="4" t="inlineStr">
        <is>
          <t>IS supplémentaire — variation (p. 60)</t>
        </is>
      </c>
      <c r="B6" s="4" t="inlineStr">
        <is>
          <t>Droits IS pénalisables</t>
        </is>
      </c>
      <c r="C6" s="5" t="n">
        <v>42908</v>
      </c>
      <c r="D6" s="5" t="n">
        <v>27120</v>
      </c>
      <c r="E6" s="5" t="n">
        <v>27482</v>
      </c>
    </row>
    <row r="7">
      <c r="A7" s="4" t="inlineStr">
        <is>
          <t>TVA — droits éludés / pénalisables (p. 63-65)</t>
        </is>
      </c>
      <c r="B7" s="4" t="inlineStr">
        <is>
          <t>Droits TVA pénalisables</t>
        </is>
      </c>
      <c r="C7" s="5" t="n">
        <v>20041</v>
      </c>
      <c r="D7" s="5" t="n">
        <v>14854</v>
      </c>
      <c r="E7" s="5" t="n">
        <v>14652</v>
      </c>
    </row>
    <row r="8">
      <c r="A8" s="4" t="inlineStr">
        <is>
          <t>Majoration 1729 (40 %) IS retenue par le service (p. 61-62)</t>
        </is>
      </c>
      <c r="B8" s="4" t="inlineStr">
        <is>
          <t>Montant notifié</t>
        </is>
      </c>
      <c r="C8" s="5" t="n">
        <v>17163</v>
      </c>
      <c r="D8" s="5" t="n">
        <v>10848</v>
      </c>
      <c r="E8" s="5" t="n">
        <v>10993</v>
      </c>
    </row>
    <row r="9">
      <c r="A9" s="4" t="inlineStr">
        <is>
          <t>Majoration 1729 (40 %) TVA retenue par le service (p. 63-65)</t>
        </is>
      </c>
      <c r="B9" s="4" t="inlineStr">
        <is>
          <t>Montant notifié</t>
        </is>
      </c>
      <c r="C9" s="5" t="n">
        <v>8016</v>
      </c>
      <c r="D9" s="5" t="n">
        <v>5942</v>
      </c>
      <c r="E9" s="5" t="n">
        <v>5861</v>
      </c>
    </row>
    <row r="10">
      <c r="A10" s="4" t="inlineStr">
        <is>
          <t>Minorations / discordances TTC invoquées pour la « répétition » (p. 58)</t>
        </is>
      </c>
      <c r="B10" s="4" t="inlineStr">
        <is>
          <t>Assiette distincte</t>
        </is>
      </c>
      <c r="C10" s="6" t="n">
        <v>193234.55</v>
      </c>
      <c r="D10" s="6" t="n">
        <v>138863.57</v>
      </c>
      <c r="E10" s="6" t="n">
        <v>139727.76</v>
      </c>
    </row>
  </sheetData>
  <mergeCells count="2"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Calcul de l'enjeu de la majoration de 40 % (art. 1729) — par formule</t>
        </is>
      </c>
    </row>
    <row r="3">
      <c r="A3" s="3" t="inlineStr">
        <is>
          <t>Impôt / exercice</t>
        </is>
      </c>
      <c r="B3" s="3" t="inlineStr">
        <is>
          <t>Base pénalisable (Sources)</t>
        </is>
      </c>
      <c r="C3" s="3" t="inlineStr">
        <is>
          <t>Taux</t>
        </is>
      </c>
      <c r="D3" s="3" t="inlineStr">
        <is>
          <t>40 % recalculé</t>
        </is>
      </c>
      <c r="E3" s="3" t="inlineStr">
        <is>
          <t>40 % notifié par le service</t>
        </is>
      </c>
    </row>
    <row r="4">
      <c r="A4" s="7" t="inlineStr">
        <is>
          <t>IS — clos 31/03/2023</t>
        </is>
      </c>
      <c r="B4" s="5">
        <f>Sources!C6</f>
        <v/>
      </c>
      <c r="C4" s="8" t="n">
        <v>0.4</v>
      </c>
      <c r="D4" s="5">
        <f>ROUND(B4*C4,0)</f>
        <v/>
      </c>
      <c r="E4" s="5">
        <f>Sources!C8</f>
        <v/>
      </c>
    </row>
    <row r="5">
      <c r="A5" s="7" t="inlineStr">
        <is>
          <t>IS — clos 31/03/2024</t>
        </is>
      </c>
      <c r="B5" s="5">
        <f>Sources!D6</f>
        <v/>
      </c>
      <c r="C5" s="8" t="n">
        <v>0.4</v>
      </c>
      <c r="D5" s="5">
        <f>ROUND(B5*C5,0)</f>
        <v/>
      </c>
      <c r="E5" s="5">
        <f>Sources!D8</f>
        <v/>
      </c>
    </row>
    <row r="6">
      <c r="A6" s="7" t="inlineStr">
        <is>
          <t>IS — clos 31/03/2025</t>
        </is>
      </c>
      <c r="B6" s="5">
        <f>Sources!E6</f>
        <v/>
      </c>
      <c r="C6" s="8" t="n">
        <v>0.4</v>
      </c>
      <c r="D6" s="5">
        <f>ROUND(B6*C6,0)</f>
        <v/>
      </c>
      <c r="E6" s="5">
        <f>Sources!E8</f>
        <v/>
      </c>
    </row>
    <row r="7">
      <c r="A7" s="7" t="inlineStr">
        <is>
          <t>TVA — clos 31/03/2023</t>
        </is>
      </c>
      <c r="B7" s="5">
        <f>Sources!C7</f>
        <v/>
      </c>
      <c r="C7" s="8" t="n">
        <v>0.4</v>
      </c>
      <c r="D7" s="5">
        <f>ROUND(B7*C7,0)</f>
        <v/>
      </c>
      <c r="E7" s="5">
        <f>Sources!C9</f>
        <v/>
      </c>
    </row>
    <row r="8">
      <c r="A8" s="7" t="inlineStr">
        <is>
          <t>TVA — clos 31/03/2024</t>
        </is>
      </c>
      <c r="B8" s="5">
        <f>Sources!D7</f>
        <v/>
      </c>
      <c r="C8" s="8" t="n">
        <v>0.4</v>
      </c>
      <c r="D8" s="5">
        <f>ROUND(B8*C8,0)</f>
        <v/>
      </c>
      <c r="E8" s="5">
        <f>Sources!D9</f>
        <v/>
      </c>
    </row>
    <row r="9">
      <c r="A9" s="7" t="inlineStr">
        <is>
          <t>TVA — clos 31/03/2025</t>
        </is>
      </c>
      <c r="B9" s="5">
        <f>Sources!E7</f>
        <v/>
      </c>
      <c r="C9" s="8" t="n">
        <v>0.4</v>
      </c>
      <c r="D9" s="5">
        <f>ROUND(B9*C9,0)</f>
        <v/>
      </c>
      <c r="E9" s="5">
        <f>Sources!E9</f>
        <v/>
      </c>
    </row>
    <row r="10">
      <c r="A10" s="9" t="inlineStr">
        <is>
          <t>Total IS (40 %)</t>
        </is>
      </c>
      <c r="D10" s="10">
        <f>SUM(D4:D6)</f>
        <v/>
      </c>
      <c r="E10" s="10">
        <f>SUM(E4:E6)</f>
        <v/>
      </c>
    </row>
    <row r="11">
      <c r="A11" s="9" t="inlineStr">
        <is>
          <t>Total TVA (40 %)</t>
        </is>
      </c>
      <c r="D11" s="10">
        <f>SUM(D7:D9)</f>
        <v/>
      </c>
      <c r="E11" s="10">
        <f>SUM(E7:E9)</f>
        <v/>
      </c>
    </row>
    <row r="12">
      <c r="A12" s="11" t="inlineStr">
        <is>
          <t>ENJEU TOTAL de la majoration de 40 % (niveau société)</t>
        </is>
      </c>
      <c r="D12" s="12">
        <f>D10+D11</f>
        <v/>
      </c>
      <c r="E12" s="12">
        <f>E10+E11</f>
        <v/>
      </c>
    </row>
    <row r="14">
      <c r="A14" s="9" t="inlineStr">
        <is>
          <t>Pour mémoire — minorations TTC invoquées (assiette distincte, NON l'assiette du 40 %)</t>
        </is>
      </c>
    </row>
    <row r="15">
      <c r="A15" s="3" t="inlineStr">
        <is>
          <t>Exercice</t>
        </is>
      </c>
      <c r="B15" s="3" t="inlineStr">
        <is>
          <t>Minoration TTC (Sources p.58)</t>
        </is>
      </c>
    </row>
    <row r="16">
      <c r="A16" s="7" t="inlineStr">
        <is>
          <t>Clos 31/03/2023</t>
        </is>
      </c>
      <c r="B16" s="6">
        <f>Sources!C10</f>
        <v/>
      </c>
    </row>
    <row r="17">
      <c r="A17" s="7" t="inlineStr">
        <is>
          <t>Clos 31/03/2024</t>
        </is>
      </c>
      <c r="B17" s="6">
        <f>Sources!D10</f>
        <v/>
      </c>
    </row>
    <row r="18">
      <c r="A18" s="7" t="inlineStr">
        <is>
          <t>Clos 31/03/2025</t>
        </is>
      </c>
      <c r="B18" s="6">
        <f>Sources!E10</f>
        <v/>
      </c>
    </row>
    <row r="19">
      <c r="A19" s="9" t="inlineStr">
        <is>
          <t>Total minorations 3 exercices</t>
        </is>
      </c>
      <c r="B19" s="13">
        <f>SUM(B16:B18)</f>
        <v/>
      </c>
    </row>
  </sheetData>
  <mergeCells count="2">
    <mergeCell ref="A1:E1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Méthode — d'où vient chaque chiffre</t>
        </is>
      </c>
    </row>
    <row r="3">
      <c r="A3" s="2" t="inlineStr">
        <is>
          <t>Objet : chiffrer, euro par euro, l'enjeu de la majoration de 40 % pour manquement délibéré (art. 1729 CGI) notifiée à la SARL LA DEMI-LUNE, et vérifier que les montants notifiés par le service sont bien 40 % des droits pénalisables.</t>
        </is>
      </c>
    </row>
    <row r="4">
      <c r="A4" s="2" t="inlineStr"/>
    </row>
    <row r="5">
      <c r="A5" s="2" t="inlineStr">
        <is>
          <t>Onglet « Sources » : les bases pénalisables et les majorations notifiées sont recopiées à l'identique des tableaux récapitulatifs de la proposition 3924 (IS : pages 59-62 ; TVA : pages 63-65 ; discordances TTC : page 58).</t>
        </is>
      </c>
    </row>
    <row r="6">
      <c r="A6" s="2" t="inlineStr"/>
    </row>
    <row r="7">
      <c r="A7" s="2" t="inlineStr">
        <is>
          <t>Onglet « Calcul », colonne « 40 % recalculé » : formule =ROUND(base*0,40;0) appliquée à chaque base pénalisable. Le résultat recalculé est identique, à l'euro près, au montant notifié par le service (colonne de droite) — la dérivation est donc contrôlée et non une « boîte noire ».</t>
        </is>
      </c>
    </row>
    <row r="8">
      <c r="A8" s="2" t="inlineStr"/>
    </row>
    <row r="9">
      <c r="A9" s="2" t="inlineStr">
        <is>
          <t>IS : 42 908 → 17 163 ; 27 120 → 10 848 ; 27 482 → 10 993. Total IS = 39 004 €.</t>
        </is>
      </c>
    </row>
    <row r="10">
      <c r="A10" s="2" t="inlineStr">
        <is>
          <t>TVA : 20 041 → 8 016 ; 14 854 → 5 942 ; 14 652 → 5 861. Total TVA = 19 819 €.</t>
        </is>
      </c>
    </row>
    <row r="11">
      <c r="A11" s="2" t="inlineStr">
        <is>
          <t>ENJEU TOTAL de la majoration de 40 % au niveau société = 39 004 + 19 819 = 58 823 €.</t>
        </is>
      </c>
    </row>
    <row r="12">
      <c r="A12" s="2" t="inlineStr"/>
    </row>
    <row r="13">
      <c r="A13" s="2" t="inlineStr">
        <is>
          <t>Attention à ne pas confondre deux assiettes distinctes :</t>
        </is>
      </c>
    </row>
    <row r="14">
      <c r="A14" s="2" t="inlineStr">
        <is>
          <t xml:space="preserve"> - l'assiette du 40 % est le montant des DROITS rappelés (58 823 € de majoration) ;</t>
        </is>
      </c>
    </row>
    <row r="15">
      <c r="A15" s="2" t="inlineStr">
        <is>
          <t xml:space="preserve"> - les minorations TTC de la page 58 (193 234,55 € + 138 863,57 € + 139 727,76 € = 471 825,88 €) sont l'assiette    des reconstitutions de CA et de la pénalité distincte de l'article 1759 (100 % des distributions), PAS l'assiette du 40 %.</t>
        </is>
      </c>
    </row>
    <row r="16">
      <c r="A16" s="2" t="inlineStr"/>
    </row>
    <row r="17">
      <c r="A17" s="2" t="inlineStr">
        <is>
          <t>Limite de périmètre : ces montants sont ceux de la proposition SOCIÉTÉ du 18/05/2026 (seule pièce OCR disponible). Les propositions personnelles du 19/10/2026 reprennent la majoration de 40 % sur les distributions réputées ; leurs montants exacts par foyer ne figurent pas dans les pièces transcrites et ne sont donc pas chiffrés ici.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2026-10-25T19:07:40Z</dcterms:created>
  <dcterms:modified xmlns:dcterms="http://purl.org/dc/terms/" xmlns:xsi="http://www.w3.org/2001/XMLSchema-instance" xsi:type="dcterms:W3CDTF">2026-10-25T19:07:40Z</dcterms:modified>
</cp:coreProperties>
</file>