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ources" sheetId="1" state="visible" r:id="rId3"/>
    <sheet name="Calvados" sheetId="2" state="visible" r:id="rId4"/>
    <sheet name="Bilan produit" sheetId="3" state="visible" r:id="rId5"/>
    <sheet name="Bilan famille" sheetId="4" state="visible" r:id="rId6"/>
    <sheet name="Achats non rattaches" sheetId="5" state="visible" r:id="rId7"/>
    <sheet name="Produits deficitaires" sheetId="6" state="visible" r:id="rId8"/>
    <sheet name="Method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<sst xmlns="http://schemas.openxmlformats.org/spreadsheetml/2006/main" count="274" uniqueCount="171">
  <si>
    <t xml:space="preserve">La Demi-Lune — Bilan matiere produit par produit (partie I : consommation vendue superieure aux achats, p. 48 a 53)</t>
  </si>
  <si>
    <t xml:space="preserve">Donnees brutes. Achats = factures fournisseur Franche-Comte Boissons Services (199 factures), nets des avoirs. Conso = consommation mesuree caisse + cuisine. Inventaire = variation de stock (inventaires physiques 31/03/2023, 2024, 2025). Le Calvados est repris a sa consommation ITEMISEE de l'onglet Calvados (110,7 L : 1,44 verre + 109,26 cuisine a 4 cl), et non a la valeur 120,5 L de la feuille R1 (ecart de 9,8 L non reconcilie, corrige ici).</t>
  </si>
  <si>
    <t xml:space="preserve">Famille</t>
  </si>
  <si>
    <t xml:space="preserve">Produit</t>
  </si>
  <si>
    <t xml:space="preserve">Achats factures (L)</t>
  </si>
  <si>
    <t xml:space="preserve">Conso caisse + cuisine (L)</t>
  </si>
  <si>
    <t xml:space="preserve">Inventaire / var. stock (L)</t>
  </si>
  <si>
    <t xml:space="preserve">Reference d'achat de rattachement (bouton de caisse &lt;&gt; libelle facture)</t>
  </si>
  <si>
    <t xml:space="preserve">Bieres</t>
  </si>
  <si>
    <t xml:space="preserve">Fût Affligem</t>
  </si>
  <si>
    <t xml:space="preserve">Vins tranquilles</t>
  </si>
  <si>
    <t xml:space="preserve">Côtes de Provence rosé maison (Cap des Pins)</t>
  </si>
  <si>
    <t xml:space="preserve">Vins de liqueur (Macvin)</t>
  </si>
  <si>
    <t xml:space="preserve">Macvin</t>
  </si>
  <si>
    <t xml:space="preserve">Cremant et champagne</t>
  </si>
  <si>
    <t xml:space="preserve">Crémant du Jura</t>
  </si>
  <si>
    <t xml:space="preserve">Bourgogne Aligoté maison</t>
  </si>
  <si>
    <t xml:space="preserve">Saint Véran</t>
  </si>
  <si>
    <t xml:space="preserve">Rosé Les Jamelles (Clair de Rosé)</t>
  </si>
  <si>
    <t xml:space="preserve">Côtes du Rhône rouge maison (Chusclan)</t>
  </si>
  <si>
    <t xml:space="preserve">Arbois Chardonnay</t>
  </si>
  <si>
    <t xml:space="preserve">Cidres</t>
  </si>
  <si>
    <t xml:space="preserve">Cidre La Mordue</t>
  </si>
  <si>
    <t xml:space="preserve">Arbois Trousseau</t>
  </si>
  <si>
    <t xml:space="preserve">Moulin à Vent</t>
  </si>
  <si>
    <t xml:space="preserve">Arbois Savagnin</t>
  </si>
  <si>
    <t xml:space="preserve">Ravelin</t>
  </si>
  <si>
    <t xml:space="preserve">Saint Joseph Rouge</t>
  </si>
  <si>
    <t xml:space="preserve">Liqueurs</t>
  </si>
  <si>
    <t xml:space="preserve">Crème de Cassis</t>
  </si>
  <si>
    <t xml:space="preserve">Rouget de Lisle Blanche 33cl</t>
  </si>
  <si>
    <t xml:space="preserve">Arbois Vin Jaune</t>
  </si>
  <si>
    <t xml:space="preserve">Macon</t>
  </si>
  <si>
    <t xml:space="preserve">Rouget de Lisle Ambrée 33cl</t>
  </si>
  <si>
    <t xml:space="preserve">Aperitifs</t>
  </si>
  <si>
    <t xml:space="preserve">Picon</t>
  </si>
  <si>
    <t xml:space="preserve">Cidre Brut</t>
  </si>
  <si>
    <t xml:space="preserve">Porto</t>
  </si>
  <si>
    <t xml:space="preserve">Soho Litchi</t>
  </si>
  <si>
    <t xml:space="preserve">Hautes Côtes de Beaune rouge</t>
  </si>
  <si>
    <t xml:space="preserve">Pontarlier Anis</t>
  </si>
  <si>
    <t xml:space="preserve">Spiritueux</t>
  </si>
  <si>
    <t xml:space="preserve">Vodka</t>
  </si>
  <si>
    <t xml:space="preserve">Cidre Doux</t>
  </si>
  <si>
    <t xml:space="preserve">Hautes Côtes de Nuits blanc</t>
  </si>
  <si>
    <t xml:space="preserve">24 bt Lupe Cholet facturees (bilan 18 L)</t>
  </si>
  <si>
    <t xml:space="preserve">Champagne</t>
  </si>
  <si>
    <t xml:space="preserve">Liqueur de Sapin</t>
  </si>
  <si>
    <t xml:space="preserve">Rosé Le Pive</t>
  </si>
  <si>
    <t xml:space="preserve">Liqueur de Poire</t>
  </si>
  <si>
    <t xml:space="preserve">Vin de Paille</t>
  </si>
  <si>
    <t xml:space="preserve">Grand Pavois</t>
  </si>
  <si>
    <t xml:space="preserve">Get 27</t>
  </si>
  <si>
    <t xml:space="preserve">Génépi</t>
  </si>
  <si>
    <t xml:space="preserve">Côtes de Provence Rosé Minuty</t>
  </si>
  <si>
    <t xml:space="preserve">Bailey's</t>
  </si>
  <si>
    <t xml:space="preserve">Passoa</t>
  </si>
  <si>
    <t xml:space="preserve">Eaux-de-vie et digestifs</t>
  </si>
  <si>
    <t xml:space="preserve">Eau de Vie Mirabelle</t>
  </si>
  <si>
    <t xml:space="preserve">Bohème Rosé (Le Pive)</t>
  </si>
  <si>
    <t xml:space="preserve">Marc de Bourgogne</t>
  </si>
  <si>
    <t xml:space="preserve">Clan Campbell</t>
  </si>
  <si>
    <t xml:space="preserve">Ricard</t>
  </si>
  <si>
    <t xml:space="preserve">Cognac</t>
  </si>
  <si>
    <t xml:space="preserve">Tequila Camino Real</t>
  </si>
  <si>
    <t xml:space="preserve">Jack Daniel's</t>
  </si>
  <si>
    <t xml:space="preserve">Bordeaux Supérieur</t>
  </si>
  <si>
    <t xml:space="preserve">Pastis 51</t>
  </si>
  <si>
    <t xml:space="preserve">Martini Blanc</t>
  </si>
  <si>
    <t xml:space="preserve">conso&lt;achats : deficit d'inventaire</t>
  </si>
  <si>
    <t xml:space="preserve">Grand Marnier</t>
  </si>
  <si>
    <t xml:space="preserve">Guignolet</t>
  </si>
  <si>
    <t xml:space="preserve">conso=0 : deficit d'inventaire seul</t>
  </si>
  <si>
    <t xml:space="preserve">Eau de Vie Framboise</t>
  </si>
  <si>
    <t xml:space="preserve">bouton; achats sous Mirabelle/EdV</t>
  </si>
  <si>
    <t xml:space="preserve">Get 31</t>
  </si>
  <si>
    <t xml:space="preserve">bouton; achats sous Get 27</t>
  </si>
  <si>
    <t xml:space="preserve">Marc du Jura</t>
  </si>
  <si>
    <t xml:space="preserve">bouton; achats sous Marc de Bourgogne</t>
  </si>
  <si>
    <t xml:space="preserve">Eau de Vie de Poire</t>
  </si>
  <si>
    <t xml:space="preserve">bouton; achats sous Liqueur de Poire</t>
  </si>
  <si>
    <t xml:space="preserve">Hautes Côtes de Beaune blanc</t>
  </si>
  <si>
    <t xml:space="preserve">servi sur stock HC Nuits blanc (cf. ventes-sans-achat)</t>
  </si>
  <si>
    <t xml:space="preserve">Liqueur de Cerise</t>
  </si>
  <si>
    <t xml:space="preserve">bouton; proche Guignolet (cerise)</t>
  </si>
  <si>
    <t xml:space="preserve">Miraval Rosé</t>
  </si>
  <si>
    <t xml:space="preserve">bouton rose; achats sous les autres roses</t>
  </si>
  <si>
    <t xml:space="preserve">Calvados</t>
  </si>
  <si>
    <t xml:space="preserve">conso 110,7 L itemisee (onglet Calvados)</t>
  </si>
  <si>
    <t xml:space="preserve">Chablis</t>
  </si>
  <si>
    <t xml:space="preserve">104,2 L facturES (demi-bt/millesimes) -&gt; onglet Achats non rattaches</t>
  </si>
  <si>
    <t xml:space="preserve">Gewurztraminer</t>
  </si>
  <si>
    <t xml:space="preserve">102,0 L factures -&gt; onglet Achats non rattaches</t>
  </si>
  <si>
    <t xml:space="preserve">Arbois Béthanie</t>
  </si>
  <si>
    <t xml:space="preserve">385,5 L factures -&gt; onglet Achats non rattaches</t>
  </si>
  <si>
    <t xml:space="preserve">Cubis de vin (couleur non précisée)</t>
  </si>
  <si>
    <t xml:space="preserve">bouton pichet/BIB; achats sous vins maison en BIB (meme traitement que Mouton Cadet)</t>
  </si>
  <si>
    <t xml:space="preserve">Calvados : consommation itemisee par libelle de caisse x dose declaree de 4 cl (3 exercices)</t>
  </si>
  <si>
    <t xml:space="preserve">Dose SERVIE = verre de digestif, enregistre et facture en caisse (recette de boisson). Dose EN CUISINE = flambage/rotissage, charge de matiere d'un plat deja facture. Volume = quantite x 4 cl. Total = la consommation Calvados retenue au bilan (valeur verifiee, itemisee).</t>
  </si>
  <si>
    <t xml:space="preserve">Usage</t>
  </si>
  <si>
    <t xml:space="preserve">Libelle de caisse</t>
  </si>
  <si>
    <t xml:space="preserve">Quantite (3 ex.)</t>
  </si>
  <si>
    <t xml:space="preserve">Dose (cl)</t>
  </si>
  <si>
    <t xml:space="preserve">Volume (L)</t>
  </si>
  <si>
    <t xml:space="preserve">Dose servie (verre)</t>
  </si>
  <si>
    <t xml:space="preserve">Calvados (4cl)</t>
  </si>
  <si>
    <t xml:space="preserve">Dose cuisine</t>
  </si>
  <si>
    <t xml:space="preserve">CAMEMBERT ROTI</t>
  </si>
  <si>
    <t xml:space="preserve">ASSIETTE PERE GREGOIRE</t>
  </si>
  <si>
    <t xml:space="preserve">GALETTE FRELEE</t>
  </si>
  <si>
    <t xml:space="preserve">CREPE FLAMBEE</t>
  </si>
  <si>
    <t xml:space="preserve">DESSERT BASILIC</t>
  </si>
  <si>
    <t xml:space="preserve">DESSERT GRAPPINS</t>
  </si>
  <si>
    <t xml:space="preserve">DESSERT FLAMBEE</t>
  </si>
  <si>
    <t xml:space="preserve">TOTAL consommation Calvados (verre + cuisine)</t>
  </si>
  <si>
    <t xml:space="preserve">dont verre (recette de boisson)</t>
  </si>
  <si>
    <t xml:space="preserve">dont cuisine (charge de matiere)</t>
  </si>
  <si>
    <t xml:space="preserve">Achats factures (73 bt de 1 L, 1 227,74 EUR HT)</t>
  </si>
  <si>
    <t xml:space="preserve">Variation d'inventaire (stock 1 bt a l'ouverture et a la cloture)</t>
  </si>
  <si>
    <t xml:space="preserve">Bilan net Calvados = achats - conso - inventaire</t>
  </si>
  <si>
    <t xml:space="preserve">Deficit conso - achats = conso - achats</t>
  </si>
  <si>
    <t xml:space="preserve">Bilan matiere, produit par produit : net et sens de l'ecart, PAR FORMULE</t>
  </si>
  <si>
    <t xml:space="preserve">Bilan net = achats - conso - inventaire. Deficit conso-achats = conso - achats (&gt;0 = consommation superieure aux achats). Les lignes importees de l'onglet Sources ; aucun resultat n'est tape en dur.</t>
  </si>
  <si>
    <t xml:space="preserve">Achats (L)</t>
  </si>
  <si>
    <t xml:space="preserve">Conso (L)</t>
  </si>
  <si>
    <t xml:space="preserve">Inv (L)</t>
  </si>
  <si>
    <t xml:space="preserve">Bilan net (L)</t>
  </si>
  <si>
    <t xml:space="preserve">Conso - achats (L)</t>
  </si>
  <si>
    <t xml:space="preserve">TOTAL 65 produits</t>
  </si>
  <si>
    <t xml:space="preserve">Bilan matiere par famille (SOMME.SI sur l'onglet Bilan produit), PAR FORMULE</t>
  </si>
  <si>
    <t xml:space="preserve">Bilan / achats</t>
  </si>
  <si>
    <t xml:space="preserve">TOTAL</t>
  </si>
  <si>
    <t xml:space="preserve">Eaux-de-vie HORS Calvados (achats-conso-inv)</t>
  </si>
  <si>
    <t xml:space="preserve">Trois libelles sous-evalues a l'achat dans le bilan R1 (millesimes / demi-bouteilles factures sous designations distinctes)</t>
  </si>
  <si>
    <t xml:space="preserve">Ces achats factures Franche-Comte Boissons Services existent mais n'ont pas ete rattaches au produit au bilan R1. Les reprendre ne fait qu'augmenter l'excedent : le bilan est un plancher.</t>
  </si>
  <si>
    <t xml:space="preserve">Volume lu sur factures (L)</t>
  </si>
  <si>
    <t xml:space="preserve">Volume retenu au bilan R1 (L)</t>
  </si>
  <si>
    <t xml:space="preserve">Ecart non rattache (L)</t>
  </si>
  <si>
    <t xml:space="preserve">Conso (L) : conso &lt; achats reels ?</t>
  </si>
  <si>
    <t xml:space="preserve">Les 15 produits en deficit de bilan net : traitement honnete, un par un</t>
  </si>
  <si>
    <t xml:space="preserve">Importes de l'onglet Bilan produit (net &lt; 0). Colonne 'Conso - achats' : &gt;0 = veritable consommation superieure aux achats ; &lt;=0 = deficit du a la seule variation d'inventaire (pas une conso sans achat).</t>
  </si>
  <si>
    <t xml:space="preserve">Nature</t>
  </si>
  <si>
    <t xml:space="preserve">Traitement</t>
  </si>
  <si>
    <t xml:space="preserve">conso&gt;achats</t>
  </si>
  <si>
    <t xml:space="preserve">Regroupement : bouton pichet/BIB ; achats sous les vins maison en BIB (roses/Aligote/Chusclan maison), tous tres excedentaires. Meme traitement que Mouton Cadet (ventes-sans-achat).</t>
  </si>
  <si>
    <t xml:space="preserve">Plancher : 385,5 L factures (demi-bt 37,5 cl sous libelle distinct) contre 214,5 retenus ; achats reels 385,5 &gt; conso 309,9 -&gt; +75,6 L.</t>
  </si>
  <si>
    <t xml:space="preserve">Plancher : 102,0 L factures (millesimes distincts) contre 6,0 retenus ; 102,0 &gt; conso 78,9 -&gt; +23,1 L.</t>
  </si>
  <si>
    <t xml:space="preserve">Plancher : 104,2 L factures contre 18,0 retenus ; 104,2 &gt; conso 73,7 -&gt; +30,5 L.</t>
  </si>
  <si>
    <t xml:space="preserve">IRREDUCTIBLE par le calcul : dose de cuisine (flambage) surestimee ; charge de matiere d'un plat facture, pas une recette de boisson (cf. 2.5 a 2.9). Seul point non clos par piece.</t>
  </si>
  <si>
    <t xml:space="preserve">Regroupement : bouton rose ; achats sous les autres roses (Jamelles +192,3, Le Pive, Minuty, Boheme), excedentaires.</t>
  </si>
  <si>
    <t xml:space="preserve">Regroupement/concession liqueurs (famille +132,5 L) ; proche du Guignolet (liqueur de cerise).</t>
  </si>
  <si>
    <t xml:space="preserve">Regroupement : servi sur le stock de HC de Nuits blanc (meme traitement que ventes-sans-achat).</t>
  </si>
  <si>
    <t xml:space="preserve">Regroupement eaux-de-vie : achats sous Marc de Bourgogne (+3,3 L).</t>
  </si>
  <si>
    <t xml:space="preserve">Regroupement : achats sous Liqueur de Poire (+11,4 L) et Mirabelle.</t>
  </si>
  <si>
    <t xml:space="preserve">Regroupement : achats sous Get 27 (+8,0 L).</t>
  </si>
  <si>
    <t xml:space="preserve">Regroupement : achats sous Mirabelle (+3,8 L).</t>
  </si>
  <si>
    <t xml:space="preserve">inventaire seul</t>
  </si>
  <si>
    <t xml:space="preserve">Deficit d'inventaire pur (conso 0) : AUCUNE consommation sans achat.</t>
  </si>
  <si>
    <t xml:space="preserve">inventaire</t>
  </si>
  <si>
    <t xml:space="preserve">Conso 8,1 &lt; achats 8,4 : le deficit (-1,1) tient a la seule variation d'inventaire.</t>
  </si>
  <si>
    <t xml:space="preserve">Conso 12,6 &lt; achats 13,0 : deficit d'inventaire / frontiere d'exercice (deja traite en 2.1).</t>
  </si>
  <si>
    <t xml:space="preserve">TOTAL 15 deficits</t>
  </si>
  <si>
    <t xml:space="preserve">Methode — d'ou vient chaque chiffre</t>
  </si>
  <si>
    <t xml:space="preserve">1. Sources : les 65 produits de boisson, avec achats factures (199 factures Franche-Comte Boissons Services, nets d'avoirs), consommation mesuree (caisse + cuisine) et variation d'inventaire (inventaires physiques 31/03/2023, 2024, 2025). Donnees brutes, aucune formule.</t>
  </si>
  <si>
    <t xml:space="preserve">2. Calvados : la consommation est itemisee par libelle de caisse x dose declaree de 4 cl. Volume (L) = quantite x 4 / 100, par formule. Total = 110,7 L (1,44 L au verre, enregistre et facture ; 109,26 L en cuisine, charge de matiere). C'est la valeur retenue au bilan, verifiee ligne a ligne. La feuille R1 'Bilan matiere produit' portait 120,5 L (ecart de 9,8 L non reconcilie) : la correction augmente l'excedent global, elle ne le reduit pas.</t>
  </si>
  <si>
    <t xml:space="preserve">3. Bilan produit : pour chaque produit, bilan net = achats - conso - inventaire (formule), et deficit conso-achats = conso - achats (formule). Aucun resultat tape en dur.</t>
  </si>
  <si>
    <t xml:space="preserve">4. Bilan famille : SOMME.SI par famille sur l'onglet Bilan produit, puis bilan net et bilan/achats par formule. Total general par SOMME.</t>
  </si>
  <si>
    <t xml:space="preserve">5. Produits deficitaires : les 15 produits a bilan net &lt; 0, importes par formule de l'onglet Bilan produit, avec la nature du deficit (conso&gt;achats vs inventaire seul) et le traitement (regroupement legitime, plancher d'achats, ou point irreductible du Calvados).</t>
  </si>
  <si>
    <t xml:space="preserve">6. Achats non rattaches : Chablis, Gewurztraminer, Arbois Bethanie sont sous-evalues a l'achat au bilan R1 (millesimes/demi-bouteilles factures sous designations distinctes). Volume facture reel contre volume retenu, par formule : le bilan est un plancher.</t>
  </si>
  <si>
    <t xml:space="preserve">IMPORTANT : ce classeur ne calcule AUCUNE 'dose d'equilibre' par retro-calcul du bilan. La dose reellement mise en cuisine releve de la recette de l'etablissement et sera precisee par declaration de la gerance, non par une division (cf. page, 2.7).</t>
  </si>
  <si>
    <t xml:space="preserve">Sens de l'ecart (titre de la partie I) : sur les 65 produits, 12 presentent conso &gt; achats (708,3 L cumules, dont Cubis 426,9 L et Calvados). 11 des 12 se rattachent a un regroupement legitime ou a un plancher d'achats ; seul le Calvados (dose de cuisine) reste discute au fond. 3 des 15 deficits (Guignolet, Grand Marnier, Martini) tiennent a la seule variation d'inventaire : ce ne sont pas des consommations sans achat.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</si>
</sst>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.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EEF5"/>
        <bgColor rgb="FFFBE9E7"/>
      </patternFill>
    </fill>
    <fill>
      <patternFill patternType="solid">
        <fgColor rgb="FFFBE9E7"/>
        <bgColor rgb="FFE8EE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9E7"/>
      <rgbColor rgb="FFE8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0"/>
    <col collapsed="false" customWidth="true" hidden="false" outlineLevel="0" max="5" min="3" style="0" width="16"/>
    <col collapsed="false" customWidth="true" hidden="false" outlineLevel="0" max="6" min="6" style="0" width="52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57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s">
        <v>9</v>
      </c>
      <c r="C5" s="4" t="n">
        <v>2096</v>
      </c>
      <c r="D5" s="4" t="n">
        <v>1501</v>
      </c>
      <c r="E5" s="4" t="n">
        <v>40</v>
      </c>
      <c r="F5" s="4"/>
    </row>
    <row r="6" customFormat="false" ht="15" hidden="false" customHeight="false" outlineLevel="0" collapsed="false">
      <c r="A6" s="4" t="s">
        <v>10</v>
      </c>
      <c r="B6" s="4" t="s">
        <v>11</v>
      </c>
      <c r="C6" s="4" t="n">
        <v>681</v>
      </c>
      <c r="D6" s="4" t="n">
        <v>286.8</v>
      </c>
      <c r="E6" s="4" t="n">
        <v>0</v>
      </c>
      <c r="F6" s="4"/>
    </row>
    <row r="7" customFormat="false" ht="15" hidden="false" customHeight="false" outlineLevel="0" collapsed="false">
      <c r="A7" s="4" t="s">
        <v>12</v>
      </c>
      <c r="B7" s="4" t="s">
        <v>13</v>
      </c>
      <c r="C7" s="4" t="n">
        <v>806.2</v>
      </c>
      <c r="D7" s="4" t="n">
        <v>470.8</v>
      </c>
      <c r="E7" s="4" t="n">
        <v>0</v>
      </c>
      <c r="F7" s="4"/>
    </row>
    <row r="8" customFormat="false" ht="15" hidden="false" customHeight="false" outlineLevel="0" collapsed="false">
      <c r="A8" s="4" t="s">
        <v>14</v>
      </c>
      <c r="B8" s="4" t="s">
        <v>15</v>
      </c>
      <c r="C8" s="4" t="n">
        <v>675</v>
      </c>
      <c r="D8" s="4" t="n">
        <v>379.6</v>
      </c>
      <c r="E8" s="4" t="n">
        <v>6.8</v>
      </c>
      <c r="F8" s="4"/>
    </row>
    <row r="9" customFormat="false" ht="15" hidden="false" customHeight="false" outlineLevel="0" collapsed="false">
      <c r="A9" s="4" t="s">
        <v>10</v>
      </c>
      <c r="B9" s="4" t="s">
        <v>16</v>
      </c>
      <c r="C9" s="4" t="n">
        <v>630</v>
      </c>
      <c r="D9" s="4" t="n">
        <v>346.8</v>
      </c>
      <c r="E9" s="4" t="n">
        <v>0</v>
      </c>
      <c r="F9" s="4"/>
    </row>
    <row r="10" customFormat="false" ht="15" hidden="false" customHeight="false" outlineLevel="0" collapsed="false">
      <c r="A10" s="4" t="s">
        <v>10</v>
      </c>
      <c r="B10" s="4" t="s">
        <v>17</v>
      </c>
      <c r="C10" s="4" t="n">
        <v>465</v>
      </c>
      <c r="D10" s="4" t="n">
        <v>245.4</v>
      </c>
      <c r="E10" s="4" t="n">
        <v>5.2</v>
      </c>
      <c r="F10" s="4"/>
    </row>
    <row r="11" customFormat="false" ht="15" hidden="false" customHeight="false" outlineLevel="0" collapsed="false">
      <c r="A11" s="4" t="s">
        <v>10</v>
      </c>
      <c r="B11" s="4" t="s">
        <v>18</v>
      </c>
      <c r="C11" s="4" t="n">
        <v>302.2</v>
      </c>
      <c r="D11" s="4" t="n">
        <v>97.9</v>
      </c>
      <c r="E11" s="4" t="n">
        <v>12</v>
      </c>
      <c r="F11" s="4"/>
    </row>
    <row r="12" customFormat="false" ht="15" hidden="false" customHeight="false" outlineLevel="0" collapsed="false">
      <c r="A12" s="4" t="s">
        <v>10</v>
      </c>
      <c r="B12" s="4" t="s">
        <v>19</v>
      </c>
      <c r="C12" s="4" t="n">
        <v>360</v>
      </c>
      <c r="D12" s="4" t="n">
        <v>190.8</v>
      </c>
      <c r="E12" s="4" t="n">
        <v>0</v>
      </c>
      <c r="F12" s="4"/>
    </row>
    <row r="13" customFormat="false" ht="15" hidden="false" customHeight="false" outlineLevel="0" collapsed="false">
      <c r="A13" s="4" t="s">
        <v>10</v>
      </c>
      <c r="B13" s="4" t="s">
        <v>20</v>
      </c>
      <c r="C13" s="4" t="n">
        <v>201.7</v>
      </c>
      <c r="D13" s="4" t="n">
        <v>32.6</v>
      </c>
      <c r="E13" s="4" t="n">
        <v>12</v>
      </c>
      <c r="F13" s="4"/>
    </row>
    <row r="14" customFormat="false" ht="15" hidden="false" customHeight="false" outlineLevel="0" collapsed="false">
      <c r="A14" s="4" t="s">
        <v>21</v>
      </c>
      <c r="B14" s="4" t="s">
        <v>22</v>
      </c>
      <c r="C14" s="4" t="n">
        <v>237.9</v>
      </c>
      <c r="D14" s="4" t="n">
        <v>92.5</v>
      </c>
      <c r="E14" s="4" t="n">
        <v>4.9</v>
      </c>
      <c r="F14" s="4"/>
    </row>
    <row r="15" customFormat="false" ht="15" hidden="false" customHeight="false" outlineLevel="0" collapsed="false">
      <c r="A15" s="4" t="s">
        <v>10</v>
      </c>
      <c r="B15" s="4" t="s">
        <v>23</v>
      </c>
      <c r="C15" s="4" t="n">
        <v>462.7</v>
      </c>
      <c r="D15" s="4" t="n">
        <v>346.1</v>
      </c>
      <c r="E15" s="4" t="n">
        <v>6</v>
      </c>
      <c r="F15" s="4"/>
    </row>
    <row r="16" customFormat="false" ht="15" hidden="false" customHeight="false" outlineLevel="0" collapsed="false">
      <c r="A16" s="4" t="s">
        <v>10</v>
      </c>
      <c r="B16" s="4" t="s">
        <v>24</v>
      </c>
      <c r="C16" s="4" t="n">
        <v>201.8</v>
      </c>
      <c r="D16" s="4" t="n">
        <v>103.8</v>
      </c>
      <c r="E16" s="4" t="n">
        <v>7.5</v>
      </c>
      <c r="F16" s="4"/>
    </row>
    <row r="17" customFormat="false" ht="15" hidden="false" customHeight="false" outlineLevel="0" collapsed="false">
      <c r="A17" s="4" t="s">
        <v>10</v>
      </c>
      <c r="B17" s="4" t="s">
        <v>25</v>
      </c>
      <c r="C17" s="4" t="n">
        <v>516</v>
      </c>
      <c r="D17" s="4" t="n">
        <v>429.5</v>
      </c>
      <c r="E17" s="4" t="n">
        <v>9.8</v>
      </c>
      <c r="F17" s="4"/>
    </row>
    <row r="18" customFormat="false" ht="15" hidden="false" customHeight="false" outlineLevel="0" collapsed="false">
      <c r="A18" s="4" t="s">
        <v>10</v>
      </c>
      <c r="B18" s="4" t="s">
        <v>26</v>
      </c>
      <c r="C18" s="4" t="n">
        <v>319.5</v>
      </c>
      <c r="D18" s="4" t="n">
        <v>251.8</v>
      </c>
      <c r="E18" s="4" t="n">
        <v>0</v>
      </c>
      <c r="F18" s="4"/>
    </row>
    <row r="19" customFormat="false" ht="15" hidden="false" customHeight="false" outlineLevel="0" collapsed="false">
      <c r="A19" s="4" t="s">
        <v>10</v>
      </c>
      <c r="B19" s="4" t="s">
        <v>27</v>
      </c>
      <c r="C19" s="4" t="n">
        <v>238.5</v>
      </c>
      <c r="D19" s="4" t="n">
        <v>165.2</v>
      </c>
      <c r="E19" s="4" t="n">
        <v>6.8</v>
      </c>
      <c r="F19" s="4"/>
    </row>
    <row r="20" customFormat="false" ht="15" hidden="false" customHeight="false" outlineLevel="0" collapsed="false">
      <c r="A20" s="4" t="s">
        <v>28</v>
      </c>
      <c r="B20" s="4" t="s">
        <v>29</v>
      </c>
      <c r="C20" s="4" t="n">
        <v>132.7</v>
      </c>
      <c r="D20" s="4" t="n">
        <v>69</v>
      </c>
      <c r="E20" s="4" t="n">
        <v>0</v>
      </c>
      <c r="F20" s="4"/>
    </row>
    <row r="21" customFormat="false" ht="15" hidden="false" customHeight="false" outlineLevel="0" collapsed="false">
      <c r="A21" s="4" t="s">
        <v>8</v>
      </c>
      <c r="B21" s="4" t="s">
        <v>30</v>
      </c>
      <c r="C21" s="4" t="n">
        <v>195.3</v>
      </c>
      <c r="D21" s="4" t="n">
        <v>136.5</v>
      </c>
      <c r="E21" s="4" t="n">
        <v>3</v>
      </c>
      <c r="F21" s="4"/>
    </row>
    <row r="22" customFormat="false" ht="15" hidden="false" customHeight="false" outlineLevel="0" collapsed="false">
      <c r="A22" s="4" t="s">
        <v>10</v>
      </c>
      <c r="B22" s="4" t="s">
        <v>31</v>
      </c>
      <c r="C22" s="4" t="n">
        <v>218.5</v>
      </c>
      <c r="D22" s="4" t="n">
        <v>161.9</v>
      </c>
      <c r="E22" s="4" t="n">
        <v>1.2</v>
      </c>
      <c r="F22" s="4"/>
    </row>
    <row r="23" customFormat="false" ht="15" hidden="false" customHeight="false" outlineLevel="0" collapsed="false">
      <c r="A23" s="4" t="s">
        <v>10</v>
      </c>
      <c r="B23" s="4" t="s">
        <v>32</v>
      </c>
      <c r="C23" s="4" t="n">
        <v>191.3</v>
      </c>
      <c r="D23" s="4" t="n">
        <v>139.8</v>
      </c>
      <c r="E23" s="4" t="n">
        <v>4.5</v>
      </c>
      <c r="F23" s="4"/>
    </row>
    <row r="24" customFormat="false" ht="15" hidden="false" customHeight="false" outlineLevel="0" collapsed="false">
      <c r="A24" s="4" t="s">
        <v>8</v>
      </c>
      <c r="B24" s="4" t="s">
        <v>33</v>
      </c>
      <c r="C24" s="4" t="n">
        <v>182.2</v>
      </c>
      <c r="D24" s="4" t="n">
        <v>127.7</v>
      </c>
      <c r="E24" s="4" t="n">
        <v>8.9</v>
      </c>
      <c r="F24" s="4"/>
    </row>
    <row r="25" customFormat="false" ht="15" hidden="false" customHeight="false" outlineLevel="0" collapsed="false">
      <c r="A25" s="4" t="s">
        <v>34</v>
      </c>
      <c r="B25" s="4" t="s">
        <v>35</v>
      </c>
      <c r="C25" s="4" t="n">
        <v>72</v>
      </c>
      <c r="D25" s="4" t="n">
        <v>28.3</v>
      </c>
      <c r="E25" s="4" t="n">
        <v>0</v>
      </c>
      <c r="F25" s="4"/>
    </row>
    <row r="26" customFormat="false" ht="15" hidden="false" customHeight="false" outlineLevel="0" collapsed="false">
      <c r="A26" s="4" t="s">
        <v>21</v>
      </c>
      <c r="B26" s="4" t="s">
        <v>36</v>
      </c>
      <c r="C26" s="4" t="n">
        <v>184.5</v>
      </c>
      <c r="D26" s="4" t="n">
        <v>125.2</v>
      </c>
      <c r="E26" s="4" t="n">
        <v>16.5</v>
      </c>
      <c r="F26" s="4"/>
    </row>
    <row r="27" customFormat="false" ht="15" hidden="false" customHeight="false" outlineLevel="0" collapsed="false">
      <c r="A27" s="4" t="s">
        <v>34</v>
      </c>
      <c r="B27" s="4" t="s">
        <v>37</v>
      </c>
      <c r="C27" s="4" t="n">
        <v>114.8</v>
      </c>
      <c r="D27" s="4" t="n">
        <v>78.5</v>
      </c>
      <c r="E27" s="4" t="n">
        <v>1.5</v>
      </c>
      <c r="F27" s="4"/>
    </row>
    <row r="28" customFormat="false" ht="15" hidden="false" customHeight="false" outlineLevel="0" collapsed="false">
      <c r="A28" s="4" t="s">
        <v>28</v>
      </c>
      <c r="B28" s="4" t="s">
        <v>38</v>
      </c>
      <c r="C28" s="4" t="n">
        <v>52.5</v>
      </c>
      <c r="D28" s="4" t="n">
        <v>23.3</v>
      </c>
      <c r="E28" s="4" t="n">
        <v>0.7</v>
      </c>
      <c r="F28" s="4"/>
    </row>
    <row r="29" customFormat="false" ht="15" hidden="false" customHeight="false" outlineLevel="0" collapsed="false">
      <c r="A29" s="4" t="s">
        <v>10</v>
      </c>
      <c r="B29" s="4" t="s">
        <v>39</v>
      </c>
      <c r="C29" s="4" t="n">
        <v>202.5</v>
      </c>
      <c r="D29" s="4" t="n">
        <v>172.1</v>
      </c>
      <c r="E29" s="4" t="n">
        <v>6</v>
      </c>
      <c r="F29" s="4"/>
    </row>
    <row r="30" customFormat="false" ht="15" hidden="false" customHeight="false" outlineLevel="0" collapsed="false">
      <c r="A30" s="4" t="s">
        <v>34</v>
      </c>
      <c r="B30" s="4" t="s">
        <v>40</v>
      </c>
      <c r="C30" s="4" t="n">
        <v>31</v>
      </c>
      <c r="D30" s="4" t="n">
        <v>7</v>
      </c>
      <c r="E30" s="4" t="n">
        <v>0</v>
      </c>
      <c r="F30" s="4"/>
    </row>
    <row r="31" customFormat="false" ht="15" hidden="false" customHeight="false" outlineLevel="0" collapsed="false">
      <c r="A31" s="4" t="s">
        <v>41</v>
      </c>
      <c r="B31" s="4" t="s">
        <v>42</v>
      </c>
      <c r="C31" s="4" t="n">
        <v>32.9</v>
      </c>
      <c r="D31" s="4" t="n">
        <v>10.7</v>
      </c>
      <c r="E31" s="4" t="n">
        <v>0.7</v>
      </c>
      <c r="F31" s="4"/>
    </row>
    <row r="32" customFormat="false" ht="15" hidden="false" customHeight="false" outlineLevel="0" collapsed="false">
      <c r="A32" s="4" t="s">
        <v>21</v>
      </c>
      <c r="B32" s="4" t="s">
        <v>43</v>
      </c>
      <c r="C32" s="4" t="n">
        <v>126</v>
      </c>
      <c r="D32" s="4" t="n">
        <v>107.6</v>
      </c>
      <c r="E32" s="4" t="n">
        <v>0</v>
      </c>
      <c r="F32" s="4"/>
    </row>
    <row r="33" customFormat="false" ht="15" hidden="false" customHeight="false" outlineLevel="0" collapsed="false">
      <c r="A33" s="4" t="s">
        <v>10</v>
      </c>
      <c r="B33" s="4" t="s">
        <v>44</v>
      </c>
      <c r="C33" s="4" t="n">
        <v>18</v>
      </c>
      <c r="D33" s="4" t="n">
        <v>2.2</v>
      </c>
      <c r="E33" s="4" t="n">
        <v>0</v>
      </c>
      <c r="F33" s="4" t="s">
        <v>45</v>
      </c>
    </row>
    <row r="34" customFormat="false" ht="15" hidden="false" customHeight="false" outlineLevel="0" collapsed="false">
      <c r="A34" s="4" t="s">
        <v>14</v>
      </c>
      <c r="B34" s="4" t="s">
        <v>46</v>
      </c>
      <c r="C34" s="4" t="n">
        <v>29.2</v>
      </c>
      <c r="D34" s="4" t="n">
        <v>5.2</v>
      </c>
      <c r="E34" s="4" t="n">
        <v>9.8</v>
      </c>
      <c r="F34" s="4"/>
    </row>
    <row r="35" customFormat="false" ht="15" hidden="false" customHeight="false" outlineLevel="0" collapsed="false">
      <c r="A35" s="4" t="s">
        <v>28</v>
      </c>
      <c r="B35" s="4" t="s">
        <v>47</v>
      </c>
      <c r="C35" s="4" t="n">
        <v>17.2</v>
      </c>
      <c r="D35" s="4" t="n">
        <v>3.2</v>
      </c>
      <c r="E35" s="4" t="n">
        <v>0</v>
      </c>
      <c r="F35" s="4"/>
    </row>
    <row r="36" customFormat="false" ht="15" hidden="false" customHeight="false" outlineLevel="0" collapsed="false">
      <c r="A36" s="4" t="s">
        <v>10</v>
      </c>
      <c r="B36" s="4" t="s">
        <v>48</v>
      </c>
      <c r="C36" s="4" t="n">
        <v>49.4</v>
      </c>
      <c r="D36" s="4" t="n">
        <v>26.2</v>
      </c>
      <c r="E36" s="4" t="n">
        <v>10.5</v>
      </c>
      <c r="F36" s="4"/>
    </row>
    <row r="37" customFormat="false" ht="15" hidden="false" customHeight="false" outlineLevel="0" collapsed="false">
      <c r="A37" s="4" t="s">
        <v>28</v>
      </c>
      <c r="B37" s="4" t="s">
        <v>49</v>
      </c>
      <c r="C37" s="4" t="n">
        <v>16.8</v>
      </c>
      <c r="D37" s="4" t="n">
        <v>5.4</v>
      </c>
      <c r="E37" s="4" t="n">
        <v>0</v>
      </c>
      <c r="F37" s="4"/>
    </row>
    <row r="38" customFormat="false" ht="15" hidden="false" customHeight="false" outlineLevel="0" collapsed="false">
      <c r="A38" s="4" t="s">
        <v>10</v>
      </c>
      <c r="B38" s="4" t="s">
        <v>50</v>
      </c>
      <c r="C38" s="4" t="n">
        <v>36.4</v>
      </c>
      <c r="D38" s="4" t="n">
        <v>24.9</v>
      </c>
      <c r="E38" s="4" t="n">
        <v>3</v>
      </c>
      <c r="F38" s="4"/>
    </row>
    <row r="39" customFormat="false" ht="15" hidden="false" customHeight="false" outlineLevel="0" collapsed="false">
      <c r="A39" s="4" t="s">
        <v>10</v>
      </c>
      <c r="B39" s="4" t="s">
        <v>51</v>
      </c>
      <c r="C39" s="4" t="n">
        <v>18</v>
      </c>
      <c r="D39" s="4" t="n">
        <v>9.8</v>
      </c>
      <c r="E39" s="4" t="n">
        <v>0</v>
      </c>
      <c r="F39" s="4"/>
    </row>
    <row r="40" customFormat="false" ht="15" hidden="false" customHeight="false" outlineLevel="0" collapsed="false">
      <c r="A40" s="4" t="s">
        <v>28</v>
      </c>
      <c r="B40" s="4" t="s">
        <v>52</v>
      </c>
      <c r="C40" s="4" t="n">
        <v>12</v>
      </c>
      <c r="D40" s="4" t="n">
        <v>3.3</v>
      </c>
      <c r="E40" s="4" t="n">
        <v>0.7</v>
      </c>
      <c r="F40" s="4"/>
    </row>
    <row r="41" customFormat="false" ht="15" hidden="false" customHeight="false" outlineLevel="0" collapsed="false">
      <c r="A41" s="4" t="s">
        <v>28</v>
      </c>
      <c r="B41" s="4" t="s">
        <v>53</v>
      </c>
      <c r="C41" s="4" t="n">
        <v>9.8</v>
      </c>
      <c r="D41" s="4" t="n">
        <v>2.3</v>
      </c>
      <c r="E41" s="4" t="n">
        <v>0.7</v>
      </c>
      <c r="F41" s="4"/>
    </row>
    <row r="42" customFormat="false" ht="15" hidden="false" customHeight="false" outlineLevel="0" collapsed="false">
      <c r="A42" s="4" t="s">
        <v>10</v>
      </c>
      <c r="B42" s="4" t="s">
        <v>54</v>
      </c>
      <c r="C42" s="4" t="n">
        <v>21</v>
      </c>
      <c r="D42" s="4" t="n">
        <v>11.2</v>
      </c>
      <c r="E42" s="4" t="n">
        <v>3.8</v>
      </c>
      <c r="F42" s="4"/>
    </row>
    <row r="43" customFormat="false" ht="15" hidden="false" customHeight="false" outlineLevel="0" collapsed="false">
      <c r="A43" s="4" t="s">
        <v>28</v>
      </c>
      <c r="B43" s="4" t="s">
        <v>55</v>
      </c>
      <c r="C43" s="4" t="n">
        <v>22.4</v>
      </c>
      <c r="D43" s="4" t="n">
        <v>16.6</v>
      </c>
      <c r="E43" s="4" t="n">
        <v>0.7</v>
      </c>
      <c r="F43" s="4"/>
    </row>
    <row r="44" customFormat="false" ht="15" hidden="false" customHeight="false" outlineLevel="0" collapsed="false">
      <c r="A44" s="4" t="s">
        <v>28</v>
      </c>
      <c r="B44" s="4" t="s">
        <v>56</v>
      </c>
      <c r="C44" s="4" t="n">
        <v>15.4</v>
      </c>
      <c r="D44" s="4" t="n">
        <v>10.1</v>
      </c>
      <c r="E44" s="4" t="n">
        <v>1.4</v>
      </c>
      <c r="F44" s="4"/>
    </row>
    <row r="45" customFormat="false" ht="15" hidden="false" customHeight="false" outlineLevel="0" collapsed="false">
      <c r="A45" s="4" t="s">
        <v>57</v>
      </c>
      <c r="B45" s="4" t="s">
        <v>58</v>
      </c>
      <c r="C45" s="4" t="n">
        <v>5.6</v>
      </c>
      <c r="D45" s="4" t="n">
        <v>1.1</v>
      </c>
      <c r="E45" s="4" t="n">
        <v>0.7</v>
      </c>
      <c r="F45" s="4"/>
    </row>
    <row r="46" customFormat="false" ht="15" hidden="false" customHeight="false" outlineLevel="0" collapsed="false">
      <c r="A46" s="4" t="s">
        <v>10</v>
      </c>
      <c r="B46" s="4" t="s">
        <v>59</v>
      </c>
      <c r="C46" s="4" t="n">
        <v>18.7</v>
      </c>
      <c r="D46" s="4" t="n">
        <v>15</v>
      </c>
      <c r="E46" s="4" t="n">
        <v>0</v>
      </c>
      <c r="F46" s="4"/>
    </row>
    <row r="47" customFormat="false" ht="15" hidden="false" customHeight="false" outlineLevel="0" collapsed="false">
      <c r="A47" s="4" t="s">
        <v>57</v>
      </c>
      <c r="B47" s="4" t="s">
        <v>60</v>
      </c>
      <c r="C47" s="4" t="n">
        <v>9.8</v>
      </c>
      <c r="D47" s="4" t="n">
        <v>5.8</v>
      </c>
      <c r="E47" s="4" t="n">
        <v>0.7</v>
      </c>
      <c r="F47" s="4"/>
    </row>
    <row r="48" customFormat="false" ht="15" hidden="false" customHeight="false" outlineLevel="0" collapsed="false">
      <c r="A48" s="4" t="s">
        <v>41</v>
      </c>
      <c r="B48" s="4" t="s">
        <v>61</v>
      </c>
      <c r="C48" s="4" t="n">
        <v>9.8</v>
      </c>
      <c r="D48" s="4" t="n">
        <v>5.9</v>
      </c>
      <c r="E48" s="4" t="n">
        <v>0.7</v>
      </c>
      <c r="F48" s="4"/>
    </row>
    <row r="49" customFormat="false" ht="15" hidden="false" customHeight="false" outlineLevel="0" collapsed="false">
      <c r="A49" s="4" t="s">
        <v>34</v>
      </c>
      <c r="B49" s="4" t="s">
        <v>62</v>
      </c>
      <c r="C49" s="4" t="n">
        <v>9</v>
      </c>
      <c r="D49" s="4" t="n">
        <v>5.2</v>
      </c>
      <c r="E49" s="4" t="n">
        <v>1</v>
      </c>
      <c r="F49" s="4"/>
    </row>
    <row r="50" customFormat="false" ht="15" hidden="false" customHeight="false" outlineLevel="0" collapsed="false">
      <c r="A50" s="4" t="s">
        <v>57</v>
      </c>
      <c r="B50" s="4" t="s">
        <v>63</v>
      </c>
      <c r="C50" s="4" t="n">
        <v>4.9</v>
      </c>
      <c r="D50" s="4" t="n">
        <v>0.9</v>
      </c>
      <c r="E50" s="4" t="n">
        <v>1.4</v>
      </c>
      <c r="F50" s="4"/>
    </row>
    <row r="51" customFormat="false" ht="15" hidden="false" customHeight="false" outlineLevel="0" collapsed="false">
      <c r="A51" s="4" t="s">
        <v>41</v>
      </c>
      <c r="B51" s="4" t="s">
        <v>64</v>
      </c>
      <c r="C51" s="4" t="n">
        <v>3.5</v>
      </c>
      <c r="D51" s="4" t="n">
        <v>1.3</v>
      </c>
      <c r="E51" s="4" t="n">
        <v>0</v>
      </c>
      <c r="F51" s="4"/>
    </row>
    <row r="52" customFormat="false" ht="15" hidden="false" customHeight="false" outlineLevel="0" collapsed="false">
      <c r="A52" s="4" t="s">
        <v>41</v>
      </c>
      <c r="B52" s="4" t="s">
        <v>65</v>
      </c>
      <c r="C52" s="4" t="n">
        <v>5.6</v>
      </c>
      <c r="D52" s="4" t="n">
        <v>3</v>
      </c>
      <c r="E52" s="4" t="n">
        <v>0.7</v>
      </c>
      <c r="F52" s="4"/>
    </row>
    <row r="53" customFormat="false" ht="15" hidden="false" customHeight="false" outlineLevel="0" collapsed="false">
      <c r="A53" s="4" t="s">
        <v>10</v>
      </c>
      <c r="B53" s="4" t="s">
        <v>66</v>
      </c>
      <c r="C53" s="4" t="n">
        <v>8.2</v>
      </c>
      <c r="D53" s="4" t="n">
        <v>6.8</v>
      </c>
      <c r="E53" s="4" t="n">
        <v>0</v>
      </c>
      <c r="F53" s="4"/>
    </row>
    <row r="54" customFormat="false" ht="15" hidden="false" customHeight="false" outlineLevel="0" collapsed="false">
      <c r="A54" s="4" t="s">
        <v>34</v>
      </c>
      <c r="B54" s="4" t="s">
        <v>67</v>
      </c>
      <c r="C54" s="4" t="n">
        <v>6</v>
      </c>
      <c r="D54" s="4" t="n">
        <v>4.3</v>
      </c>
      <c r="E54" s="4" t="n">
        <v>1</v>
      </c>
      <c r="F54" s="4"/>
    </row>
    <row r="55" customFormat="false" ht="15" hidden="false" customHeight="false" outlineLevel="0" collapsed="false">
      <c r="A55" s="4" t="s">
        <v>34</v>
      </c>
      <c r="B55" s="4" t="s">
        <v>68</v>
      </c>
      <c r="C55" s="4" t="n">
        <v>13</v>
      </c>
      <c r="D55" s="4" t="n">
        <v>12.6</v>
      </c>
      <c r="E55" s="4" t="n">
        <v>1</v>
      </c>
      <c r="F55" s="4" t="s">
        <v>69</v>
      </c>
    </row>
    <row r="56" customFormat="false" ht="15" hidden="false" customHeight="false" outlineLevel="0" collapsed="false">
      <c r="A56" s="4" t="s">
        <v>28</v>
      </c>
      <c r="B56" s="4" t="s">
        <v>70</v>
      </c>
      <c r="C56" s="4" t="n">
        <v>8.4</v>
      </c>
      <c r="D56" s="4" t="n">
        <v>8.1</v>
      </c>
      <c r="E56" s="4" t="n">
        <v>1.4</v>
      </c>
      <c r="F56" s="4" t="s">
        <v>69</v>
      </c>
    </row>
    <row r="57" customFormat="false" ht="15" hidden="false" customHeight="false" outlineLevel="0" collapsed="false">
      <c r="A57" s="4" t="s">
        <v>28</v>
      </c>
      <c r="B57" s="4" t="s">
        <v>71</v>
      </c>
      <c r="C57" s="4" t="n">
        <v>0</v>
      </c>
      <c r="D57" s="4" t="n">
        <v>0</v>
      </c>
      <c r="E57" s="4" t="n">
        <v>1.4</v>
      </c>
      <c r="F57" s="4" t="s">
        <v>72</v>
      </c>
    </row>
    <row r="58" customFormat="false" ht="15" hidden="false" customHeight="false" outlineLevel="0" collapsed="false">
      <c r="A58" s="4" t="s">
        <v>57</v>
      </c>
      <c r="B58" s="4" t="s">
        <v>73</v>
      </c>
      <c r="C58" s="4" t="n">
        <v>0</v>
      </c>
      <c r="D58" s="4" t="n">
        <v>0.8</v>
      </c>
      <c r="E58" s="4" t="n">
        <v>0.7</v>
      </c>
      <c r="F58" s="4" t="s">
        <v>74</v>
      </c>
    </row>
    <row r="59" customFormat="false" ht="15" hidden="false" customHeight="false" outlineLevel="0" collapsed="false">
      <c r="A59" s="4" t="s">
        <v>28</v>
      </c>
      <c r="B59" s="4" t="s">
        <v>75</v>
      </c>
      <c r="C59" s="4" t="n">
        <v>0</v>
      </c>
      <c r="D59" s="4" t="n">
        <v>0.9</v>
      </c>
      <c r="E59" s="4" t="n">
        <v>0.7</v>
      </c>
      <c r="F59" s="4" t="s">
        <v>76</v>
      </c>
    </row>
    <row r="60" customFormat="false" ht="15" hidden="false" customHeight="false" outlineLevel="0" collapsed="false">
      <c r="A60" s="4" t="s">
        <v>57</v>
      </c>
      <c r="B60" s="4" t="s">
        <v>77</v>
      </c>
      <c r="C60" s="4" t="n">
        <v>0</v>
      </c>
      <c r="D60" s="4" t="n">
        <v>2.4</v>
      </c>
      <c r="E60" s="4" t="n">
        <v>0</v>
      </c>
      <c r="F60" s="4" t="s">
        <v>78</v>
      </c>
    </row>
    <row r="61" customFormat="false" ht="15" hidden="false" customHeight="false" outlineLevel="0" collapsed="false">
      <c r="A61" s="4" t="s">
        <v>57</v>
      </c>
      <c r="B61" s="4" t="s">
        <v>79</v>
      </c>
      <c r="C61" s="4" t="n">
        <v>0</v>
      </c>
      <c r="D61" s="4" t="n">
        <v>1.7</v>
      </c>
      <c r="E61" s="4" t="n">
        <v>0.7</v>
      </c>
      <c r="F61" s="4" t="s">
        <v>80</v>
      </c>
    </row>
    <row r="62" customFormat="false" ht="15" hidden="false" customHeight="false" outlineLevel="0" collapsed="false">
      <c r="A62" s="4" t="s">
        <v>10</v>
      </c>
      <c r="B62" s="4" t="s">
        <v>81</v>
      </c>
      <c r="C62" s="4" t="n">
        <v>0</v>
      </c>
      <c r="D62" s="4" t="n">
        <v>4.5</v>
      </c>
      <c r="E62" s="4" t="n">
        <v>0</v>
      </c>
      <c r="F62" s="4" t="s">
        <v>82</v>
      </c>
    </row>
    <row r="63" customFormat="false" ht="15" hidden="false" customHeight="false" outlineLevel="0" collapsed="false">
      <c r="A63" s="4" t="s">
        <v>28</v>
      </c>
      <c r="B63" s="4" t="s">
        <v>83</v>
      </c>
      <c r="C63" s="4" t="n">
        <v>12.7</v>
      </c>
      <c r="D63" s="4" t="n">
        <v>16.1</v>
      </c>
      <c r="E63" s="4" t="n">
        <v>1.4</v>
      </c>
      <c r="F63" s="4" t="s">
        <v>84</v>
      </c>
    </row>
    <row r="64" customFormat="false" ht="15" hidden="false" customHeight="false" outlineLevel="0" collapsed="false">
      <c r="A64" s="4" t="s">
        <v>10</v>
      </c>
      <c r="B64" s="4" t="s">
        <v>85</v>
      </c>
      <c r="C64" s="4" t="n">
        <v>0</v>
      </c>
      <c r="D64" s="4" t="n">
        <v>6</v>
      </c>
      <c r="E64" s="4" t="n">
        <v>0</v>
      </c>
      <c r="F64" s="4" t="s">
        <v>86</v>
      </c>
    </row>
    <row r="65" customFormat="false" ht="15" hidden="false" customHeight="false" outlineLevel="0" collapsed="false">
      <c r="A65" s="4" t="s">
        <v>57</v>
      </c>
      <c r="B65" s="4" t="s">
        <v>87</v>
      </c>
      <c r="C65" s="4" t="n">
        <v>73</v>
      </c>
      <c r="D65" s="4" t="n">
        <f aca="false">Calvados!E14</f>
        <v>110.704</v>
      </c>
      <c r="E65" s="4" t="n">
        <v>1</v>
      </c>
      <c r="F65" s="4" t="s">
        <v>88</v>
      </c>
    </row>
    <row r="66" customFormat="false" ht="15" hidden="false" customHeight="false" outlineLevel="0" collapsed="false">
      <c r="A66" s="4" t="s">
        <v>10</v>
      </c>
      <c r="B66" s="4" t="s">
        <v>89</v>
      </c>
      <c r="C66" s="4" t="n">
        <v>18</v>
      </c>
      <c r="D66" s="4" t="n">
        <v>73.7</v>
      </c>
      <c r="E66" s="4" t="n">
        <v>12</v>
      </c>
      <c r="F66" s="4" t="s">
        <v>90</v>
      </c>
    </row>
    <row r="67" customFormat="false" ht="15" hidden="false" customHeight="false" outlineLevel="0" collapsed="false">
      <c r="A67" s="4" t="s">
        <v>10</v>
      </c>
      <c r="B67" s="4" t="s">
        <v>91</v>
      </c>
      <c r="C67" s="4" t="n">
        <v>6</v>
      </c>
      <c r="D67" s="4" t="n">
        <v>78.9</v>
      </c>
      <c r="E67" s="4" t="n">
        <v>2.2</v>
      </c>
      <c r="F67" s="4" t="s">
        <v>92</v>
      </c>
    </row>
    <row r="68" customFormat="false" ht="15" hidden="false" customHeight="false" outlineLevel="0" collapsed="false">
      <c r="A68" s="4" t="s">
        <v>10</v>
      </c>
      <c r="B68" s="4" t="s">
        <v>93</v>
      </c>
      <c r="C68" s="4" t="n">
        <v>214.5</v>
      </c>
      <c r="D68" s="4" t="n">
        <v>309.9</v>
      </c>
      <c r="E68" s="4" t="n">
        <v>0</v>
      </c>
      <c r="F68" s="4" t="s">
        <v>94</v>
      </c>
    </row>
    <row r="69" customFormat="false" ht="15" hidden="false" customHeight="false" outlineLevel="0" collapsed="false">
      <c r="A69" s="4" t="s">
        <v>10</v>
      </c>
      <c r="B69" s="4" t="s">
        <v>95</v>
      </c>
      <c r="C69" s="4" t="n">
        <v>0</v>
      </c>
      <c r="D69" s="4" t="n">
        <v>426.9</v>
      </c>
      <c r="E69" s="4" t="n">
        <v>0</v>
      </c>
      <c r="F69" s="4" t="s">
        <v>96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5" min="3" style="0" width="14"/>
  </cols>
  <sheetData>
    <row r="1" customFormat="false" ht="15" hidden="false" customHeight="false" outlineLevel="0" collapsed="false">
      <c r="A1" s="1" t="s">
        <v>97</v>
      </c>
      <c r="B1" s="1"/>
      <c r="C1" s="1"/>
      <c r="D1" s="1"/>
      <c r="E1" s="1"/>
    </row>
    <row r="2" customFormat="false" ht="45.75" hidden="false" customHeight="true" outlineLevel="0" collapsed="false">
      <c r="A2" s="2" t="s">
        <v>98</v>
      </c>
      <c r="B2" s="2"/>
      <c r="C2" s="2"/>
      <c r="D2" s="2"/>
      <c r="E2" s="2"/>
    </row>
    <row r="4" customFormat="false" ht="28.35" hidden="false" customHeight="fals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</row>
    <row r="5" customFormat="false" ht="15" hidden="false" customHeight="false" outlineLevel="0" collapsed="false">
      <c r="A5" s="4" t="s">
        <v>104</v>
      </c>
      <c r="B5" s="4" t="s">
        <v>105</v>
      </c>
      <c r="C5" s="4" t="n">
        <v>32</v>
      </c>
      <c r="D5" s="4" t="n">
        <v>4</v>
      </c>
      <c r="E5" s="4" t="n">
        <f aca="false">C5*D5/100</f>
        <v>1.28</v>
      </c>
    </row>
    <row r="6" customFormat="false" ht="15" hidden="false" customHeight="false" outlineLevel="0" collapsed="false">
      <c r="A6" s="4" t="s">
        <v>104</v>
      </c>
      <c r="B6" s="4" t="s">
        <v>87</v>
      </c>
      <c r="C6" s="4" t="n">
        <v>4</v>
      </c>
      <c r="D6" s="4" t="n">
        <v>4</v>
      </c>
      <c r="E6" s="4" t="n">
        <f aca="false">C6*D6/100</f>
        <v>0.16</v>
      </c>
    </row>
    <row r="7" customFormat="false" ht="15" hidden="false" customHeight="false" outlineLevel="0" collapsed="false">
      <c r="A7" s="4" t="s">
        <v>106</v>
      </c>
      <c r="B7" s="4" t="s">
        <v>107</v>
      </c>
      <c r="C7" s="4" t="n">
        <v>1451.6</v>
      </c>
      <c r="D7" s="4" t="n">
        <v>4</v>
      </c>
      <c r="E7" s="4" t="n">
        <f aca="false">C7*D7/100</f>
        <v>58.064</v>
      </c>
    </row>
    <row r="8" customFormat="false" ht="15" hidden="false" customHeight="false" outlineLevel="0" collapsed="false">
      <c r="A8" s="4" t="s">
        <v>106</v>
      </c>
      <c r="B8" s="4" t="s">
        <v>108</v>
      </c>
      <c r="C8" s="4" t="n">
        <v>648</v>
      </c>
      <c r="D8" s="4" t="n">
        <v>4</v>
      </c>
      <c r="E8" s="4" t="n">
        <f aca="false">C8*D8/100</f>
        <v>25.92</v>
      </c>
    </row>
    <row r="9" customFormat="false" ht="15" hidden="false" customHeight="false" outlineLevel="0" collapsed="false">
      <c r="A9" s="4" t="s">
        <v>106</v>
      </c>
      <c r="B9" s="4" t="s">
        <v>109</v>
      </c>
      <c r="C9" s="4" t="n">
        <v>346</v>
      </c>
      <c r="D9" s="4" t="n">
        <v>4</v>
      </c>
      <c r="E9" s="4" t="n">
        <f aca="false">C9*D9/100</f>
        <v>13.84</v>
      </c>
    </row>
    <row r="10" customFormat="false" ht="15" hidden="false" customHeight="false" outlineLevel="0" collapsed="false">
      <c r="A10" s="4" t="s">
        <v>106</v>
      </c>
      <c r="B10" s="4" t="s">
        <v>110</v>
      </c>
      <c r="C10" s="4" t="n">
        <v>113</v>
      </c>
      <c r="D10" s="4" t="n">
        <v>4</v>
      </c>
      <c r="E10" s="4" t="n">
        <f aca="false">C10*D10/100</f>
        <v>4.52</v>
      </c>
    </row>
    <row r="11" customFormat="false" ht="15" hidden="false" customHeight="false" outlineLevel="0" collapsed="false">
      <c r="A11" s="4" t="s">
        <v>106</v>
      </c>
      <c r="B11" s="4" t="s">
        <v>111</v>
      </c>
      <c r="C11" s="4" t="n">
        <v>83</v>
      </c>
      <c r="D11" s="4" t="n">
        <v>4</v>
      </c>
      <c r="E11" s="4" t="n">
        <f aca="false">C11*D11/100</f>
        <v>3.32</v>
      </c>
    </row>
    <row r="12" customFormat="false" ht="15" hidden="false" customHeight="false" outlineLevel="0" collapsed="false">
      <c r="A12" s="4" t="s">
        <v>106</v>
      </c>
      <c r="B12" s="4" t="s">
        <v>112</v>
      </c>
      <c r="C12" s="4" t="n">
        <v>67</v>
      </c>
      <c r="D12" s="4" t="n">
        <v>4</v>
      </c>
      <c r="E12" s="4" t="n">
        <f aca="false">C12*D12/100</f>
        <v>2.68</v>
      </c>
    </row>
    <row r="13" customFormat="false" ht="15" hidden="false" customHeight="false" outlineLevel="0" collapsed="false">
      <c r="A13" s="4" t="s">
        <v>106</v>
      </c>
      <c r="B13" s="4" t="s">
        <v>113</v>
      </c>
      <c r="C13" s="4" t="n">
        <v>23</v>
      </c>
      <c r="D13" s="4" t="n">
        <v>4</v>
      </c>
      <c r="E13" s="4" t="n">
        <f aca="false">C13*D13/100</f>
        <v>0.92</v>
      </c>
    </row>
    <row r="14" customFormat="false" ht="15" hidden="false" customHeight="false" outlineLevel="0" collapsed="false">
      <c r="B14" s="5" t="s">
        <v>114</v>
      </c>
      <c r="E14" s="6" t="n">
        <f aca="false">SUM(E5:E13)</f>
        <v>110.704</v>
      </c>
    </row>
    <row r="15" customFormat="false" ht="15" hidden="false" customHeight="false" outlineLevel="0" collapsed="false">
      <c r="B15" s="5" t="s">
        <v>115</v>
      </c>
      <c r="E15" s="5" t="n">
        <f aca="false">SUM(E5:E6)</f>
        <v>1.44</v>
      </c>
    </row>
    <row r="16" customFormat="false" ht="15" hidden="false" customHeight="false" outlineLevel="0" collapsed="false">
      <c r="B16" s="5" t="s">
        <v>116</v>
      </c>
      <c r="E16" s="5" t="n">
        <f aca="false">SUM(E7:E13)</f>
        <v>109.264</v>
      </c>
    </row>
    <row r="17" customFormat="false" ht="15" hidden="false" customHeight="false" outlineLevel="0" collapsed="false">
      <c r="B17" s="0" t="s">
        <v>117</v>
      </c>
      <c r="E17" s="0" t="n">
        <v>73</v>
      </c>
    </row>
    <row r="18" customFormat="false" ht="15" hidden="false" customHeight="false" outlineLevel="0" collapsed="false">
      <c r="B18" s="0" t="s">
        <v>118</v>
      </c>
      <c r="E18" s="0" t="n">
        <v>1</v>
      </c>
    </row>
    <row r="19" customFormat="false" ht="15" hidden="false" customHeight="false" outlineLevel="0" collapsed="false">
      <c r="B19" s="5" t="s">
        <v>119</v>
      </c>
      <c r="E19" s="7" t="n">
        <f aca="false">E17-E14-E18</f>
        <v>-38.704</v>
      </c>
    </row>
    <row r="20" customFormat="false" ht="15" hidden="false" customHeight="false" outlineLevel="0" collapsed="false">
      <c r="B20" s="5" t="s">
        <v>120</v>
      </c>
      <c r="E20" s="5" t="n">
        <f aca="false">E14-E17</f>
        <v>37.704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0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121</v>
      </c>
      <c r="B1" s="1"/>
      <c r="C1" s="1"/>
      <c r="D1" s="1"/>
      <c r="E1" s="1"/>
      <c r="F1" s="1"/>
      <c r="G1" s="1"/>
    </row>
    <row r="2" customFormat="false" ht="31.5" hidden="false" customHeight="true" outlineLevel="0" collapsed="false">
      <c r="A2" s="2" t="s">
        <v>122</v>
      </c>
      <c r="B2" s="2"/>
      <c r="C2" s="2"/>
      <c r="D2" s="2"/>
      <c r="E2" s="2"/>
      <c r="F2" s="2"/>
      <c r="G2" s="2"/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123</v>
      </c>
      <c r="D4" s="3" t="s">
        <v>124</v>
      </c>
      <c r="E4" s="3" t="s">
        <v>125</v>
      </c>
      <c r="F4" s="3" t="s">
        <v>126</v>
      </c>
      <c r="G4" s="3" t="s">
        <v>127</v>
      </c>
    </row>
    <row r="5" customFormat="false" ht="15" hidden="false" customHeight="false" outlineLevel="0" collapsed="false">
      <c r="A5" s="4" t="str">
        <f aca="false">Sources!A5</f>
        <v>Bieres</v>
      </c>
      <c r="B5" s="4" t="str">
        <f aca="false">Sources!B5</f>
        <v>Fût Affligem</v>
      </c>
      <c r="C5" s="4" t="n">
        <f aca="false">Sources!C5</f>
        <v>2096</v>
      </c>
      <c r="D5" s="4" t="n">
        <f aca="false">Sources!D5</f>
        <v>1501</v>
      </c>
      <c r="E5" s="4" t="n">
        <f aca="false">Sources!E5</f>
        <v>40</v>
      </c>
      <c r="F5" s="4" t="n">
        <f aca="false">C5-D5-E5</f>
        <v>555</v>
      </c>
      <c r="G5" s="4" t="n">
        <f aca="false">D5-C5</f>
        <v>-595</v>
      </c>
    </row>
    <row r="6" customFormat="false" ht="15" hidden="false" customHeight="false" outlineLevel="0" collapsed="false">
      <c r="A6" s="4" t="str">
        <f aca="false">Sources!A6</f>
        <v>Vins tranquilles</v>
      </c>
      <c r="B6" s="4" t="str">
        <f aca="false">Sources!B6</f>
        <v>Côtes de Provence rosé maison (Cap des Pins)</v>
      </c>
      <c r="C6" s="4" t="n">
        <f aca="false">Sources!C6</f>
        <v>681</v>
      </c>
      <c r="D6" s="4" t="n">
        <f aca="false">Sources!D6</f>
        <v>286.8</v>
      </c>
      <c r="E6" s="4" t="n">
        <f aca="false">Sources!E6</f>
        <v>0</v>
      </c>
      <c r="F6" s="4" t="n">
        <f aca="false">C6-D6-E6</f>
        <v>394.2</v>
      </c>
      <c r="G6" s="4" t="n">
        <f aca="false">D6-C6</f>
        <v>-394.2</v>
      </c>
    </row>
    <row r="7" customFormat="false" ht="15" hidden="false" customHeight="false" outlineLevel="0" collapsed="false">
      <c r="A7" s="4" t="str">
        <f aca="false">Sources!A7</f>
        <v>Vins de liqueur (Macvin)</v>
      </c>
      <c r="B7" s="4" t="str">
        <f aca="false">Sources!B7</f>
        <v>Macvin</v>
      </c>
      <c r="C7" s="4" t="n">
        <f aca="false">Sources!C7</f>
        <v>806.2</v>
      </c>
      <c r="D7" s="4" t="n">
        <f aca="false">Sources!D7</f>
        <v>470.8</v>
      </c>
      <c r="E7" s="4" t="n">
        <f aca="false">Sources!E7</f>
        <v>0</v>
      </c>
      <c r="F7" s="4" t="n">
        <f aca="false">C7-D7-E7</f>
        <v>335.4</v>
      </c>
      <c r="G7" s="4" t="n">
        <f aca="false">D7-C7</f>
        <v>-335.4</v>
      </c>
    </row>
    <row r="8" customFormat="false" ht="15" hidden="false" customHeight="false" outlineLevel="0" collapsed="false">
      <c r="A8" s="4" t="str">
        <f aca="false">Sources!A8</f>
        <v>Cremant et champagne</v>
      </c>
      <c r="B8" s="4" t="str">
        <f aca="false">Sources!B8</f>
        <v>Crémant du Jura</v>
      </c>
      <c r="C8" s="4" t="n">
        <f aca="false">Sources!C8</f>
        <v>675</v>
      </c>
      <c r="D8" s="4" t="n">
        <f aca="false">Sources!D8</f>
        <v>379.6</v>
      </c>
      <c r="E8" s="4" t="n">
        <f aca="false">Sources!E8</f>
        <v>6.8</v>
      </c>
      <c r="F8" s="4" t="n">
        <f aca="false">C8-D8-E8</f>
        <v>288.6</v>
      </c>
      <c r="G8" s="4" t="n">
        <f aca="false">D8-C8</f>
        <v>-295.4</v>
      </c>
    </row>
    <row r="9" customFormat="false" ht="15" hidden="false" customHeight="false" outlineLevel="0" collapsed="false">
      <c r="A9" s="4" t="str">
        <f aca="false">Sources!A9</f>
        <v>Vins tranquilles</v>
      </c>
      <c r="B9" s="4" t="str">
        <f aca="false">Sources!B9</f>
        <v>Bourgogne Aligoté maison</v>
      </c>
      <c r="C9" s="4" t="n">
        <f aca="false">Sources!C9</f>
        <v>630</v>
      </c>
      <c r="D9" s="4" t="n">
        <f aca="false">Sources!D9</f>
        <v>346.8</v>
      </c>
      <c r="E9" s="4" t="n">
        <f aca="false">Sources!E9</f>
        <v>0</v>
      </c>
      <c r="F9" s="4" t="n">
        <f aca="false">C9-D9-E9</f>
        <v>283.2</v>
      </c>
      <c r="G9" s="4" t="n">
        <f aca="false">D9-C9</f>
        <v>-283.2</v>
      </c>
    </row>
    <row r="10" customFormat="false" ht="15" hidden="false" customHeight="false" outlineLevel="0" collapsed="false">
      <c r="A10" s="4" t="str">
        <f aca="false">Sources!A10</f>
        <v>Vins tranquilles</v>
      </c>
      <c r="B10" s="4" t="str">
        <f aca="false">Sources!B10</f>
        <v>Saint Véran</v>
      </c>
      <c r="C10" s="4" t="n">
        <f aca="false">Sources!C10</f>
        <v>465</v>
      </c>
      <c r="D10" s="4" t="n">
        <f aca="false">Sources!D10</f>
        <v>245.4</v>
      </c>
      <c r="E10" s="4" t="n">
        <f aca="false">Sources!E10</f>
        <v>5.2</v>
      </c>
      <c r="F10" s="4" t="n">
        <f aca="false">C10-D10-E10</f>
        <v>214.4</v>
      </c>
      <c r="G10" s="4" t="n">
        <f aca="false">D10-C10</f>
        <v>-219.6</v>
      </c>
    </row>
    <row r="11" customFormat="false" ht="15" hidden="false" customHeight="false" outlineLevel="0" collapsed="false">
      <c r="A11" s="4" t="str">
        <f aca="false">Sources!A11</f>
        <v>Vins tranquilles</v>
      </c>
      <c r="B11" s="4" t="str">
        <f aca="false">Sources!B11</f>
        <v>Rosé Les Jamelles (Clair de Rosé)</v>
      </c>
      <c r="C11" s="4" t="n">
        <f aca="false">Sources!C11</f>
        <v>302.2</v>
      </c>
      <c r="D11" s="4" t="n">
        <f aca="false">Sources!D11</f>
        <v>97.9</v>
      </c>
      <c r="E11" s="4" t="n">
        <f aca="false">Sources!E11</f>
        <v>12</v>
      </c>
      <c r="F11" s="4" t="n">
        <f aca="false">C11-D11-E11</f>
        <v>192.3</v>
      </c>
      <c r="G11" s="4" t="n">
        <f aca="false">D11-C11</f>
        <v>-204.3</v>
      </c>
    </row>
    <row r="12" customFormat="false" ht="15" hidden="false" customHeight="false" outlineLevel="0" collapsed="false">
      <c r="A12" s="4" t="str">
        <f aca="false">Sources!A12</f>
        <v>Vins tranquilles</v>
      </c>
      <c r="B12" s="4" t="str">
        <f aca="false">Sources!B12</f>
        <v>Côtes du Rhône rouge maison (Chusclan)</v>
      </c>
      <c r="C12" s="4" t="n">
        <f aca="false">Sources!C12</f>
        <v>360</v>
      </c>
      <c r="D12" s="4" t="n">
        <f aca="false">Sources!D12</f>
        <v>190.8</v>
      </c>
      <c r="E12" s="4" t="n">
        <f aca="false">Sources!E12</f>
        <v>0</v>
      </c>
      <c r="F12" s="4" t="n">
        <f aca="false">C12-D12-E12</f>
        <v>169.2</v>
      </c>
      <c r="G12" s="4" t="n">
        <f aca="false">D12-C12</f>
        <v>-169.2</v>
      </c>
    </row>
    <row r="13" customFormat="false" ht="15" hidden="false" customHeight="false" outlineLevel="0" collapsed="false">
      <c r="A13" s="4" t="str">
        <f aca="false">Sources!A13</f>
        <v>Vins tranquilles</v>
      </c>
      <c r="B13" s="4" t="str">
        <f aca="false">Sources!B13</f>
        <v>Arbois Chardonnay</v>
      </c>
      <c r="C13" s="4" t="n">
        <f aca="false">Sources!C13</f>
        <v>201.7</v>
      </c>
      <c r="D13" s="4" t="n">
        <f aca="false">Sources!D13</f>
        <v>32.6</v>
      </c>
      <c r="E13" s="4" t="n">
        <f aca="false">Sources!E13</f>
        <v>12</v>
      </c>
      <c r="F13" s="4" t="n">
        <f aca="false">C13-D13-E13</f>
        <v>157.1</v>
      </c>
      <c r="G13" s="4" t="n">
        <f aca="false">D13-C13</f>
        <v>-169.1</v>
      </c>
    </row>
    <row r="14" customFormat="false" ht="15" hidden="false" customHeight="false" outlineLevel="0" collapsed="false">
      <c r="A14" s="4" t="str">
        <f aca="false">Sources!A14</f>
        <v>Cidres</v>
      </c>
      <c r="B14" s="4" t="str">
        <f aca="false">Sources!B14</f>
        <v>Cidre La Mordue</v>
      </c>
      <c r="C14" s="4" t="n">
        <f aca="false">Sources!C14</f>
        <v>237.9</v>
      </c>
      <c r="D14" s="4" t="n">
        <f aca="false">Sources!D14</f>
        <v>92.5</v>
      </c>
      <c r="E14" s="4" t="n">
        <f aca="false">Sources!E14</f>
        <v>4.9</v>
      </c>
      <c r="F14" s="4" t="n">
        <f aca="false">C14-D14-E14</f>
        <v>140.5</v>
      </c>
      <c r="G14" s="4" t="n">
        <f aca="false">D14-C14</f>
        <v>-145.4</v>
      </c>
    </row>
    <row r="15" customFormat="false" ht="15" hidden="false" customHeight="false" outlineLevel="0" collapsed="false">
      <c r="A15" s="4" t="str">
        <f aca="false">Sources!A15</f>
        <v>Vins tranquilles</v>
      </c>
      <c r="B15" s="4" t="str">
        <f aca="false">Sources!B15</f>
        <v>Arbois Trousseau</v>
      </c>
      <c r="C15" s="4" t="n">
        <f aca="false">Sources!C15</f>
        <v>462.7</v>
      </c>
      <c r="D15" s="4" t="n">
        <f aca="false">Sources!D15</f>
        <v>346.1</v>
      </c>
      <c r="E15" s="4" t="n">
        <f aca="false">Sources!E15</f>
        <v>6</v>
      </c>
      <c r="F15" s="4" t="n">
        <f aca="false">C15-D15-E15</f>
        <v>110.6</v>
      </c>
      <c r="G15" s="4" t="n">
        <f aca="false">D15-C15</f>
        <v>-116.6</v>
      </c>
    </row>
    <row r="16" customFormat="false" ht="15" hidden="false" customHeight="false" outlineLevel="0" collapsed="false">
      <c r="A16" s="4" t="str">
        <f aca="false">Sources!A16</f>
        <v>Vins tranquilles</v>
      </c>
      <c r="B16" s="4" t="str">
        <f aca="false">Sources!B16</f>
        <v>Moulin à Vent</v>
      </c>
      <c r="C16" s="4" t="n">
        <f aca="false">Sources!C16</f>
        <v>201.8</v>
      </c>
      <c r="D16" s="4" t="n">
        <f aca="false">Sources!D16</f>
        <v>103.8</v>
      </c>
      <c r="E16" s="4" t="n">
        <f aca="false">Sources!E16</f>
        <v>7.5</v>
      </c>
      <c r="F16" s="4" t="n">
        <f aca="false">C16-D16-E16</f>
        <v>90.5</v>
      </c>
      <c r="G16" s="4" t="n">
        <f aca="false">D16-C16</f>
        <v>-98</v>
      </c>
    </row>
    <row r="17" customFormat="false" ht="15" hidden="false" customHeight="false" outlineLevel="0" collapsed="false">
      <c r="A17" s="4" t="str">
        <f aca="false">Sources!A17</f>
        <v>Vins tranquilles</v>
      </c>
      <c r="B17" s="4" t="str">
        <f aca="false">Sources!B17</f>
        <v>Arbois Savagnin</v>
      </c>
      <c r="C17" s="4" t="n">
        <f aca="false">Sources!C17</f>
        <v>516</v>
      </c>
      <c r="D17" s="4" t="n">
        <f aca="false">Sources!D17</f>
        <v>429.5</v>
      </c>
      <c r="E17" s="4" t="n">
        <f aca="false">Sources!E17</f>
        <v>9.8</v>
      </c>
      <c r="F17" s="4" t="n">
        <f aca="false">C17-D17-E17</f>
        <v>76.7</v>
      </c>
      <c r="G17" s="4" t="n">
        <f aca="false">D17-C17</f>
        <v>-86.5</v>
      </c>
    </row>
    <row r="18" customFormat="false" ht="15" hidden="false" customHeight="false" outlineLevel="0" collapsed="false">
      <c r="A18" s="4" t="str">
        <f aca="false">Sources!A18</f>
        <v>Vins tranquilles</v>
      </c>
      <c r="B18" s="4" t="str">
        <f aca="false">Sources!B18</f>
        <v>Ravelin</v>
      </c>
      <c r="C18" s="4" t="n">
        <f aca="false">Sources!C18</f>
        <v>319.5</v>
      </c>
      <c r="D18" s="4" t="n">
        <f aca="false">Sources!D18</f>
        <v>251.8</v>
      </c>
      <c r="E18" s="4" t="n">
        <f aca="false">Sources!E18</f>
        <v>0</v>
      </c>
      <c r="F18" s="4" t="n">
        <f aca="false">C18-D18-E18</f>
        <v>67.7</v>
      </c>
      <c r="G18" s="4" t="n">
        <f aca="false">D18-C18</f>
        <v>-67.7</v>
      </c>
    </row>
    <row r="19" customFormat="false" ht="15" hidden="false" customHeight="false" outlineLevel="0" collapsed="false">
      <c r="A19" s="4" t="str">
        <f aca="false">Sources!A19</f>
        <v>Vins tranquilles</v>
      </c>
      <c r="B19" s="4" t="str">
        <f aca="false">Sources!B19</f>
        <v>Saint Joseph Rouge</v>
      </c>
      <c r="C19" s="4" t="n">
        <f aca="false">Sources!C19</f>
        <v>238.5</v>
      </c>
      <c r="D19" s="4" t="n">
        <f aca="false">Sources!D19</f>
        <v>165.2</v>
      </c>
      <c r="E19" s="4" t="n">
        <f aca="false">Sources!E19</f>
        <v>6.8</v>
      </c>
      <c r="F19" s="4" t="n">
        <f aca="false">C19-D19-E19</f>
        <v>66.5</v>
      </c>
      <c r="G19" s="4" t="n">
        <f aca="false">D19-C19</f>
        <v>-73.3</v>
      </c>
    </row>
    <row r="20" customFormat="false" ht="15" hidden="false" customHeight="false" outlineLevel="0" collapsed="false">
      <c r="A20" s="4" t="str">
        <f aca="false">Sources!A20</f>
        <v>Liqueurs</v>
      </c>
      <c r="B20" s="4" t="str">
        <f aca="false">Sources!B20</f>
        <v>Crème de Cassis</v>
      </c>
      <c r="C20" s="4" t="n">
        <f aca="false">Sources!C20</f>
        <v>132.7</v>
      </c>
      <c r="D20" s="4" t="n">
        <f aca="false">Sources!D20</f>
        <v>69</v>
      </c>
      <c r="E20" s="4" t="n">
        <f aca="false">Sources!E20</f>
        <v>0</v>
      </c>
      <c r="F20" s="4" t="n">
        <f aca="false">C20-D20-E20</f>
        <v>63.7</v>
      </c>
      <c r="G20" s="4" t="n">
        <f aca="false">D20-C20</f>
        <v>-63.7</v>
      </c>
    </row>
    <row r="21" customFormat="false" ht="15" hidden="false" customHeight="false" outlineLevel="0" collapsed="false">
      <c r="A21" s="4" t="str">
        <f aca="false">Sources!A21</f>
        <v>Bieres</v>
      </c>
      <c r="B21" s="4" t="str">
        <f aca="false">Sources!B21</f>
        <v>Rouget de Lisle Blanche 33cl</v>
      </c>
      <c r="C21" s="4" t="n">
        <f aca="false">Sources!C21</f>
        <v>195.3</v>
      </c>
      <c r="D21" s="4" t="n">
        <f aca="false">Sources!D21</f>
        <v>136.5</v>
      </c>
      <c r="E21" s="4" t="n">
        <f aca="false">Sources!E21</f>
        <v>3</v>
      </c>
      <c r="F21" s="4" t="n">
        <f aca="false">C21-D21-E21</f>
        <v>55.8</v>
      </c>
      <c r="G21" s="4" t="n">
        <f aca="false">D21-C21</f>
        <v>-58.8</v>
      </c>
    </row>
    <row r="22" customFormat="false" ht="15" hidden="false" customHeight="false" outlineLevel="0" collapsed="false">
      <c r="A22" s="4" t="str">
        <f aca="false">Sources!A22</f>
        <v>Vins tranquilles</v>
      </c>
      <c r="B22" s="4" t="str">
        <f aca="false">Sources!B22</f>
        <v>Arbois Vin Jaune</v>
      </c>
      <c r="C22" s="4" t="n">
        <f aca="false">Sources!C22</f>
        <v>218.5</v>
      </c>
      <c r="D22" s="4" t="n">
        <f aca="false">Sources!D22</f>
        <v>161.9</v>
      </c>
      <c r="E22" s="4" t="n">
        <f aca="false">Sources!E22</f>
        <v>1.2</v>
      </c>
      <c r="F22" s="4" t="n">
        <f aca="false">C22-D22-E22</f>
        <v>55.4</v>
      </c>
      <c r="G22" s="4" t="n">
        <f aca="false">D22-C22</f>
        <v>-56.6</v>
      </c>
    </row>
    <row r="23" customFormat="false" ht="15" hidden="false" customHeight="false" outlineLevel="0" collapsed="false">
      <c r="A23" s="4" t="str">
        <f aca="false">Sources!A23</f>
        <v>Vins tranquilles</v>
      </c>
      <c r="B23" s="4" t="str">
        <f aca="false">Sources!B23</f>
        <v>Macon</v>
      </c>
      <c r="C23" s="4" t="n">
        <f aca="false">Sources!C23</f>
        <v>191.3</v>
      </c>
      <c r="D23" s="4" t="n">
        <f aca="false">Sources!D23</f>
        <v>139.8</v>
      </c>
      <c r="E23" s="4" t="n">
        <f aca="false">Sources!E23</f>
        <v>4.5</v>
      </c>
      <c r="F23" s="4" t="n">
        <f aca="false">C23-D23-E23</f>
        <v>47</v>
      </c>
      <c r="G23" s="4" t="n">
        <f aca="false">D23-C23</f>
        <v>-51.5</v>
      </c>
    </row>
    <row r="24" customFormat="false" ht="15" hidden="false" customHeight="false" outlineLevel="0" collapsed="false">
      <c r="A24" s="4" t="str">
        <f aca="false">Sources!A24</f>
        <v>Bieres</v>
      </c>
      <c r="B24" s="4" t="str">
        <f aca="false">Sources!B24</f>
        <v>Rouget de Lisle Ambrée 33cl</v>
      </c>
      <c r="C24" s="4" t="n">
        <f aca="false">Sources!C24</f>
        <v>182.2</v>
      </c>
      <c r="D24" s="4" t="n">
        <f aca="false">Sources!D24</f>
        <v>127.7</v>
      </c>
      <c r="E24" s="4" t="n">
        <f aca="false">Sources!E24</f>
        <v>8.9</v>
      </c>
      <c r="F24" s="4" t="n">
        <f aca="false">C24-D24-E24</f>
        <v>45.6</v>
      </c>
      <c r="G24" s="4" t="n">
        <f aca="false">D24-C24</f>
        <v>-54.5</v>
      </c>
    </row>
    <row r="25" customFormat="false" ht="15" hidden="false" customHeight="false" outlineLevel="0" collapsed="false">
      <c r="A25" s="4" t="str">
        <f aca="false">Sources!A25</f>
        <v>Aperitifs</v>
      </c>
      <c r="B25" s="4" t="str">
        <f aca="false">Sources!B25</f>
        <v>Picon</v>
      </c>
      <c r="C25" s="4" t="n">
        <f aca="false">Sources!C25</f>
        <v>72</v>
      </c>
      <c r="D25" s="4" t="n">
        <f aca="false">Sources!D25</f>
        <v>28.3</v>
      </c>
      <c r="E25" s="4" t="n">
        <f aca="false">Sources!E25</f>
        <v>0</v>
      </c>
      <c r="F25" s="4" t="n">
        <f aca="false">C25-D25-E25</f>
        <v>43.7</v>
      </c>
      <c r="G25" s="4" t="n">
        <f aca="false">D25-C25</f>
        <v>-43.7</v>
      </c>
    </row>
    <row r="26" customFormat="false" ht="15" hidden="false" customHeight="false" outlineLevel="0" collapsed="false">
      <c r="A26" s="4" t="str">
        <f aca="false">Sources!A26</f>
        <v>Cidres</v>
      </c>
      <c r="B26" s="4" t="str">
        <f aca="false">Sources!B26</f>
        <v>Cidre Brut</v>
      </c>
      <c r="C26" s="4" t="n">
        <f aca="false">Sources!C26</f>
        <v>184.5</v>
      </c>
      <c r="D26" s="4" t="n">
        <f aca="false">Sources!D26</f>
        <v>125.2</v>
      </c>
      <c r="E26" s="4" t="n">
        <f aca="false">Sources!E26</f>
        <v>16.5</v>
      </c>
      <c r="F26" s="4" t="n">
        <f aca="false">C26-D26-E26</f>
        <v>42.8</v>
      </c>
      <c r="G26" s="4" t="n">
        <f aca="false">D26-C26</f>
        <v>-59.3</v>
      </c>
    </row>
    <row r="27" customFormat="false" ht="15" hidden="false" customHeight="false" outlineLevel="0" collapsed="false">
      <c r="A27" s="4" t="str">
        <f aca="false">Sources!A27</f>
        <v>Aperitifs</v>
      </c>
      <c r="B27" s="4" t="str">
        <f aca="false">Sources!B27</f>
        <v>Porto</v>
      </c>
      <c r="C27" s="4" t="n">
        <f aca="false">Sources!C27</f>
        <v>114.8</v>
      </c>
      <c r="D27" s="4" t="n">
        <f aca="false">Sources!D27</f>
        <v>78.5</v>
      </c>
      <c r="E27" s="4" t="n">
        <f aca="false">Sources!E27</f>
        <v>1.5</v>
      </c>
      <c r="F27" s="4" t="n">
        <f aca="false">C27-D27-E27</f>
        <v>34.8</v>
      </c>
      <c r="G27" s="4" t="n">
        <f aca="false">D27-C27</f>
        <v>-36.3</v>
      </c>
    </row>
    <row r="28" customFormat="false" ht="15" hidden="false" customHeight="false" outlineLevel="0" collapsed="false">
      <c r="A28" s="4" t="str">
        <f aca="false">Sources!A28</f>
        <v>Liqueurs</v>
      </c>
      <c r="B28" s="4" t="str">
        <f aca="false">Sources!B28</f>
        <v>Soho Litchi</v>
      </c>
      <c r="C28" s="4" t="n">
        <f aca="false">Sources!C28</f>
        <v>52.5</v>
      </c>
      <c r="D28" s="4" t="n">
        <f aca="false">Sources!D28</f>
        <v>23.3</v>
      </c>
      <c r="E28" s="4" t="n">
        <f aca="false">Sources!E28</f>
        <v>0.7</v>
      </c>
      <c r="F28" s="4" t="n">
        <f aca="false">C28-D28-E28</f>
        <v>28.5</v>
      </c>
      <c r="G28" s="4" t="n">
        <f aca="false">D28-C28</f>
        <v>-29.2</v>
      </c>
    </row>
    <row r="29" customFormat="false" ht="15" hidden="false" customHeight="false" outlineLevel="0" collapsed="false">
      <c r="A29" s="4" t="str">
        <f aca="false">Sources!A29</f>
        <v>Vins tranquilles</v>
      </c>
      <c r="B29" s="4" t="str">
        <f aca="false">Sources!B29</f>
        <v>Hautes Côtes de Beaune rouge</v>
      </c>
      <c r="C29" s="4" t="n">
        <f aca="false">Sources!C29</f>
        <v>202.5</v>
      </c>
      <c r="D29" s="4" t="n">
        <f aca="false">Sources!D29</f>
        <v>172.1</v>
      </c>
      <c r="E29" s="4" t="n">
        <f aca="false">Sources!E29</f>
        <v>6</v>
      </c>
      <c r="F29" s="4" t="n">
        <f aca="false">C29-D29-E29</f>
        <v>24.4</v>
      </c>
      <c r="G29" s="4" t="n">
        <f aca="false">D29-C29</f>
        <v>-30.4</v>
      </c>
    </row>
    <row r="30" customFormat="false" ht="15" hidden="false" customHeight="false" outlineLevel="0" collapsed="false">
      <c r="A30" s="4" t="str">
        <f aca="false">Sources!A30</f>
        <v>Aperitifs</v>
      </c>
      <c r="B30" s="4" t="str">
        <f aca="false">Sources!B30</f>
        <v>Pontarlier Anis</v>
      </c>
      <c r="C30" s="4" t="n">
        <f aca="false">Sources!C30</f>
        <v>31</v>
      </c>
      <c r="D30" s="4" t="n">
        <f aca="false">Sources!D30</f>
        <v>7</v>
      </c>
      <c r="E30" s="4" t="n">
        <f aca="false">Sources!E30</f>
        <v>0</v>
      </c>
      <c r="F30" s="4" t="n">
        <f aca="false">C30-D30-E30</f>
        <v>24</v>
      </c>
      <c r="G30" s="4" t="n">
        <f aca="false">D30-C30</f>
        <v>-24</v>
      </c>
    </row>
    <row r="31" customFormat="false" ht="15" hidden="false" customHeight="false" outlineLevel="0" collapsed="false">
      <c r="A31" s="4" t="str">
        <f aca="false">Sources!A31</f>
        <v>Spiritueux</v>
      </c>
      <c r="B31" s="4" t="str">
        <f aca="false">Sources!B31</f>
        <v>Vodka</v>
      </c>
      <c r="C31" s="4" t="n">
        <f aca="false">Sources!C31</f>
        <v>32.9</v>
      </c>
      <c r="D31" s="4" t="n">
        <f aca="false">Sources!D31</f>
        <v>10.7</v>
      </c>
      <c r="E31" s="4" t="n">
        <f aca="false">Sources!E31</f>
        <v>0.7</v>
      </c>
      <c r="F31" s="4" t="n">
        <f aca="false">C31-D31-E31</f>
        <v>21.5</v>
      </c>
      <c r="G31" s="4" t="n">
        <f aca="false">D31-C31</f>
        <v>-22.2</v>
      </c>
    </row>
    <row r="32" customFormat="false" ht="15" hidden="false" customHeight="false" outlineLevel="0" collapsed="false">
      <c r="A32" s="4" t="str">
        <f aca="false">Sources!A32</f>
        <v>Cidres</v>
      </c>
      <c r="B32" s="4" t="str">
        <f aca="false">Sources!B32</f>
        <v>Cidre Doux</v>
      </c>
      <c r="C32" s="4" t="n">
        <f aca="false">Sources!C32</f>
        <v>126</v>
      </c>
      <c r="D32" s="4" t="n">
        <f aca="false">Sources!D32</f>
        <v>107.6</v>
      </c>
      <c r="E32" s="4" t="n">
        <f aca="false">Sources!E32</f>
        <v>0</v>
      </c>
      <c r="F32" s="4" t="n">
        <f aca="false">C32-D32-E32</f>
        <v>18.4</v>
      </c>
      <c r="G32" s="4" t="n">
        <f aca="false">D32-C32</f>
        <v>-18.4</v>
      </c>
    </row>
    <row r="33" customFormat="false" ht="15" hidden="false" customHeight="false" outlineLevel="0" collapsed="false">
      <c r="A33" s="4" t="str">
        <f aca="false">Sources!A33</f>
        <v>Vins tranquilles</v>
      </c>
      <c r="B33" s="4" t="str">
        <f aca="false">Sources!B33</f>
        <v>Hautes Côtes de Nuits blanc</v>
      </c>
      <c r="C33" s="4" t="n">
        <f aca="false">Sources!C33</f>
        <v>18</v>
      </c>
      <c r="D33" s="4" t="n">
        <f aca="false">Sources!D33</f>
        <v>2.2</v>
      </c>
      <c r="E33" s="4" t="n">
        <f aca="false">Sources!E33</f>
        <v>0</v>
      </c>
      <c r="F33" s="4" t="n">
        <f aca="false">C33-D33-E33</f>
        <v>15.8</v>
      </c>
      <c r="G33" s="4" t="n">
        <f aca="false">D33-C33</f>
        <v>-15.8</v>
      </c>
    </row>
    <row r="34" customFormat="false" ht="15" hidden="false" customHeight="false" outlineLevel="0" collapsed="false">
      <c r="A34" s="4" t="str">
        <f aca="false">Sources!A34</f>
        <v>Cremant et champagne</v>
      </c>
      <c r="B34" s="4" t="str">
        <f aca="false">Sources!B34</f>
        <v>Champagne</v>
      </c>
      <c r="C34" s="4" t="n">
        <f aca="false">Sources!C34</f>
        <v>29.2</v>
      </c>
      <c r="D34" s="4" t="n">
        <f aca="false">Sources!D34</f>
        <v>5.2</v>
      </c>
      <c r="E34" s="4" t="n">
        <f aca="false">Sources!E34</f>
        <v>9.8</v>
      </c>
      <c r="F34" s="4" t="n">
        <f aca="false">C34-D34-E34</f>
        <v>14.2</v>
      </c>
      <c r="G34" s="4" t="n">
        <f aca="false">D34-C34</f>
        <v>-24</v>
      </c>
    </row>
    <row r="35" customFormat="false" ht="15" hidden="false" customHeight="false" outlineLevel="0" collapsed="false">
      <c r="A35" s="4" t="str">
        <f aca="false">Sources!A35</f>
        <v>Liqueurs</v>
      </c>
      <c r="B35" s="4" t="str">
        <f aca="false">Sources!B35</f>
        <v>Liqueur de Sapin</v>
      </c>
      <c r="C35" s="4" t="n">
        <f aca="false">Sources!C35</f>
        <v>17.2</v>
      </c>
      <c r="D35" s="4" t="n">
        <f aca="false">Sources!D35</f>
        <v>3.2</v>
      </c>
      <c r="E35" s="4" t="n">
        <f aca="false">Sources!E35</f>
        <v>0</v>
      </c>
      <c r="F35" s="4" t="n">
        <f aca="false">C35-D35-E35</f>
        <v>14</v>
      </c>
      <c r="G35" s="4" t="n">
        <f aca="false">D35-C35</f>
        <v>-14</v>
      </c>
    </row>
    <row r="36" customFormat="false" ht="15" hidden="false" customHeight="false" outlineLevel="0" collapsed="false">
      <c r="A36" s="4" t="str">
        <f aca="false">Sources!A36</f>
        <v>Vins tranquilles</v>
      </c>
      <c r="B36" s="4" t="str">
        <f aca="false">Sources!B36</f>
        <v>Rosé Le Pive</v>
      </c>
      <c r="C36" s="4" t="n">
        <f aca="false">Sources!C36</f>
        <v>49.4</v>
      </c>
      <c r="D36" s="4" t="n">
        <f aca="false">Sources!D36</f>
        <v>26.2</v>
      </c>
      <c r="E36" s="4" t="n">
        <f aca="false">Sources!E36</f>
        <v>10.5</v>
      </c>
      <c r="F36" s="4" t="n">
        <f aca="false">C36-D36-E36</f>
        <v>12.7</v>
      </c>
      <c r="G36" s="4" t="n">
        <f aca="false">D36-C36</f>
        <v>-23.2</v>
      </c>
    </row>
    <row r="37" customFormat="false" ht="15" hidden="false" customHeight="false" outlineLevel="0" collapsed="false">
      <c r="A37" s="4" t="str">
        <f aca="false">Sources!A37</f>
        <v>Liqueurs</v>
      </c>
      <c r="B37" s="4" t="str">
        <f aca="false">Sources!B37</f>
        <v>Liqueur de Poire</v>
      </c>
      <c r="C37" s="4" t="n">
        <f aca="false">Sources!C37</f>
        <v>16.8</v>
      </c>
      <c r="D37" s="4" t="n">
        <f aca="false">Sources!D37</f>
        <v>5.4</v>
      </c>
      <c r="E37" s="4" t="n">
        <f aca="false">Sources!E37</f>
        <v>0</v>
      </c>
      <c r="F37" s="4" t="n">
        <f aca="false">C37-D37-E37</f>
        <v>11.4</v>
      </c>
      <c r="G37" s="4" t="n">
        <f aca="false">D37-C37</f>
        <v>-11.4</v>
      </c>
    </row>
    <row r="38" customFormat="false" ht="15" hidden="false" customHeight="false" outlineLevel="0" collapsed="false">
      <c r="A38" s="4" t="str">
        <f aca="false">Sources!A38</f>
        <v>Vins tranquilles</v>
      </c>
      <c r="B38" s="4" t="str">
        <f aca="false">Sources!B38</f>
        <v>Vin de Paille</v>
      </c>
      <c r="C38" s="4" t="n">
        <f aca="false">Sources!C38</f>
        <v>36.4</v>
      </c>
      <c r="D38" s="4" t="n">
        <f aca="false">Sources!D38</f>
        <v>24.9</v>
      </c>
      <c r="E38" s="4" t="n">
        <f aca="false">Sources!E38</f>
        <v>3</v>
      </c>
      <c r="F38" s="4" t="n">
        <f aca="false">C38-D38-E38</f>
        <v>8.5</v>
      </c>
      <c r="G38" s="4" t="n">
        <f aca="false">D38-C38</f>
        <v>-11.5</v>
      </c>
    </row>
    <row r="39" customFormat="false" ht="15" hidden="false" customHeight="false" outlineLevel="0" collapsed="false">
      <c r="A39" s="4" t="str">
        <f aca="false">Sources!A39</f>
        <v>Vins tranquilles</v>
      </c>
      <c r="B39" s="4" t="str">
        <f aca="false">Sources!B39</f>
        <v>Grand Pavois</v>
      </c>
      <c r="C39" s="4" t="n">
        <f aca="false">Sources!C39</f>
        <v>18</v>
      </c>
      <c r="D39" s="4" t="n">
        <f aca="false">Sources!D39</f>
        <v>9.8</v>
      </c>
      <c r="E39" s="4" t="n">
        <f aca="false">Sources!E39</f>
        <v>0</v>
      </c>
      <c r="F39" s="4" t="n">
        <f aca="false">C39-D39-E39</f>
        <v>8.2</v>
      </c>
      <c r="G39" s="4" t="n">
        <f aca="false">D39-C39</f>
        <v>-8.2</v>
      </c>
    </row>
    <row r="40" customFormat="false" ht="15" hidden="false" customHeight="false" outlineLevel="0" collapsed="false">
      <c r="A40" s="4" t="str">
        <f aca="false">Sources!A40</f>
        <v>Liqueurs</v>
      </c>
      <c r="B40" s="4" t="str">
        <f aca="false">Sources!B40</f>
        <v>Get 27</v>
      </c>
      <c r="C40" s="4" t="n">
        <f aca="false">Sources!C40</f>
        <v>12</v>
      </c>
      <c r="D40" s="4" t="n">
        <f aca="false">Sources!D40</f>
        <v>3.3</v>
      </c>
      <c r="E40" s="4" t="n">
        <f aca="false">Sources!E40</f>
        <v>0.7</v>
      </c>
      <c r="F40" s="4" t="n">
        <f aca="false">C40-D40-E40</f>
        <v>8</v>
      </c>
      <c r="G40" s="4" t="n">
        <f aca="false">D40-C40</f>
        <v>-8.7</v>
      </c>
    </row>
    <row r="41" customFormat="false" ht="15" hidden="false" customHeight="false" outlineLevel="0" collapsed="false">
      <c r="A41" s="4" t="str">
        <f aca="false">Sources!A41</f>
        <v>Liqueurs</v>
      </c>
      <c r="B41" s="4" t="str">
        <f aca="false">Sources!B41</f>
        <v>Génépi</v>
      </c>
      <c r="C41" s="4" t="n">
        <f aca="false">Sources!C41</f>
        <v>9.8</v>
      </c>
      <c r="D41" s="4" t="n">
        <f aca="false">Sources!D41</f>
        <v>2.3</v>
      </c>
      <c r="E41" s="4" t="n">
        <f aca="false">Sources!E41</f>
        <v>0.7</v>
      </c>
      <c r="F41" s="4" t="n">
        <f aca="false">C41-D41-E41</f>
        <v>6.8</v>
      </c>
      <c r="G41" s="4" t="n">
        <f aca="false">D41-C41</f>
        <v>-7.5</v>
      </c>
    </row>
    <row r="42" customFormat="false" ht="15" hidden="false" customHeight="false" outlineLevel="0" collapsed="false">
      <c r="A42" s="4" t="str">
        <f aca="false">Sources!A42</f>
        <v>Vins tranquilles</v>
      </c>
      <c r="B42" s="4" t="str">
        <f aca="false">Sources!B42</f>
        <v>Côtes de Provence Rosé Minuty</v>
      </c>
      <c r="C42" s="4" t="n">
        <f aca="false">Sources!C42</f>
        <v>21</v>
      </c>
      <c r="D42" s="4" t="n">
        <f aca="false">Sources!D42</f>
        <v>11.2</v>
      </c>
      <c r="E42" s="4" t="n">
        <f aca="false">Sources!E42</f>
        <v>3.8</v>
      </c>
      <c r="F42" s="4" t="n">
        <f aca="false">C42-D42-E42</f>
        <v>6</v>
      </c>
      <c r="G42" s="4" t="n">
        <f aca="false">D42-C42</f>
        <v>-9.8</v>
      </c>
    </row>
    <row r="43" customFormat="false" ht="15" hidden="false" customHeight="false" outlineLevel="0" collapsed="false">
      <c r="A43" s="4" t="str">
        <f aca="false">Sources!A43</f>
        <v>Liqueurs</v>
      </c>
      <c r="B43" s="4" t="str">
        <f aca="false">Sources!B43</f>
        <v>Bailey's</v>
      </c>
      <c r="C43" s="4" t="n">
        <f aca="false">Sources!C43</f>
        <v>22.4</v>
      </c>
      <c r="D43" s="4" t="n">
        <f aca="false">Sources!D43</f>
        <v>16.6</v>
      </c>
      <c r="E43" s="4" t="n">
        <f aca="false">Sources!E43</f>
        <v>0.7</v>
      </c>
      <c r="F43" s="4" t="n">
        <f aca="false">C43-D43-E43</f>
        <v>5.1</v>
      </c>
      <c r="G43" s="4" t="n">
        <f aca="false">D43-C43</f>
        <v>-5.8</v>
      </c>
    </row>
    <row r="44" customFormat="false" ht="15" hidden="false" customHeight="false" outlineLevel="0" collapsed="false">
      <c r="A44" s="4" t="str">
        <f aca="false">Sources!A44</f>
        <v>Liqueurs</v>
      </c>
      <c r="B44" s="4" t="str">
        <f aca="false">Sources!B44</f>
        <v>Passoa</v>
      </c>
      <c r="C44" s="4" t="n">
        <f aca="false">Sources!C44</f>
        <v>15.4</v>
      </c>
      <c r="D44" s="4" t="n">
        <f aca="false">Sources!D44</f>
        <v>10.1</v>
      </c>
      <c r="E44" s="4" t="n">
        <f aca="false">Sources!E44</f>
        <v>1.4</v>
      </c>
      <c r="F44" s="4" t="n">
        <f aca="false">C44-D44-E44</f>
        <v>3.9</v>
      </c>
      <c r="G44" s="4" t="n">
        <f aca="false">D44-C44</f>
        <v>-5.3</v>
      </c>
    </row>
    <row r="45" customFormat="false" ht="15" hidden="false" customHeight="false" outlineLevel="0" collapsed="false">
      <c r="A45" s="4" t="str">
        <f aca="false">Sources!A45</f>
        <v>Eaux-de-vie et digestifs</v>
      </c>
      <c r="B45" s="4" t="str">
        <f aca="false">Sources!B45</f>
        <v>Eau de Vie Mirabelle</v>
      </c>
      <c r="C45" s="4" t="n">
        <f aca="false">Sources!C45</f>
        <v>5.6</v>
      </c>
      <c r="D45" s="4" t="n">
        <f aca="false">Sources!D45</f>
        <v>1.1</v>
      </c>
      <c r="E45" s="4" t="n">
        <f aca="false">Sources!E45</f>
        <v>0.7</v>
      </c>
      <c r="F45" s="4" t="n">
        <f aca="false">C45-D45-E45</f>
        <v>3.8</v>
      </c>
      <c r="G45" s="4" t="n">
        <f aca="false">D45-C45</f>
        <v>-4.5</v>
      </c>
    </row>
    <row r="46" customFormat="false" ht="15" hidden="false" customHeight="false" outlineLevel="0" collapsed="false">
      <c r="A46" s="4" t="str">
        <f aca="false">Sources!A46</f>
        <v>Vins tranquilles</v>
      </c>
      <c r="B46" s="4" t="str">
        <f aca="false">Sources!B46</f>
        <v>Bohème Rosé (Le Pive)</v>
      </c>
      <c r="C46" s="4" t="n">
        <f aca="false">Sources!C46</f>
        <v>18.7</v>
      </c>
      <c r="D46" s="4" t="n">
        <f aca="false">Sources!D46</f>
        <v>15</v>
      </c>
      <c r="E46" s="4" t="n">
        <f aca="false">Sources!E46</f>
        <v>0</v>
      </c>
      <c r="F46" s="4" t="n">
        <f aca="false">C46-D46-E46</f>
        <v>3.7</v>
      </c>
      <c r="G46" s="4" t="n">
        <f aca="false">D46-C46</f>
        <v>-3.7</v>
      </c>
    </row>
    <row r="47" customFormat="false" ht="15" hidden="false" customHeight="false" outlineLevel="0" collapsed="false">
      <c r="A47" s="4" t="str">
        <f aca="false">Sources!A47</f>
        <v>Eaux-de-vie et digestifs</v>
      </c>
      <c r="B47" s="4" t="str">
        <f aca="false">Sources!B47</f>
        <v>Marc de Bourgogne</v>
      </c>
      <c r="C47" s="4" t="n">
        <f aca="false">Sources!C47</f>
        <v>9.8</v>
      </c>
      <c r="D47" s="4" t="n">
        <f aca="false">Sources!D47</f>
        <v>5.8</v>
      </c>
      <c r="E47" s="4" t="n">
        <f aca="false">Sources!E47</f>
        <v>0.7</v>
      </c>
      <c r="F47" s="4" t="n">
        <f aca="false">C47-D47-E47</f>
        <v>3.3</v>
      </c>
      <c r="G47" s="4" t="n">
        <f aca="false">D47-C47</f>
        <v>-4</v>
      </c>
    </row>
    <row r="48" customFormat="false" ht="15" hidden="false" customHeight="false" outlineLevel="0" collapsed="false">
      <c r="A48" s="4" t="str">
        <f aca="false">Sources!A48</f>
        <v>Spiritueux</v>
      </c>
      <c r="B48" s="4" t="str">
        <f aca="false">Sources!B48</f>
        <v>Clan Campbell</v>
      </c>
      <c r="C48" s="4" t="n">
        <f aca="false">Sources!C48</f>
        <v>9.8</v>
      </c>
      <c r="D48" s="4" t="n">
        <f aca="false">Sources!D48</f>
        <v>5.9</v>
      </c>
      <c r="E48" s="4" t="n">
        <f aca="false">Sources!E48</f>
        <v>0.7</v>
      </c>
      <c r="F48" s="4" t="n">
        <f aca="false">C48-D48-E48</f>
        <v>3.2</v>
      </c>
      <c r="G48" s="4" t="n">
        <f aca="false">D48-C48</f>
        <v>-3.9</v>
      </c>
    </row>
    <row r="49" customFormat="false" ht="15" hidden="false" customHeight="false" outlineLevel="0" collapsed="false">
      <c r="A49" s="4" t="str">
        <f aca="false">Sources!A49</f>
        <v>Aperitifs</v>
      </c>
      <c r="B49" s="4" t="str">
        <f aca="false">Sources!B49</f>
        <v>Ricard</v>
      </c>
      <c r="C49" s="4" t="n">
        <f aca="false">Sources!C49</f>
        <v>9</v>
      </c>
      <c r="D49" s="4" t="n">
        <f aca="false">Sources!D49</f>
        <v>5.2</v>
      </c>
      <c r="E49" s="4" t="n">
        <f aca="false">Sources!E49</f>
        <v>1</v>
      </c>
      <c r="F49" s="4" t="n">
        <f aca="false">C49-D49-E49</f>
        <v>2.8</v>
      </c>
      <c r="G49" s="4" t="n">
        <f aca="false">D49-C49</f>
        <v>-3.8</v>
      </c>
    </row>
    <row r="50" customFormat="false" ht="15" hidden="false" customHeight="false" outlineLevel="0" collapsed="false">
      <c r="A50" s="4" t="str">
        <f aca="false">Sources!A50</f>
        <v>Eaux-de-vie et digestifs</v>
      </c>
      <c r="B50" s="4" t="str">
        <f aca="false">Sources!B50</f>
        <v>Cognac</v>
      </c>
      <c r="C50" s="4" t="n">
        <f aca="false">Sources!C50</f>
        <v>4.9</v>
      </c>
      <c r="D50" s="4" t="n">
        <f aca="false">Sources!D50</f>
        <v>0.9</v>
      </c>
      <c r="E50" s="4" t="n">
        <f aca="false">Sources!E50</f>
        <v>1.4</v>
      </c>
      <c r="F50" s="4" t="n">
        <f aca="false">C50-D50-E50</f>
        <v>2.6</v>
      </c>
      <c r="G50" s="4" t="n">
        <f aca="false">D50-C50</f>
        <v>-4</v>
      </c>
    </row>
    <row r="51" customFormat="false" ht="15" hidden="false" customHeight="false" outlineLevel="0" collapsed="false">
      <c r="A51" s="4" t="str">
        <f aca="false">Sources!A51</f>
        <v>Spiritueux</v>
      </c>
      <c r="B51" s="4" t="str">
        <f aca="false">Sources!B51</f>
        <v>Tequila Camino Real</v>
      </c>
      <c r="C51" s="4" t="n">
        <f aca="false">Sources!C51</f>
        <v>3.5</v>
      </c>
      <c r="D51" s="4" t="n">
        <f aca="false">Sources!D51</f>
        <v>1.3</v>
      </c>
      <c r="E51" s="4" t="n">
        <f aca="false">Sources!E51</f>
        <v>0</v>
      </c>
      <c r="F51" s="4" t="n">
        <f aca="false">C51-D51-E51</f>
        <v>2.2</v>
      </c>
      <c r="G51" s="4" t="n">
        <f aca="false">D51-C51</f>
        <v>-2.2</v>
      </c>
    </row>
    <row r="52" customFormat="false" ht="15" hidden="false" customHeight="false" outlineLevel="0" collapsed="false">
      <c r="A52" s="4" t="str">
        <f aca="false">Sources!A52</f>
        <v>Spiritueux</v>
      </c>
      <c r="B52" s="4" t="str">
        <f aca="false">Sources!B52</f>
        <v>Jack Daniel's</v>
      </c>
      <c r="C52" s="4" t="n">
        <f aca="false">Sources!C52</f>
        <v>5.6</v>
      </c>
      <c r="D52" s="4" t="n">
        <f aca="false">Sources!D52</f>
        <v>3</v>
      </c>
      <c r="E52" s="4" t="n">
        <f aca="false">Sources!E52</f>
        <v>0.7</v>
      </c>
      <c r="F52" s="4" t="n">
        <f aca="false">C52-D52-E52</f>
        <v>1.9</v>
      </c>
      <c r="G52" s="4" t="n">
        <f aca="false">D52-C52</f>
        <v>-2.6</v>
      </c>
    </row>
    <row r="53" customFormat="false" ht="15" hidden="false" customHeight="false" outlineLevel="0" collapsed="false">
      <c r="A53" s="4" t="str">
        <f aca="false">Sources!A53</f>
        <v>Vins tranquilles</v>
      </c>
      <c r="B53" s="4" t="str">
        <f aca="false">Sources!B53</f>
        <v>Bordeaux Supérieur</v>
      </c>
      <c r="C53" s="4" t="n">
        <f aca="false">Sources!C53</f>
        <v>8.2</v>
      </c>
      <c r="D53" s="4" t="n">
        <f aca="false">Sources!D53</f>
        <v>6.8</v>
      </c>
      <c r="E53" s="4" t="n">
        <f aca="false">Sources!E53</f>
        <v>0</v>
      </c>
      <c r="F53" s="4" t="n">
        <f aca="false">C53-D53-E53</f>
        <v>1.4</v>
      </c>
      <c r="G53" s="4" t="n">
        <f aca="false">D53-C53</f>
        <v>-1.4</v>
      </c>
    </row>
    <row r="54" customFormat="false" ht="15" hidden="false" customHeight="false" outlineLevel="0" collapsed="false">
      <c r="A54" s="4" t="str">
        <f aca="false">Sources!A54</f>
        <v>Aperitifs</v>
      </c>
      <c r="B54" s="4" t="str">
        <f aca="false">Sources!B54</f>
        <v>Pastis 51</v>
      </c>
      <c r="C54" s="4" t="n">
        <f aca="false">Sources!C54</f>
        <v>6</v>
      </c>
      <c r="D54" s="4" t="n">
        <f aca="false">Sources!D54</f>
        <v>4.3</v>
      </c>
      <c r="E54" s="4" t="n">
        <f aca="false">Sources!E54</f>
        <v>1</v>
      </c>
      <c r="F54" s="4" t="n">
        <f aca="false">C54-D54-E54</f>
        <v>0.7</v>
      </c>
      <c r="G54" s="4" t="n">
        <f aca="false">D54-C54</f>
        <v>-1.7</v>
      </c>
    </row>
    <row r="55" customFormat="false" ht="15" hidden="false" customHeight="false" outlineLevel="0" collapsed="false">
      <c r="A55" s="4" t="str">
        <f aca="false">Sources!A55</f>
        <v>Aperitifs</v>
      </c>
      <c r="B55" s="4" t="str">
        <f aca="false">Sources!B55</f>
        <v>Martini Blanc</v>
      </c>
      <c r="C55" s="4" t="n">
        <f aca="false">Sources!C55</f>
        <v>13</v>
      </c>
      <c r="D55" s="4" t="n">
        <f aca="false">Sources!D55</f>
        <v>12.6</v>
      </c>
      <c r="E55" s="4" t="n">
        <f aca="false">Sources!E55</f>
        <v>1</v>
      </c>
      <c r="F55" s="4" t="n">
        <f aca="false">C55-D55-E55</f>
        <v>-0.6</v>
      </c>
      <c r="G55" s="4" t="n">
        <f aca="false">D55-C55</f>
        <v>-0.4</v>
      </c>
    </row>
    <row r="56" customFormat="false" ht="15" hidden="false" customHeight="false" outlineLevel="0" collapsed="false">
      <c r="A56" s="4" t="str">
        <f aca="false">Sources!A56</f>
        <v>Liqueurs</v>
      </c>
      <c r="B56" s="4" t="str">
        <f aca="false">Sources!B56</f>
        <v>Grand Marnier</v>
      </c>
      <c r="C56" s="4" t="n">
        <f aca="false">Sources!C56</f>
        <v>8.4</v>
      </c>
      <c r="D56" s="4" t="n">
        <f aca="false">Sources!D56</f>
        <v>8.1</v>
      </c>
      <c r="E56" s="4" t="n">
        <f aca="false">Sources!E56</f>
        <v>1.4</v>
      </c>
      <c r="F56" s="4" t="n">
        <f aca="false">C56-D56-E56</f>
        <v>-1.1</v>
      </c>
      <c r="G56" s="4" t="n">
        <f aca="false">D56-C56</f>
        <v>-0.300000000000001</v>
      </c>
    </row>
    <row r="57" customFormat="false" ht="15" hidden="false" customHeight="false" outlineLevel="0" collapsed="false">
      <c r="A57" s="4" t="str">
        <f aca="false">Sources!A57</f>
        <v>Liqueurs</v>
      </c>
      <c r="B57" s="4" t="str">
        <f aca="false">Sources!B57</f>
        <v>Guignolet</v>
      </c>
      <c r="C57" s="4" t="n">
        <f aca="false">Sources!C57</f>
        <v>0</v>
      </c>
      <c r="D57" s="4" t="n">
        <f aca="false">Sources!D57</f>
        <v>0</v>
      </c>
      <c r="E57" s="4" t="n">
        <f aca="false">Sources!E57</f>
        <v>1.4</v>
      </c>
      <c r="F57" s="4" t="n">
        <f aca="false">C57-D57-E57</f>
        <v>-1.4</v>
      </c>
      <c r="G57" s="4" t="n">
        <f aca="false">D57-C57</f>
        <v>0</v>
      </c>
    </row>
    <row r="58" customFormat="false" ht="15" hidden="false" customHeight="false" outlineLevel="0" collapsed="false">
      <c r="A58" s="4" t="str">
        <f aca="false">Sources!A58</f>
        <v>Eaux-de-vie et digestifs</v>
      </c>
      <c r="B58" s="4" t="str">
        <f aca="false">Sources!B58</f>
        <v>Eau de Vie Framboise</v>
      </c>
      <c r="C58" s="4" t="n">
        <f aca="false">Sources!C58</f>
        <v>0</v>
      </c>
      <c r="D58" s="4" t="n">
        <f aca="false">Sources!D58</f>
        <v>0.8</v>
      </c>
      <c r="E58" s="4" t="n">
        <f aca="false">Sources!E58</f>
        <v>0.7</v>
      </c>
      <c r="F58" s="4" t="n">
        <f aca="false">C58-D58-E58</f>
        <v>-1.5</v>
      </c>
      <c r="G58" s="4" t="n">
        <f aca="false">D58-C58</f>
        <v>0.8</v>
      </c>
    </row>
    <row r="59" customFormat="false" ht="15" hidden="false" customHeight="false" outlineLevel="0" collapsed="false">
      <c r="A59" s="4" t="str">
        <f aca="false">Sources!A59</f>
        <v>Liqueurs</v>
      </c>
      <c r="B59" s="4" t="str">
        <f aca="false">Sources!B59</f>
        <v>Get 31</v>
      </c>
      <c r="C59" s="4" t="n">
        <f aca="false">Sources!C59</f>
        <v>0</v>
      </c>
      <c r="D59" s="4" t="n">
        <f aca="false">Sources!D59</f>
        <v>0.9</v>
      </c>
      <c r="E59" s="4" t="n">
        <f aca="false">Sources!E59</f>
        <v>0.7</v>
      </c>
      <c r="F59" s="4" t="n">
        <f aca="false">C59-D59-E59</f>
        <v>-1.6</v>
      </c>
      <c r="G59" s="4" t="n">
        <f aca="false">D59-C59</f>
        <v>0.9</v>
      </c>
    </row>
    <row r="60" customFormat="false" ht="15" hidden="false" customHeight="false" outlineLevel="0" collapsed="false">
      <c r="A60" s="4" t="str">
        <f aca="false">Sources!A60</f>
        <v>Eaux-de-vie et digestifs</v>
      </c>
      <c r="B60" s="4" t="str">
        <f aca="false">Sources!B60</f>
        <v>Marc du Jura</v>
      </c>
      <c r="C60" s="4" t="n">
        <f aca="false">Sources!C60</f>
        <v>0</v>
      </c>
      <c r="D60" s="4" t="n">
        <f aca="false">Sources!D60</f>
        <v>2.4</v>
      </c>
      <c r="E60" s="4" t="n">
        <f aca="false">Sources!E60</f>
        <v>0</v>
      </c>
      <c r="F60" s="4" t="n">
        <f aca="false">C60-D60-E60</f>
        <v>-2.4</v>
      </c>
      <c r="G60" s="4" t="n">
        <f aca="false">D60-C60</f>
        <v>2.4</v>
      </c>
    </row>
    <row r="61" customFormat="false" ht="15" hidden="false" customHeight="false" outlineLevel="0" collapsed="false">
      <c r="A61" s="4" t="str">
        <f aca="false">Sources!A61</f>
        <v>Eaux-de-vie et digestifs</v>
      </c>
      <c r="B61" s="4" t="str">
        <f aca="false">Sources!B61</f>
        <v>Eau de Vie de Poire</v>
      </c>
      <c r="C61" s="4" t="n">
        <f aca="false">Sources!C61</f>
        <v>0</v>
      </c>
      <c r="D61" s="4" t="n">
        <f aca="false">Sources!D61</f>
        <v>1.7</v>
      </c>
      <c r="E61" s="4" t="n">
        <f aca="false">Sources!E61</f>
        <v>0.7</v>
      </c>
      <c r="F61" s="4" t="n">
        <f aca="false">C61-D61-E61</f>
        <v>-2.4</v>
      </c>
      <c r="G61" s="4" t="n">
        <f aca="false">D61-C61</f>
        <v>1.7</v>
      </c>
    </row>
    <row r="62" customFormat="false" ht="15" hidden="false" customHeight="false" outlineLevel="0" collapsed="false">
      <c r="A62" s="4" t="str">
        <f aca="false">Sources!A62</f>
        <v>Vins tranquilles</v>
      </c>
      <c r="B62" s="4" t="str">
        <f aca="false">Sources!B62</f>
        <v>Hautes Côtes de Beaune blanc</v>
      </c>
      <c r="C62" s="4" t="n">
        <f aca="false">Sources!C62</f>
        <v>0</v>
      </c>
      <c r="D62" s="4" t="n">
        <f aca="false">Sources!D62</f>
        <v>4.5</v>
      </c>
      <c r="E62" s="4" t="n">
        <f aca="false">Sources!E62</f>
        <v>0</v>
      </c>
      <c r="F62" s="4" t="n">
        <f aca="false">C62-D62-E62</f>
        <v>-4.5</v>
      </c>
      <c r="G62" s="4" t="n">
        <f aca="false">D62-C62</f>
        <v>4.5</v>
      </c>
    </row>
    <row r="63" customFormat="false" ht="15" hidden="false" customHeight="false" outlineLevel="0" collapsed="false">
      <c r="A63" s="4" t="str">
        <f aca="false">Sources!A63</f>
        <v>Liqueurs</v>
      </c>
      <c r="B63" s="4" t="str">
        <f aca="false">Sources!B63</f>
        <v>Liqueur de Cerise</v>
      </c>
      <c r="C63" s="4" t="n">
        <f aca="false">Sources!C63</f>
        <v>12.7</v>
      </c>
      <c r="D63" s="4" t="n">
        <f aca="false">Sources!D63</f>
        <v>16.1</v>
      </c>
      <c r="E63" s="4" t="n">
        <f aca="false">Sources!E63</f>
        <v>1.4</v>
      </c>
      <c r="F63" s="4" t="n">
        <f aca="false">C63-D63-E63</f>
        <v>-4.8</v>
      </c>
      <c r="G63" s="4" t="n">
        <f aca="false">D63-C63</f>
        <v>3.4</v>
      </c>
    </row>
    <row r="64" customFormat="false" ht="15" hidden="false" customHeight="false" outlineLevel="0" collapsed="false">
      <c r="A64" s="4" t="str">
        <f aca="false">Sources!A64</f>
        <v>Vins tranquilles</v>
      </c>
      <c r="B64" s="4" t="str">
        <f aca="false">Sources!B64</f>
        <v>Miraval Rosé</v>
      </c>
      <c r="C64" s="4" t="n">
        <f aca="false">Sources!C64</f>
        <v>0</v>
      </c>
      <c r="D64" s="4" t="n">
        <f aca="false">Sources!D64</f>
        <v>6</v>
      </c>
      <c r="E64" s="4" t="n">
        <f aca="false">Sources!E64</f>
        <v>0</v>
      </c>
      <c r="F64" s="4" t="n">
        <f aca="false">C64-D64-E64</f>
        <v>-6</v>
      </c>
      <c r="G64" s="4" t="n">
        <f aca="false">D64-C64</f>
        <v>6</v>
      </c>
    </row>
    <row r="65" customFormat="false" ht="15" hidden="false" customHeight="false" outlineLevel="0" collapsed="false">
      <c r="A65" s="4" t="str">
        <f aca="false">Sources!A65</f>
        <v>Eaux-de-vie et digestifs</v>
      </c>
      <c r="B65" s="4" t="str">
        <f aca="false">Sources!B65</f>
        <v>Calvados</v>
      </c>
      <c r="C65" s="4" t="n">
        <f aca="false">Sources!C65</f>
        <v>73</v>
      </c>
      <c r="D65" s="4" t="n">
        <f aca="false">Sources!D65</f>
        <v>110.704</v>
      </c>
      <c r="E65" s="4" t="n">
        <f aca="false">Sources!E65</f>
        <v>1</v>
      </c>
      <c r="F65" s="4" t="n">
        <f aca="false">C65-D65-E65</f>
        <v>-38.704</v>
      </c>
      <c r="G65" s="4" t="n">
        <f aca="false">D65-C65</f>
        <v>37.704</v>
      </c>
    </row>
    <row r="66" customFormat="false" ht="15" hidden="false" customHeight="false" outlineLevel="0" collapsed="false">
      <c r="A66" s="4" t="str">
        <f aca="false">Sources!A66</f>
        <v>Vins tranquilles</v>
      </c>
      <c r="B66" s="4" t="str">
        <f aca="false">Sources!B66</f>
        <v>Chablis</v>
      </c>
      <c r="C66" s="4" t="n">
        <f aca="false">Sources!C66</f>
        <v>18</v>
      </c>
      <c r="D66" s="4" t="n">
        <f aca="false">Sources!D66</f>
        <v>73.7</v>
      </c>
      <c r="E66" s="4" t="n">
        <f aca="false">Sources!E66</f>
        <v>12</v>
      </c>
      <c r="F66" s="4" t="n">
        <f aca="false">C66-D66-E66</f>
        <v>-67.7</v>
      </c>
      <c r="G66" s="4" t="n">
        <f aca="false">D66-C66</f>
        <v>55.7</v>
      </c>
    </row>
    <row r="67" customFormat="false" ht="15" hidden="false" customHeight="false" outlineLevel="0" collapsed="false">
      <c r="A67" s="4" t="str">
        <f aca="false">Sources!A67</f>
        <v>Vins tranquilles</v>
      </c>
      <c r="B67" s="4" t="str">
        <f aca="false">Sources!B67</f>
        <v>Gewurztraminer</v>
      </c>
      <c r="C67" s="4" t="n">
        <f aca="false">Sources!C67</f>
        <v>6</v>
      </c>
      <c r="D67" s="4" t="n">
        <f aca="false">Sources!D67</f>
        <v>78.9</v>
      </c>
      <c r="E67" s="4" t="n">
        <f aca="false">Sources!E67</f>
        <v>2.2</v>
      </c>
      <c r="F67" s="4" t="n">
        <f aca="false">C67-D67-E67</f>
        <v>-75.1</v>
      </c>
      <c r="G67" s="4" t="n">
        <f aca="false">D67-C67</f>
        <v>72.9</v>
      </c>
    </row>
    <row r="68" customFormat="false" ht="15" hidden="false" customHeight="false" outlineLevel="0" collapsed="false">
      <c r="A68" s="4" t="str">
        <f aca="false">Sources!A68</f>
        <v>Vins tranquilles</v>
      </c>
      <c r="B68" s="4" t="str">
        <f aca="false">Sources!B68</f>
        <v>Arbois Béthanie</v>
      </c>
      <c r="C68" s="4" t="n">
        <f aca="false">Sources!C68</f>
        <v>214.5</v>
      </c>
      <c r="D68" s="4" t="n">
        <f aca="false">Sources!D68</f>
        <v>309.9</v>
      </c>
      <c r="E68" s="4" t="n">
        <f aca="false">Sources!E68</f>
        <v>0</v>
      </c>
      <c r="F68" s="4" t="n">
        <f aca="false">C68-D68-E68</f>
        <v>-95.4</v>
      </c>
      <c r="G68" s="4" t="n">
        <f aca="false">D68-C68</f>
        <v>95.4</v>
      </c>
    </row>
    <row r="69" customFormat="false" ht="15" hidden="false" customHeight="false" outlineLevel="0" collapsed="false">
      <c r="A69" s="4" t="str">
        <f aca="false">Sources!A69</f>
        <v>Vins tranquilles</v>
      </c>
      <c r="B69" s="4" t="str">
        <f aca="false">Sources!B69</f>
        <v>Cubis de vin (couleur non précisée)</v>
      </c>
      <c r="C69" s="4" t="n">
        <f aca="false">Sources!C69</f>
        <v>0</v>
      </c>
      <c r="D69" s="4" t="n">
        <f aca="false">Sources!D69</f>
        <v>426.9</v>
      </c>
      <c r="E69" s="4" t="n">
        <f aca="false">Sources!E69</f>
        <v>0</v>
      </c>
      <c r="F69" s="4" t="n">
        <f aca="false">C69-D69-E69</f>
        <v>-426.9</v>
      </c>
      <c r="G69" s="4" t="n">
        <f aca="false">D69-C69</f>
        <v>426.9</v>
      </c>
    </row>
    <row r="70" customFormat="false" ht="15" hidden="false" customHeight="false" outlineLevel="0" collapsed="false">
      <c r="B70" s="5" t="s">
        <v>128</v>
      </c>
      <c r="C70" s="6" t="n">
        <f aca="false">SUM(C5:C69)</f>
        <v>10622</v>
      </c>
      <c r="D70" s="6" t="n">
        <f aca="false">SUM(D5:D69)</f>
        <v>7351.104</v>
      </c>
      <c r="E70" s="6" t="n">
        <f aca="false">SUM(E5:E69)</f>
        <v>213.3</v>
      </c>
      <c r="F70" s="6" t="n">
        <f aca="false">SUM(F5:F69)</f>
        <v>3057.596</v>
      </c>
      <c r="G70" s="6" t="n">
        <f aca="false">SUM(G5:G69)</f>
        <v>-3270.896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129</v>
      </c>
      <c r="B1" s="1"/>
      <c r="C1" s="1"/>
      <c r="D1" s="1"/>
      <c r="E1" s="1"/>
      <c r="F1" s="1"/>
    </row>
    <row r="3" customFormat="false" ht="28.35" hidden="false" customHeight="false" outlineLevel="0" collapsed="false">
      <c r="A3" s="3" t="s">
        <v>2</v>
      </c>
      <c r="B3" s="3" t="s">
        <v>123</v>
      </c>
      <c r="C3" s="3" t="s">
        <v>124</v>
      </c>
      <c r="D3" s="3" t="s">
        <v>125</v>
      </c>
      <c r="E3" s="3" t="s">
        <v>126</v>
      </c>
      <c r="F3" s="3" t="s">
        <v>130</v>
      </c>
    </row>
    <row r="4" customFormat="false" ht="15" hidden="false" customHeight="false" outlineLevel="0" collapsed="false">
      <c r="A4" s="4" t="s">
        <v>10</v>
      </c>
      <c r="B4" s="4" t="n">
        <f aca="false">SUMIF('Bilan produit'!$A$5:$A$69,A4,'Bilan produit'!$C$5:$C$69)</f>
        <v>5398.9</v>
      </c>
      <c r="C4" s="4" t="n">
        <f aca="false">SUMIF('Bilan produit'!$A$5:$A$69,A4,'Bilan produit'!$D$5:$D$69)</f>
        <v>3966.5</v>
      </c>
      <c r="D4" s="4" t="n">
        <f aca="false">SUMIF('Bilan produit'!$A$5:$A$69,A4,'Bilan produit'!$E$5:$E$69)</f>
        <v>102.5</v>
      </c>
      <c r="E4" s="4" t="n">
        <f aca="false">B4-C4-D4</f>
        <v>1329.9</v>
      </c>
      <c r="F4" s="8" t="n">
        <f aca="false">E4/B4</f>
        <v>0.246327955694679</v>
      </c>
    </row>
    <row r="5" customFormat="false" ht="15" hidden="false" customHeight="false" outlineLevel="0" collapsed="false">
      <c r="A5" s="4" t="s">
        <v>8</v>
      </c>
      <c r="B5" s="4" t="n">
        <f aca="false">SUMIF('Bilan produit'!$A$5:$A$69,A5,'Bilan produit'!$C$5:$C$69)</f>
        <v>2473.5</v>
      </c>
      <c r="C5" s="4" t="n">
        <f aca="false">SUMIF('Bilan produit'!$A$5:$A$69,A5,'Bilan produit'!$D$5:$D$69)</f>
        <v>1765.2</v>
      </c>
      <c r="D5" s="4" t="n">
        <f aca="false">SUMIF('Bilan produit'!$A$5:$A$69,A5,'Bilan produit'!$E$5:$E$69)</f>
        <v>51.9</v>
      </c>
      <c r="E5" s="4" t="n">
        <f aca="false">B5-C5-D5</f>
        <v>656.4</v>
      </c>
      <c r="F5" s="8" t="n">
        <f aca="false">E5/B5</f>
        <v>0.265372953305033</v>
      </c>
    </row>
    <row r="6" customFormat="false" ht="15" hidden="false" customHeight="false" outlineLevel="0" collapsed="false">
      <c r="A6" s="4" t="s">
        <v>12</v>
      </c>
      <c r="B6" s="4" t="n">
        <f aca="false">SUMIF('Bilan produit'!$A$5:$A$69,A6,'Bilan produit'!$C$5:$C$69)</f>
        <v>806.2</v>
      </c>
      <c r="C6" s="4" t="n">
        <f aca="false">SUMIF('Bilan produit'!$A$5:$A$69,A6,'Bilan produit'!$D$5:$D$69)</f>
        <v>470.8</v>
      </c>
      <c r="D6" s="4" t="n">
        <f aca="false">SUMIF('Bilan produit'!$A$5:$A$69,A6,'Bilan produit'!$E$5:$E$69)</f>
        <v>0</v>
      </c>
      <c r="E6" s="4" t="n">
        <f aca="false">B6-C6-D6</f>
        <v>335.4</v>
      </c>
      <c r="F6" s="8" t="n">
        <f aca="false">E6/B6</f>
        <v>0.416025800049616</v>
      </c>
    </row>
    <row r="7" customFormat="false" ht="15" hidden="false" customHeight="false" outlineLevel="0" collapsed="false">
      <c r="A7" s="4" t="s">
        <v>14</v>
      </c>
      <c r="B7" s="4" t="n">
        <f aca="false">SUMIF('Bilan produit'!$A$5:$A$69,A7,'Bilan produit'!$C$5:$C$69)</f>
        <v>704.2</v>
      </c>
      <c r="C7" s="4" t="n">
        <f aca="false">SUMIF('Bilan produit'!$A$5:$A$69,A7,'Bilan produit'!$D$5:$D$69)</f>
        <v>384.8</v>
      </c>
      <c r="D7" s="4" t="n">
        <f aca="false">SUMIF('Bilan produit'!$A$5:$A$69,A7,'Bilan produit'!$E$5:$E$69)</f>
        <v>16.6</v>
      </c>
      <c r="E7" s="4" t="n">
        <f aca="false">B7-C7-D7</f>
        <v>302.8</v>
      </c>
      <c r="F7" s="8" t="n">
        <f aca="false">E7/B7</f>
        <v>0.429991479693269</v>
      </c>
    </row>
    <row r="8" customFormat="false" ht="15" hidden="false" customHeight="false" outlineLevel="0" collapsed="false">
      <c r="A8" s="4" t="s">
        <v>21</v>
      </c>
      <c r="B8" s="4" t="n">
        <f aca="false">SUMIF('Bilan produit'!$A$5:$A$69,A8,'Bilan produit'!$C$5:$C$69)</f>
        <v>548.4</v>
      </c>
      <c r="C8" s="4" t="n">
        <f aca="false">SUMIF('Bilan produit'!$A$5:$A$69,A8,'Bilan produit'!$D$5:$D$69)</f>
        <v>325.3</v>
      </c>
      <c r="D8" s="4" t="n">
        <f aca="false">SUMIF('Bilan produit'!$A$5:$A$69,A8,'Bilan produit'!$E$5:$E$69)</f>
        <v>21.4</v>
      </c>
      <c r="E8" s="4" t="n">
        <f aca="false">B8-C8-D8</f>
        <v>201.7</v>
      </c>
      <c r="F8" s="8" t="n">
        <f aca="false">E8/B8</f>
        <v>0.367797228300511</v>
      </c>
    </row>
    <row r="9" customFormat="false" ht="15" hidden="false" customHeight="false" outlineLevel="0" collapsed="false">
      <c r="A9" s="4" t="s">
        <v>28</v>
      </c>
      <c r="B9" s="4" t="n">
        <f aca="false">SUMIF('Bilan produit'!$A$5:$A$69,A9,'Bilan produit'!$C$5:$C$69)</f>
        <v>299.9</v>
      </c>
      <c r="C9" s="4" t="n">
        <f aca="false">SUMIF('Bilan produit'!$A$5:$A$69,A9,'Bilan produit'!$D$5:$D$69)</f>
        <v>158.3</v>
      </c>
      <c r="D9" s="4" t="n">
        <f aca="false">SUMIF('Bilan produit'!$A$5:$A$69,A9,'Bilan produit'!$E$5:$E$69)</f>
        <v>9.1</v>
      </c>
      <c r="E9" s="4" t="n">
        <f aca="false">B9-C9-D9</f>
        <v>132.5</v>
      </c>
      <c r="F9" s="8" t="n">
        <f aca="false">E9/B9</f>
        <v>0.441813937979326</v>
      </c>
    </row>
    <row r="10" customFormat="false" ht="15" hidden="false" customHeight="false" outlineLevel="0" collapsed="false">
      <c r="A10" s="4" t="s">
        <v>34</v>
      </c>
      <c r="B10" s="4" t="n">
        <f aca="false">SUMIF('Bilan produit'!$A$5:$A$69,A10,'Bilan produit'!$C$5:$C$69)</f>
        <v>245.8</v>
      </c>
      <c r="C10" s="4" t="n">
        <f aca="false">SUMIF('Bilan produit'!$A$5:$A$69,A10,'Bilan produit'!$D$5:$D$69)</f>
        <v>135.9</v>
      </c>
      <c r="D10" s="4" t="n">
        <f aca="false">SUMIF('Bilan produit'!$A$5:$A$69,A10,'Bilan produit'!$E$5:$E$69)</f>
        <v>4.5</v>
      </c>
      <c r="E10" s="4" t="n">
        <f aca="false">B10-C10-D10</f>
        <v>105.4</v>
      </c>
      <c r="F10" s="8" t="n">
        <f aca="false">E10/B10</f>
        <v>0.428803905614321</v>
      </c>
    </row>
    <row r="11" customFormat="false" ht="15" hidden="false" customHeight="false" outlineLevel="0" collapsed="false">
      <c r="A11" s="4" t="s">
        <v>41</v>
      </c>
      <c r="B11" s="4" t="n">
        <f aca="false">SUMIF('Bilan produit'!$A$5:$A$69,A11,'Bilan produit'!$C$5:$C$69)</f>
        <v>51.8</v>
      </c>
      <c r="C11" s="4" t="n">
        <f aca="false">SUMIF('Bilan produit'!$A$5:$A$69,A11,'Bilan produit'!$D$5:$D$69)</f>
        <v>20.9</v>
      </c>
      <c r="D11" s="4" t="n">
        <f aca="false">SUMIF('Bilan produit'!$A$5:$A$69,A11,'Bilan produit'!$E$5:$E$69)</f>
        <v>2.1</v>
      </c>
      <c r="E11" s="4" t="n">
        <f aca="false">B11-C11-D11</f>
        <v>28.8</v>
      </c>
      <c r="F11" s="8" t="n">
        <f aca="false">E11/B11</f>
        <v>0.555984555984556</v>
      </c>
    </row>
    <row r="12" customFormat="false" ht="15" hidden="false" customHeight="false" outlineLevel="0" collapsed="false">
      <c r="A12" s="4" t="s">
        <v>57</v>
      </c>
      <c r="B12" s="4" t="n">
        <f aca="false">SUMIF('Bilan produit'!$A$5:$A$69,A12,'Bilan produit'!$C$5:$C$69)</f>
        <v>93.3</v>
      </c>
      <c r="C12" s="4" t="n">
        <f aca="false">SUMIF('Bilan produit'!$A$5:$A$69,A12,'Bilan produit'!$D$5:$D$69)</f>
        <v>123.404</v>
      </c>
      <c r="D12" s="4" t="n">
        <f aca="false">SUMIF('Bilan produit'!$A$5:$A$69,A12,'Bilan produit'!$E$5:$E$69)</f>
        <v>5.2</v>
      </c>
      <c r="E12" s="4" t="n">
        <f aca="false">B12-C12-D12</f>
        <v>-35.304</v>
      </c>
      <c r="F12" s="8" t="n">
        <f aca="false">E12/B12</f>
        <v>-0.378392282958199</v>
      </c>
    </row>
    <row r="13" customFormat="false" ht="15" hidden="false" customHeight="false" outlineLevel="0" collapsed="false">
      <c r="A13" s="6" t="s">
        <v>131</v>
      </c>
      <c r="B13" s="5" t="n">
        <f aca="false">SUM(B4:B12)</f>
        <v>10622</v>
      </c>
      <c r="C13" s="5" t="n">
        <f aca="false">SUM(C4:C12)</f>
        <v>7351.104</v>
      </c>
      <c r="D13" s="5" t="n">
        <f aca="false">SUM(D4:D12)</f>
        <v>213.3</v>
      </c>
      <c r="E13" s="5" t="n">
        <f aca="false">SUM(E4:E12)</f>
        <v>3057.596</v>
      </c>
      <c r="F13" s="9" t="n">
        <f aca="false">E13/B13</f>
        <v>0.287855017887404</v>
      </c>
    </row>
    <row r="15" customFormat="false" ht="15" hidden="false" customHeight="false" outlineLevel="0" collapsed="false">
      <c r="A15" s="5" t="s">
        <v>132</v>
      </c>
      <c r="B15" s="10" t="n">
        <f aca="false">B12-Calvados!E17</f>
        <v>20.3</v>
      </c>
      <c r="E15" s="11" t="n">
        <f aca="false">E12-Calvados!E19</f>
        <v>3.39999999999999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22"/>
  </cols>
  <sheetData>
    <row r="1" customFormat="false" ht="15" hidden="false" customHeight="false" outlineLevel="0" collapsed="false">
      <c r="A1" s="1" t="s">
        <v>133</v>
      </c>
      <c r="B1" s="1"/>
      <c r="C1" s="1"/>
      <c r="D1" s="1"/>
      <c r="E1" s="1"/>
    </row>
    <row r="2" customFormat="false" ht="30" hidden="false" customHeight="true" outlineLevel="0" collapsed="false">
      <c r="A2" s="2" t="s">
        <v>134</v>
      </c>
      <c r="B2" s="2"/>
      <c r="C2" s="2"/>
      <c r="D2" s="2"/>
      <c r="E2" s="2"/>
    </row>
    <row r="4" customFormat="false" ht="28.35" hidden="false" customHeight="false" outlineLevel="0" collapsed="false">
      <c r="A4" s="3" t="s">
        <v>3</v>
      </c>
      <c r="B4" s="3" t="s">
        <v>135</v>
      </c>
      <c r="C4" s="3" t="s">
        <v>136</v>
      </c>
      <c r="D4" s="3" t="s">
        <v>137</v>
      </c>
      <c r="E4" s="3" t="s">
        <v>138</v>
      </c>
    </row>
    <row r="5" customFormat="false" ht="15" hidden="false" customHeight="false" outlineLevel="0" collapsed="false">
      <c r="A5" s="4" t="s">
        <v>89</v>
      </c>
      <c r="B5" s="4" t="n">
        <v>104.2</v>
      </c>
      <c r="C5" s="4" t="n">
        <v>18</v>
      </c>
      <c r="D5" s="4" t="n">
        <f aca="false">B5-C5</f>
        <v>86.2</v>
      </c>
      <c r="E5" s="4" t="n">
        <f aca="false">B5-73.7</f>
        <v>30.5</v>
      </c>
    </row>
    <row r="6" customFormat="false" ht="15" hidden="false" customHeight="false" outlineLevel="0" collapsed="false">
      <c r="A6" s="4" t="s">
        <v>91</v>
      </c>
      <c r="B6" s="4" t="n">
        <v>102</v>
      </c>
      <c r="C6" s="4" t="n">
        <v>6</v>
      </c>
      <c r="D6" s="4" t="n">
        <f aca="false">B6-C6</f>
        <v>96</v>
      </c>
      <c r="E6" s="4" t="n">
        <f aca="false">B6-78.9</f>
        <v>23.1</v>
      </c>
    </row>
    <row r="7" customFormat="false" ht="15" hidden="false" customHeight="false" outlineLevel="0" collapsed="false">
      <c r="A7" s="4" t="s">
        <v>93</v>
      </c>
      <c r="B7" s="4" t="n">
        <v>385.5</v>
      </c>
      <c r="C7" s="4" t="n">
        <v>214.5</v>
      </c>
      <c r="D7" s="4" t="n">
        <f aca="false">B7-C7</f>
        <v>171</v>
      </c>
      <c r="E7" s="4" t="n">
        <f aca="false">B7-309.9</f>
        <v>75.6</v>
      </c>
    </row>
    <row r="8" customFormat="false" ht="15" hidden="false" customHeight="false" outlineLevel="0" collapsed="false">
      <c r="A8" s="5" t="s">
        <v>131</v>
      </c>
      <c r="B8" s="5" t="n">
        <f aca="false">SUM(B5:B7)</f>
        <v>591.7</v>
      </c>
      <c r="C8" s="5" t="n">
        <f aca="false">SUM(C5:C7)</f>
        <v>238.5</v>
      </c>
      <c r="D8" s="5" t="n">
        <f aca="false">SUM(D5:D7)</f>
        <v>353.2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2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5" hidden="false" customHeight="false" outlineLevel="0" collapsed="false">
      <c r="A1" s="1" t="s">
        <v>139</v>
      </c>
      <c r="B1" s="1"/>
      <c r="C1" s="1"/>
      <c r="D1" s="1"/>
      <c r="E1" s="1"/>
      <c r="F1" s="1"/>
      <c r="G1" s="1"/>
    </row>
    <row r="2" customFormat="false" ht="31.5" hidden="false" customHeight="true" outlineLevel="0" collapsed="false">
      <c r="A2" s="2" t="s">
        <v>140</v>
      </c>
      <c r="B2" s="2"/>
      <c r="C2" s="2"/>
      <c r="D2" s="2"/>
      <c r="E2" s="2"/>
      <c r="F2" s="2"/>
      <c r="G2" s="2"/>
    </row>
    <row r="4" customFormat="false" ht="28.35" hidden="false" customHeight="false" outlineLevel="0" collapsed="false">
      <c r="A4" s="3" t="s">
        <v>3</v>
      </c>
      <c r="B4" s="3" t="s">
        <v>123</v>
      </c>
      <c r="C4" s="3" t="s">
        <v>124</v>
      </c>
      <c r="D4" s="3" t="s">
        <v>126</v>
      </c>
      <c r="E4" s="3" t="s">
        <v>127</v>
      </c>
      <c r="F4" s="3" t="s">
        <v>141</v>
      </c>
      <c r="G4" s="3" t="s">
        <v>142</v>
      </c>
    </row>
    <row r="5" customFormat="false" ht="15" hidden="false" customHeight="false" outlineLevel="0" collapsed="false">
      <c r="A5" s="4" t="str">
        <f aca="false">'Bilan produit'!B69</f>
        <v>Cubis de vin (couleur non précisée)</v>
      </c>
      <c r="B5" s="4" t="n">
        <f aca="false">'Bilan produit'!C69</f>
        <v>0</v>
      </c>
      <c r="C5" s="4" t="n">
        <f aca="false">'Bilan produit'!D69</f>
        <v>426.9</v>
      </c>
      <c r="D5" s="4" t="n">
        <f aca="false">'Bilan produit'!F69</f>
        <v>-426.9</v>
      </c>
      <c r="E5" s="4" t="n">
        <f aca="false">'Bilan produit'!G69</f>
        <v>426.9</v>
      </c>
      <c r="F5" s="4" t="s">
        <v>143</v>
      </c>
      <c r="G5" s="4" t="s">
        <v>144</v>
      </c>
    </row>
    <row r="6" customFormat="false" ht="15" hidden="false" customHeight="false" outlineLevel="0" collapsed="false">
      <c r="A6" s="4" t="str">
        <f aca="false">'Bilan produit'!B68</f>
        <v>Arbois Béthanie</v>
      </c>
      <c r="B6" s="4" t="n">
        <f aca="false">'Bilan produit'!C68</f>
        <v>214.5</v>
      </c>
      <c r="C6" s="4" t="n">
        <f aca="false">'Bilan produit'!D68</f>
        <v>309.9</v>
      </c>
      <c r="D6" s="4" t="n">
        <f aca="false">'Bilan produit'!F68</f>
        <v>-95.4</v>
      </c>
      <c r="E6" s="4" t="n">
        <f aca="false">'Bilan produit'!G68</f>
        <v>95.4</v>
      </c>
      <c r="F6" s="4" t="s">
        <v>143</v>
      </c>
      <c r="G6" s="4" t="s">
        <v>145</v>
      </c>
    </row>
    <row r="7" customFormat="false" ht="15" hidden="false" customHeight="false" outlineLevel="0" collapsed="false">
      <c r="A7" s="4" t="str">
        <f aca="false">'Bilan produit'!B67</f>
        <v>Gewurztraminer</v>
      </c>
      <c r="B7" s="4" t="n">
        <f aca="false">'Bilan produit'!C67</f>
        <v>6</v>
      </c>
      <c r="C7" s="4" t="n">
        <f aca="false">'Bilan produit'!D67</f>
        <v>78.9</v>
      </c>
      <c r="D7" s="4" t="n">
        <f aca="false">'Bilan produit'!F67</f>
        <v>-75.1</v>
      </c>
      <c r="E7" s="4" t="n">
        <f aca="false">'Bilan produit'!G67</f>
        <v>72.9</v>
      </c>
      <c r="F7" s="4" t="s">
        <v>143</v>
      </c>
      <c r="G7" s="4" t="s">
        <v>146</v>
      </c>
    </row>
    <row r="8" customFormat="false" ht="15" hidden="false" customHeight="false" outlineLevel="0" collapsed="false">
      <c r="A8" s="4" t="str">
        <f aca="false">'Bilan produit'!B66</f>
        <v>Chablis</v>
      </c>
      <c r="B8" s="4" t="n">
        <f aca="false">'Bilan produit'!C66</f>
        <v>18</v>
      </c>
      <c r="C8" s="4" t="n">
        <f aca="false">'Bilan produit'!D66</f>
        <v>73.7</v>
      </c>
      <c r="D8" s="4" t="n">
        <f aca="false">'Bilan produit'!F66</f>
        <v>-67.7</v>
      </c>
      <c r="E8" s="4" t="n">
        <f aca="false">'Bilan produit'!G66</f>
        <v>55.7</v>
      </c>
      <c r="F8" s="4" t="s">
        <v>143</v>
      </c>
      <c r="G8" s="4" t="s">
        <v>147</v>
      </c>
    </row>
    <row r="9" customFormat="false" ht="15" hidden="false" customHeight="false" outlineLevel="0" collapsed="false">
      <c r="A9" s="4" t="str">
        <f aca="false">'Bilan produit'!B65</f>
        <v>Calvados</v>
      </c>
      <c r="B9" s="4" t="n">
        <f aca="false">'Bilan produit'!C65</f>
        <v>73</v>
      </c>
      <c r="C9" s="4" t="n">
        <f aca="false">'Bilan produit'!D65</f>
        <v>110.704</v>
      </c>
      <c r="D9" s="4" t="n">
        <f aca="false">'Bilan produit'!F65</f>
        <v>-38.704</v>
      </c>
      <c r="E9" s="4" t="n">
        <f aca="false">'Bilan produit'!G65</f>
        <v>37.704</v>
      </c>
      <c r="F9" s="4" t="s">
        <v>143</v>
      </c>
      <c r="G9" s="4" t="s">
        <v>148</v>
      </c>
    </row>
    <row r="10" customFormat="false" ht="15" hidden="false" customHeight="false" outlineLevel="0" collapsed="false">
      <c r="A10" s="4" t="str">
        <f aca="false">'Bilan produit'!B64</f>
        <v>Miraval Rosé</v>
      </c>
      <c r="B10" s="4" t="n">
        <f aca="false">'Bilan produit'!C64</f>
        <v>0</v>
      </c>
      <c r="C10" s="4" t="n">
        <f aca="false">'Bilan produit'!D64</f>
        <v>6</v>
      </c>
      <c r="D10" s="4" t="n">
        <f aca="false">'Bilan produit'!F64</f>
        <v>-6</v>
      </c>
      <c r="E10" s="4" t="n">
        <f aca="false">'Bilan produit'!G64</f>
        <v>6</v>
      </c>
      <c r="F10" s="4" t="s">
        <v>143</v>
      </c>
      <c r="G10" s="4" t="s">
        <v>149</v>
      </c>
    </row>
    <row r="11" customFormat="false" ht="15" hidden="false" customHeight="false" outlineLevel="0" collapsed="false">
      <c r="A11" s="4" t="str">
        <f aca="false">'Bilan produit'!B63</f>
        <v>Liqueur de Cerise</v>
      </c>
      <c r="B11" s="4" t="n">
        <f aca="false">'Bilan produit'!C63</f>
        <v>12.7</v>
      </c>
      <c r="C11" s="4" t="n">
        <f aca="false">'Bilan produit'!D63</f>
        <v>16.1</v>
      </c>
      <c r="D11" s="4" t="n">
        <f aca="false">'Bilan produit'!F63</f>
        <v>-4.8</v>
      </c>
      <c r="E11" s="4" t="n">
        <f aca="false">'Bilan produit'!G63</f>
        <v>3.4</v>
      </c>
      <c r="F11" s="4" t="s">
        <v>143</v>
      </c>
      <c r="G11" s="4" t="s">
        <v>150</v>
      </c>
    </row>
    <row r="12" customFormat="false" ht="15" hidden="false" customHeight="false" outlineLevel="0" collapsed="false">
      <c r="A12" s="4" t="str">
        <f aca="false">'Bilan produit'!B62</f>
        <v>Hautes Côtes de Beaune blanc</v>
      </c>
      <c r="B12" s="4" t="n">
        <f aca="false">'Bilan produit'!C62</f>
        <v>0</v>
      </c>
      <c r="C12" s="4" t="n">
        <f aca="false">'Bilan produit'!D62</f>
        <v>4.5</v>
      </c>
      <c r="D12" s="4" t="n">
        <f aca="false">'Bilan produit'!F62</f>
        <v>-4.5</v>
      </c>
      <c r="E12" s="4" t="n">
        <f aca="false">'Bilan produit'!G62</f>
        <v>4.5</v>
      </c>
      <c r="F12" s="4" t="s">
        <v>143</v>
      </c>
      <c r="G12" s="4" t="s">
        <v>151</v>
      </c>
    </row>
    <row r="13" customFormat="false" ht="15" hidden="false" customHeight="false" outlineLevel="0" collapsed="false">
      <c r="A13" s="4" t="str">
        <f aca="false">'Bilan produit'!B60</f>
        <v>Marc du Jura</v>
      </c>
      <c r="B13" s="4" t="n">
        <f aca="false">'Bilan produit'!C60</f>
        <v>0</v>
      </c>
      <c r="C13" s="4" t="n">
        <f aca="false">'Bilan produit'!D60</f>
        <v>2.4</v>
      </c>
      <c r="D13" s="4" t="n">
        <f aca="false">'Bilan produit'!F60</f>
        <v>-2.4</v>
      </c>
      <c r="E13" s="4" t="n">
        <f aca="false">'Bilan produit'!G60</f>
        <v>2.4</v>
      </c>
      <c r="F13" s="4" t="s">
        <v>143</v>
      </c>
      <c r="G13" s="4" t="s">
        <v>152</v>
      </c>
    </row>
    <row r="14" customFormat="false" ht="15" hidden="false" customHeight="false" outlineLevel="0" collapsed="false">
      <c r="A14" s="4" t="str">
        <f aca="false">'Bilan produit'!B61</f>
        <v>Eau de Vie de Poire</v>
      </c>
      <c r="B14" s="4" t="n">
        <f aca="false">'Bilan produit'!C61</f>
        <v>0</v>
      </c>
      <c r="C14" s="4" t="n">
        <f aca="false">'Bilan produit'!D61</f>
        <v>1.7</v>
      </c>
      <c r="D14" s="4" t="n">
        <f aca="false">'Bilan produit'!F61</f>
        <v>-2.4</v>
      </c>
      <c r="E14" s="4" t="n">
        <f aca="false">'Bilan produit'!G61</f>
        <v>1.7</v>
      </c>
      <c r="F14" s="4" t="s">
        <v>143</v>
      </c>
      <c r="G14" s="4" t="s">
        <v>153</v>
      </c>
    </row>
    <row r="15" customFormat="false" ht="15" hidden="false" customHeight="false" outlineLevel="0" collapsed="false">
      <c r="A15" s="4" t="str">
        <f aca="false">'Bilan produit'!B59</f>
        <v>Get 31</v>
      </c>
      <c r="B15" s="4" t="n">
        <f aca="false">'Bilan produit'!C59</f>
        <v>0</v>
      </c>
      <c r="C15" s="4" t="n">
        <f aca="false">'Bilan produit'!D59</f>
        <v>0.9</v>
      </c>
      <c r="D15" s="4" t="n">
        <f aca="false">'Bilan produit'!F59</f>
        <v>-1.6</v>
      </c>
      <c r="E15" s="4" t="n">
        <f aca="false">'Bilan produit'!G59</f>
        <v>0.9</v>
      </c>
      <c r="F15" s="4" t="s">
        <v>143</v>
      </c>
      <c r="G15" s="4" t="s">
        <v>154</v>
      </c>
    </row>
    <row r="16" customFormat="false" ht="15" hidden="false" customHeight="false" outlineLevel="0" collapsed="false">
      <c r="A16" s="4" t="str">
        <f aca="false">'Bilan produit'!B58</f>
        <v>Eau de Vie Framboise</v>
      </c>
      <c r="B16" s="4" t="n">
        <f aca="false">'Bilan produit'!C58</f>
        <v>0</v>
      </c>
      <c r="C16" s="4" t="n">
        <f aca="false">'Bilan produit'!D58</f>
        <v>0.8</v>
      </c>
      <c r="D16" s="4" t="n">
        <f aca="false">'Bilan produit'!F58</f>
        <v>-1.5</v>
      </c>
      <c r="E16" s="4" t="n">
        <f aca="false">'Bilan produit'!G58</f>
        <v>0.8</v>
      </c>
      <c r="F16" s="4" t="s">
        <v>143</v>
      </c>
      <c r="G16" s="4" t="s">
        <v>155</v>
      </c>
    </row>
    <row r="17" customFormat="false" ht="15" hidden="false" customHeight="false" outlineLevel="0" collapsed="false">
      <c r="A17" s="4" t="str">
        <f aca="false">'Bilan produit'!B57</f>
        <v>Guignolet</v>
      </c>
      <c r="B17" s="4" t="n">
        <f aca="false">'Bilan produit'!C57</f>
        <v>0</v>
      </c>
      <c r="C17" s="4" t="n">
        <f aca="false">'Bilan produit'!D57</f>
        <v>0</v>
      </c>
      <c r="D17" s="4" t="n">
        <f aca="false">'Bilan produit'!F57</f>
        <v>-1.4</v>
      </c>
      <c r="E17" s="4" t="n">
        <f aca="false">'Bilan produit'!G57</f>
        <v>0</v>
      </c>
      <c r="F17" s="4" t="s">
        <v>156</v>
      </c>
      <c r="G17" s="4" t="s">
        <v>157</v>
      </c>
    </row>
    <row r="18" customFormat="false" ht="15" hidden="false" customHeight="false" outlineLevel="0" collapsed="false">
      <c r="A18" s="4" t="str">
        <f aca="false">'Bilan produit'!B56</f>
        <v>Grand Marnier</v>
      </c>
      <c r="B18" s="4" t="n">
        <f aca="false">'Bilan produit'!C56</f>
        <v>8.4</v>
      </c>
      <c r="C18" s="4" t="n">
        <f aca="false">'Bilan produit'!D56</f>
        <v>8.1</v>
      </c>
      <c r="D18" s="4" t="n">
        <f aca="false">'Bilan produit'!F56</f>
        <v>-1.1</v>
      </c>
      <c r="E18" s="4" t="n">
        <f aca="false">'Bilan produit'!G56</f>
        <v>-0.300000000000001</v>
      </c>
      <c r="F18" s="4" t="s">
        <v>158</v>
      </c>
      <c r="G18" s="4" t="s">
        <v>159</v>
      </c>
    </row>
    <row r="19" customFormat="false" ht="15" hidden="false" customHeight="false" outlineLevel="0" collapsed="false">
      <c r="A19" s="4" t="str">
        <f aca="false">'Bilan produit'!B55</f>
        <v>Martini Blanc</v>
      </c>
      <c r="B19" s="4" t="n">
        <f aca="false">'Bilan produit'!C55</f>
        <v>13</v>
      </c>
      <c r="C19" s="4" t="n">
        <f aca="false">'Bilan produit'!D55</f>
        <v>12.6</v>
      </c>
      <c r="D19" s="4" t="n">
        <f aca="false">'Bilan produit'!F55</f>
        <v>-0.6</v>
      </c>
      <c r="E19" s="4" t="n">
        <f aca="false">'Bilan produit'!G55</f>
        <v>-0.4</v>
      </c>
      <c r="F19" s="4" t="s">
        <v>158</v>
      </c>
      <c r="G19" s="4" t="s">
        <v>160</v>
      </c>
    </row>
    <row r="20" customFormat="false" ht="15" hidden="false" customHeight="false" outlineLevel="0" collapsed="false">
      <c r="A20" s="5" t="s">
        <v>161</v>
      </c>
      <c r="D20" s="5" t="n">
        <f aca="false">SUM(D5:D19)</f>
        <v>-730.104</v>
      </c>
      <c r="E20" s="5" t="n">
        <f aca="false">SUM(E5:E19)</f>
        <v>707.604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4"/>
  </cols>
  <sheetData>
    <row r="1" customFormat="false" ht="15" hidden="false" customHeight="false" outlineLevel="0" collapsed="false">
      <c r="A1" s="5" t="s">
        <v>162</v>
      </c>
    </row>
    <row r="3" customFormat="false" ht="57.75" hidden="false" customHeight="true" outlineLevel="0" collapsed="false">
      <c r="A3" s="12" t="s">
        <v>163</v>
      </c>
      <c r="B3" s="12"/>
      <c r="C3" s="12"/>
      <c r="D3" s="12"/>
      <c r="E3" s="12"/>
      <c r="F3" s="12"/>
      <c r="G3" s="12"/>
      <c r="H3" s="12"/>
    </row>
    <row r="5" customFormat="false" ht="57.75" hidden="false" customHeight="true" outlineLevel="0" collapsed="false">
      <c r="A5" s="12" t="s">
        <v>164</v>
      </c>
      <c r="B5" s="12"/>
      <c r="C5" s="12"/>
      <c r="D5" s="12"/>
      <c r="E5" s="12"/>
      <c r="F5" s="12"/>
      <c r="G5" s="12"/>
      <c r="H5" s="12"/>
    </row>
    <row r="7" customFormat="false" ht="57.75" hidden="false" customHeight="true" outlineLevel="0" collapsed="false">
      <c r="A7" s="12" t="s">
        <v>165</v>
      </c>
      <c r="B7" s="12"/>
      <c r="C7" s="12"/>
      <c r="D7" s="12"/>
      <c r="E7" s="12"/>
      <c r="F7" s="12"/>
      <c r="G7" s="12"/>
      <c r="H7" s="12"/>
    </row>
    <row r="9" customFormat="false" ht="57.75" hidden="false" customHeight="true" outlineLevel="0" collapsed="false">
      <c r="A9" s="12" t="s">
        <v>166</v>
      </c>
      <c r="B9" s="12"/>
      <c r="C9" s="12"/>
      <c r="D9" s="12"/>
      <c r="E9" s="12"/>
      <c r="F9" s="12"/>
      <c r="G9" s="12"/>
      <c r="H9" s="12"/>
    </row>
    <row r="11" customFormat="false" ht="57.75" hidden="false" customHeight="true" outlineLevel="0" collapsed="false">
      <c r="A11" s="12" t="s">
        <v>167</v>
      </c>
      <c r="B11" s="12"/>
      <c r="C11" s="12"/>
      <c r="D11" s="12"/>
      <c r="E11" s="12"/>
      <c r="F11" s="12"/>
      <c r="G11" s="12"/>
      <c r="H11" s="12"/>
    </row>
    <row r="13" customFormat="false" ht="57.75" hidden="false" customHeight="true" outlineLevel="0" collapsed="false">
      <c r="A13" s="12" t="s">
        <v>168</v>
      </c>
      <c r="B13" s="12"/>
      <c r="C13" s="12"/>
      <c r="D13" s="12"/>
      <c r="E13" s="12"/>
      <c r="F13" s="12"/>
      <c r="G13" s="12"/>
      <c r="H13" s="12"/>
    </row>
    <row r="15" customFormat="false" ht="57.75" hidden="false" customHeight="true" outlineLevel="0" collapsed="false">
      <c r="A15" s="12" t="s">
        <v>169</v>
      </c>
      <c r="B15" s="12"/>
      <c r="C15" s="12"/>
      <c r="D15" s="12"/>
      <c r="E15" s="12"/>
      <c r="F15" s="12"/>
      <c r="G15" s="12"/>
      <c r="H15" s="12"/>
    </row>
    <row r="17" customFormat="false" ht="57.75" hidden="false" customHeight="true" outlineLevel="0" collapsed="false">
      <c r="A17" s="12" t="s">
        <v>170</v>
      </c>
      <c r="B17" s="12"/>
      <c r="C17" s="12"/>
      <c r="D17" s="12"/>
      <c r="E17" s="12"/>
      <c r="F17" s="12"/>
      <c r="G17" s="12"/>
      <c r="H17" s="12"/>
    </row>
  </sheetData>
  <mergeCells count="8">
    <mergeCell ref="A3:H3"/>
    <mergeCell ref="A5:H5"/>
    <mergeCell ref="A7:H7"/>
    <mergeCell ref="A9:H9"/>
    <mergeCell ref="A11:H11"/>
    <mergeCell ref="A13:H13"/>
    <mergeCell ref="A15:H15"/>
    <mergeCell ref="A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2026-10-25T19:10:49Z</dcterms:created>
  <dc:creator>openpyxl</dc:creator>
  <dc:description/>
  <dc:language>en-US</dc:language>
  <cp:lastModifiedBy/>
  <dcterms:modified xsi:type="dcterms:W3CDTF">2026-10-26T08:43:41Z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