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vados" sheetId="2" state="visible" r:id="rId2"/>
    <sheet xmlns:r="http://schemas.openxmlformats.org/officeDocument/2006/relationships" name="Bilan produit" sheetId="3" state="visible" r:id="rId3"/>
    <sheet xmlns:r="http://schemas.openxmlformats.org/officeDocument/2006/relationships" name="Bilan famille" sheetId="4" state="visible" r:id="rId4"/>
    <sheet xmlns:r="http://schemas.openxmlformats.org/officeDocument/2006/relationships" name="Achats non rattaches" sheetId="5" state="visible" r:id="rId5"/>
    <sheet xmlns:r="http://schemas.openxmlformats.org/officeDocument/2006/relationships" name="Produits deficitaires" sheetId="6" state="visible" r:id="rId6"/>
    <sheet xmlns:r="http://schemas.openxmlformats.org/officeDocument/2006/relationships" name="Meth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1" pivotButton="0" quotePrefix="0" xfId="0"/>
    <xf numFmtId="164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6" customWidth="1" min="5" max="5"/>
    <col width="52" customWidth="1" min="6" max="6"/>
  </cols>
  <sheetData>
    <row r="1">
      <c r="A1" s="1" t="inlineStr">
        <is>
          <t>La Demi-Lune — Bilan matiere produit par produit (partie I : consommation vendue superieure aux achats, p. 48 a 53)</t>
        </is>
      </c>
    </row>
    <row r="2" ht="58" customHeight="1">
      <c r="A2" s="2" t="inlineStr">
        <is>
          <t>Donnees brutes. Achats = factures fournisseur Franche-Comte Boissons Services (199 factures), nets des avoirs. Conso = consommation mesuree caisse + cuisine. Inventaire = variation de stock (inventaires physiques 31/03/2023, 2024, 2025). Le Calvados est repris a sa consommation ITEMISEE de l'onglet Calvados (110,7 L : 1,44 verre + 109,26 cuisine a 4 cl), et non a la valeur 120,5 L de la feuille R1 (ecart de 9,8 L non reconcilie, corrige ici).</t>
        </is>
      </c>
    </row>
    <row r="4">
      <c r="A4" s="3" t="inlineStr">
        <is>
          <t>Famille</t>
        </is>
      </c>
      <c r="B4" s="3" t="inlineStr">
        <is>
          <t>Produit</t>
        </is>
      </c>
      <c r="C4" s="3" t="inlineStr">
        <is>
          <t>Achats factures (L)</t>
        </is>
      </c>
      <c r="D4" s="3" t="inlineStr">
        <is>
          <t>Conso caisse + cuisine (L)</t>
        </is>
      </c>
      <c r="E4" s="3" t="inlineStr">
        <is>
          <t>Inventaire / var. stock (L)</t>
        </is>
      </c>
      <c r="F4" s="3" t="inlineStr">
        <is>
          <t>Reference d'achat de rattachement (bouton de caisse &lt;&gt; libelle facture)</t>
        </is>
      </c>
    </row>
    <row r="5">
      <c r="A5" s="4" t="inlineStr">
        <is>
          <t>Bieres</t>
        </is>
      </c>
      <c r="B5" s="4" t="inlineStr">
        <is>
          <t>Fût Affligem</t>
        </is>
      </c>
      <c r="C5" s="4" t="n">
        <v>2096</v>
      </c>
      <c r="D5" s="4" t="n">
        <v>1501</v>
      </c>
      <c r="E5" s="4" t="n">
        <v>40</v>
      </c>
      <c r="F5" s="4" t="inlineStr"/>
    </row>
    <row r="6">
      <c r="A6" s="4" t="inlineStr">
        <is>
          <t>Vins tranquilles</t>
        </is>
      </c>
      <c r="B6" s="4" t="inlineStr">
        <is>
          <t>Côtes de Provence rosé maison (Cap des Pins)</t>
        </is>
      </c>
      <c r="C6" s="4" t="n">
        <v>681</v>
      </c>
      <c r="D6" s="4" t="n">
        <v>286.8</v>
      </c>
      <c r="E6" s="4" t="n">
        <v>0</v>
      </c>
      <c r="F6" s="4" t="inlineStr"/>
    </row>
    <row r="7">
      <c r="A7" s="4" t="inlineStr">
        <is>
          <t>Vins de liqueur (Macvin)</t>
        </is>
      </c>
      <c r="B7" s="4" t="inlineStr">
        <is>
          <t>Macvin</t>
        </is>
      </c>
      <c r="C7" s="4" t="n">
        <v>806.2</v>
      </c>
      <c r="D7" s="4" t="n">
        <v>470.8</v>
      </c>
      <c r="E7" s="4" t="n">
        <v>0</v>
      </c>
      <c r="F7" s="4" t="inlineStr"/>
    </row>
    <row r="8">
      <c r="A8" s="4" t="inlineStr">
        <is>
          <t>Cremant et champagne</t>
        </is>
      </c>
      <c r="B8" s="4" t="inlineStr">
        <is>
          <t>Crémant du Jura</t>
        </is>
      </c>
      <c r="C8" s="4" t="n">
        <v>675</v>
      </c>
      <c r="D8" s="4" t="n">
        <v>379.6</v>
      </c>
      <c r="E8" s="4" t="n">
        <v>6.8</v>
      </c>
      <c r="F8" s="4" t="inlineStr"/>
    </row>
    <row r="9">
      <c r="A9" s="4" t="inlineStr">
        <is>
          <t>Vins tranquilles</t>
        </is>
      </c>
      <c r="B9" s="4" t="inlineStr">
        <is>
          <t>Bourgogne Aligoté maison</t>
        </is>
      </c>
      <c r="C9" s="4" t="n">
        <v>630</v>
      </c>
      <c r="D9" s="4" t="n">
        <v>346.8</v>
      </c>
      <c r="E9" s="4" t="n">
        <v>0</v>
      </c>
      <c r="F9" s="4" t="inlineStr"/>
    </row>
    <row r="10">
      <c r="A10" s="4" t="inlineStr">
        <is>
          <t>Vins tranquilles</t>
        </is>
      </c>
      <c r="B10" s="4" t="inlineStr">
        <is>
          <t>Saint Véran</t>
        </is>
      </c>
      <c r="C10" s="4" t="n">
        <v>465</v>
      </c>
      <c r="D10" s="4" t="n">
        <v>245.4</v>
      </c>
      <c r="E10" s="4" t="n">
        <v>5.2</v>
      </c>
      <c r="F10" s="4" t="inlineStr"/>
    </row>
    <row r="11">
      <c r="A11" s="4" t="inlineStr">
        <is>
          <t>Vins tranquilles</t>
        </is>
      </c>
      <c r="B11" s="4" t="inlineStr">
        <is>
          <t>Rosé Les Jamelles (Clair de Rosé)</t>
        </is>
      </c>
      <c r="C11" s="4" t="n">
        <v>302.2</v>
      </c>
      <c r="D11" s="4" t="n">
        <v>97.90000000000001</v>
      </c>
      <c r="E11" s="4" t="n">
        <v>12</v>
      </c>
      <c r="F11" s="4" t="inlineStr"/>
    </row>
    <row r="12">
      <c r="A12" s="4" t="inlineStr">
        <is>
          <t>Vins tranquilles</t>
        </is>
      </c>
      <c r="B12" s="4" t="inlineStr">
        <is>
          <t>Côtes du Rhône rouge maison (Chusclan)</t>
        </is>
      </c>
      <c r="C12" s="4" t="n">
        <v>360</v>
      </c>
      <c r="D12" s="4" t="n">
        <v>190.8</v>
      </c>
      <c r="E12" s="4" t="n">
        <v>0</v>
      </c>
      <c r="F12" s="4" t="inlineStr"/>
    </row>
    <row r="13">
      <c r="A13" s="4" t="inlineStr">
        <is>
          <t>Vins tranquilles</t>
        </is>
      </c>
      <c r="B13" s="4" t="inlineStr">
        <is>
          <t>Arbois Chardonnay</t>
        </is>
      </c>
      <c r="C13" s="4" t="n">
        <v>201.7</v>
      </c>
      <c r="D13" s="4" t="n">
        <v>32.6</v>
      </c>
      <c r="E13" s="4" t="n">
        <v>12</v>
      </c>
      <c r="F13" s="4" t="inlineStr"/>
    </row>
    <row r="14">
      <c r="A14" s="4" t="inlineStr">
        <is>
          <t>Cidres</t>
        </is>
      </c>
      <c r="B14" s="4" t="inlineStr">
        <is>
          <t>Cidre La Mordue</t>
        </is>
      </c>
      <c r="C14" s="4" t="n">
        <v>237.9</v>
      </c>
      <c r="D14" s="4" t="n">
        <v>92.5</v>
      </c>
      <c r="E14" s="4" t="n">
        <v>4.9</v>
      </c>
      <c r="F14" s="4" t="inlineStr"/>
    </row>
    <row r="15">
      <c r="A15" s="4" t="inlineStr">
        <is>
          <t>Vins tranquilles</t>
        </is>
      </c>
      <c r="B15" s="4" t="inlineStr">
        <is>
          <t>Arbois Trousseau</t>
        </is>
      </c>
      <c r="C15" s="4" t="n">
        <v>462.7</v>
      </c>
      <c r="D15" s="4" t="n">
        <v>346.1</v>
      </c>
      <c r="E15" s="4" t="n">
        <v>6</v>
      </c>
      <c r="F15" s="4" t="inlineStr"/>
    </row>
    <row r="16">
      <c r="A16" s="4" t="inlineStr">
        <is>
          <t>Vins tranquilles</t>
        </is>
      </c>
      <c r="B16" s="4" t="inlineStr">
        <is>
          <t>Moulin à Vent</t>
        </is>
      </c>
      <c r="C16" s="4" t="n">
        <v>201.8</v>
      </c>
      <c r="D16" s="4" t="n">
        <v>103.8</v>
      </c>
      <c r="E16" s="4" t="n">
        <v>7.5</v>
      </c>
      <c r="F16" s="4" t="inlineStr"/>
    </row>
    <row r="17">
      <c r="A17" s="4" t="inlineStr">
        <is>
          <t>Vins tranquilles</t>
        </is>
      </c>
      <c r="B17" s="4" t="inlineStr">
        <is>
          <t>Arbois Savagnin</t>
        </is>
      </c>
      <c r="C17" s="4" t="n">
        <v>516</v>
      </c>
      <c r="D17" s="4" t="n">
        <v>429.5</v>
      </c>
      <c r="E17" s="4" t="n">
        <v>9.800000000000001</v>
      </c>
      <c r="F17" s="4" t="inlineStr"/>
    </row>
    <row r="18">
      <c r="A18" s="4" t="inlineStr">
        <is>
          <t>Vins tranquilles</t>
        </is>
      </c>
      <c r="B18" s="4" t="inlineStr">
        <is>
          <t>Ravelin</t>
        </is>
      </c>
      <c r="C18" s="4" t="n">
        <v>319.5</v>
      </c>
      <c r="D18" s="4" t="n">
        <v>251.8</v>
      </c>
      <c r="E18" s="4" t="n">
        <v>0</v>
      </c>
      <c r="F18" s="4" t="inlineStr"/>
    </row>
    <row r="19">
      <c r="A19" s="4" t="inlineStr">
        <is>
          <t>Vins tranquilles</t>
        </is>
      </c>
      <c r="B19" s="4" t="inlineStr">
        <is>
          <t>Saint Joseph Rouge</t>
        </is>
      </c>
      <c r="C19" s="4" t="n">
        <v>238.5</v>
      </c>
      <c r="D19" s="4" t="n">
        <v>165.2</v>
      </c>
      <c r="E19" s="4" t="n">
        <v>6.8</v>
      </c>
      <c r="F19" s="4" t="inlineStr"/>
    </row>
    <row r="20">
      <c r="A20" s="4" t="inlineStr">
        <is>
          <t>Liqueurs</t>
        </is>
      </c>
      <c r="B20" s="4" t="inlineStr">
        <is>
          <t>Crème de Cassis</t>
        </is>
      </c>
      <c r="C20" s="4" t="n">
        <v>132.7</v>
      </c>
      <c r="D20" s="4" t="n">
        <v>69</v>
      </c>
      <c r="E20" s="4" t="n">
        <v>0</v>
      </c>
      <c r="F20" s="4" t="inlineStr"/>
    </row>
    <row r="21">
      <c r="A21" s="4" t="inlineStr">
        <is>
          <t>Bieres</t>
        </is>
      </c>
      <c r="B21" s="4" t="inlineStr">
        <is>
          <t>Rouget de Lisle Blanche 33cl</t>
        </is>
      </c>
      <c r="C21" s="4" t="n">
        <v>195.3</v>
      </c>
      <c r="D21" s="4" t="n">
        <v>136.5</v>
      </c>
      <c r="E21" s="4" t="n">
        <v>3</v>
      </c>
      <c r="F21" s="4" t="inlineStr"/>
    </row>
    <row r="22">
      <c r="A22" s="4" t="inlineStr">
        <is>
          <t>Vins tranquilles</t>
        </is>
      </c>
      <c r="B22" s="4" t="inlineStr">
        <is>
          <t>Arbois Vin Jaune</t>
        </is>
      </c>
      <c r="C22" s="4" t="n">
        <v>218.5</v>
      </c>
      <c r="D22" s="4" t="n">
        <v>161.9</v>
      </c>
      <c r="E22" s="4" t="n">
        <v>1.2</v>
      </c>
      <c r="F22" s="4" t="inlineStr"/>
    </row>
    <row r="23">
      <c r="A23" s="4" t="inlineStr">
        <is>
          <t>Vins tranquilles</t>
        </is>
      </c>
      <c r="B23" s="4" t="inlineStr">
        <is>
          <t>Macon</t>
        </is>
      </c>
      <c r="C23" s="4" t="n">
        <v>191.3</v>
      </c>
      <c r="D23" s="4" t="n">
        <v>139.8</v>
      </c>
      <c r="E23" s="4" t="n">
        <v>4.5</v>
      </c>
      <c r="F23" s="4" t="inlineStr"/>
    </row>
    <row r="24">
      <c r="A24" s="4" t="inlineStr">
        <is>
          <t>Bieres</t>
        </is>
      </c>
      <c r="B24" s="4" t="inlineStr">
        <is>
          <t>Rouget de Lisle Ambrée 33cl</t>
        </is>
      </c>
      <c r="C24" s="4" t="n">
        <v>182.2</v>
      </c>
      <c r="D24" s="4" t="n">
        <v>127.7</v>
      </c>
      <c r="E24" s="4" t="n">
        <v>8.9</v>
      </c>
      <c r="F24" s="4" t="inlineStr"/>
    </row>
    <row r="25">
      <c r="A25" s="4" t="inlineStr">
        <is>
          <t>Aperitifs</t>
        </is>
      </c>
      <c r="B25" s="4" t="inlineStr">
        <is>
          <t>Picon</t>
        </is>
      </c>
      <c r="C25" s="4" t="n">
        <v>72</v>
      </c>
      <c r="D25" s="4" t="n">
        <v>28.3</v>
      </c>
      <c r="E25" s="4" t="n">
        <v>0</v>
      </c>
      <c r="F25" s="4" t="inlineStr"/>
    </row>
    <row r="26">
      <c r="A26" s="4" t="inlineStr">
        <is>
          <t>Cidres</t>
        </is>
      </c>
      <c r="B26" s="4" t="inlineStr">
        <is>
          <t>Cidre Brut</t>
        </is>
      </c>
      <c r="C26" s="4" t="n">
        <v>184.5</v>
      </c>
      <c r="D26" s="4" t="n">
        <v>125.2</v>
      </c>
      <c r="E26" s="4" t="n">
        <v>16.5</v>
      </c>
      <c r="F26" s="4" t="inlineStr"/>
    </row>
    <row r="27">
      <c r="A27" s="4" t="inlineStr">
        <is>
          <t>Aperitifs</t>
        </is>
      </c>
      <c r="B27" s="4" t="inlineStr">
        <is>
          <t>Porto</t>
        </is>
      </c>
      <c r="C27" s="4" t="n">
        <v>114.8</v>
      </c>
      <c r="D27" s="4" t="n">
        <v>78.5</v>
      </c>
      <c r="E27" s="4" t="n">
        <v>1.5</v>
      </c>
      <c r="F27" s="4" t="inlineStr"/>
    </row>
    <row r="28">
      <c r="A28" s="4" t="inlineStr">
        <is>
          <t>Liqueurs</t>
        </is>
      </c>
      <c r="B28" s="4" t="inlineStr">
        <is>
          <t>Soho Litchi</t>
        </is>
      </c>
      <c r="C28" s="4" t="n">
        <v>52.5</v>
      </c>
      <c r="D28" s="4" t="n">
        <v>23.3</v>
      </c>
      <c r="E28" s="4" t="n">
        <v>0.7</v>
      </c>
      <c r="F28" s="4" t="inlineStr"/>
    </row>
    <row r="29">
      <c r="A29" s="4" t="inlineStr">
        <is>
          <t>Vins tranquilles</t>
        </is>
      </c>
      <c r="B29" s="4" t="inlineStr">
        <is>
          <t>Hautes Côtes de Beaune rouge</t>
        </is>
      </c>
      <c r="C29" s="4" t="n">
        <v>202.5</v>
      </c>
      <c r="D29" s="4" t="n">
        <v>172.1</v>
      </c>
      <c r="E29" s="4" t="n">
        <v>6</v>
      </c>
      <c r="F29" s="4" t="inlineStr"/>
    </row>
    <row r="30">
      <c r="A30" s="4" t="inlineStr">
        <is>
          <t>Aperitifs</t>
        </is>
      </c>
      <c r="B30" s="4" t="inlineStr">
        <is>
          <t>Pontarlier Anis</t>
        </is>
      </c>
      <c r="C30" s="4" t="n">
        <v>31</v>
      </c>
      <c r="D30" s="4" t="n">
        <v>7</v>
      </c>
      <c r="E30" s="4" t="n">
        <v>0</v>
      </c>
      <c r="F30" s="4" t="inlineStr"/>
    </row>
    <row r="31">
      <c r="A31" s="4" t="inlineStr">
        <is>
          <t>Spiritueux</t>
        </is>
      </c>
      <c r="B31" s="4" t="inlineStr">
        <is>
          <t>Vodka</t>
        </is>
      </c>
      <c r="C31" s="4" t="n">
        <v>32.9</v>
      </c>
      <c r="D31" s="4" t="n">
        <v>10.7</v>
      </c>
      <c r="E31" s="4" t="n">
        <v>0.7</v>
      </c>
      <c r="F31" s="4" t="inlineStr"/>
    </row>
    <row r="32">
      <c r="A32" s="4" t="inlineStr">
        <is>
          <t>Cidres</t>
        </is>
      </c>
      <c r="B32" s="4" t="inlineStr">
        <is>
          <t>Cidre Doux</t>
        </is>
      </c>
      <c r="C32" s="4" t="n">
        <v>126</v>
      </c>
      <c r="D32" s="4" t="n">
        <v>107.6</v>
      </c>
      <c r="E32" s="4" t="n">
        <v>0</v>
      </c>
      <c r="F32" s="4" t="inlineStr"/>
    </row>
    <row r="33">
      <c r="A33" s="4" t="inlineStr">
        <is>
          <t>Vins tranquilles</t>
        </is>
      </c>
      <c r="B33" s="4" t="inlineStr">
        <is>
          <t>Hautes Côtes de Nuits blanc</t>
        </is>
      </c>
      <c r="C33" s="4" t="n">
        <v>18</v>
      </c>
      <c r="D33" s="4" t="n">
        <v>2.2</v>
      </c>
      <c r="E33" s="4" t="n">
        <v>0</v>
      </c>
      <c r="F33" s="4" t="inlineStr">
        <is>
          <t>24 bt Lupe Cholet facturees (bilan 18 L)</t>
        </is>
      </c>
    </row>
    <row r="34">
      <c r="A34" s="4" t="inlineStr">
        <is>
          <t>Cremant et champagne</t>
        </is>
      </c>
      <c r="B34" s="4" t="inlineStr">
        <is>
          <t>Champagne</t>
        </is>
      </c>
      <c r="C34" s="4" t="n">
        <v>29.2</v>
      </c>
      <c r="D34" s="4" t="n">
        <v>5.2</v>
      </c>
      <c r="E34" s="4" t="n">
        <v>9.800000000000001</v>
      </c>
      <c r="F34" s="4" t="inlineStr"/>
    </row>
    <row r="35">
      <c r="A35" s="4" t="inlineStr">
        <is>
          <t>Liqueurs</t>
        </is>
      </c>
      <c r="B35" s="4" t="inlineStr">
        <is>
          <t>Liqueur de Sapin</t>
        </is>
      </c>
      <c r="C35" s="4" t="n">
        <v>17.2</v>
      </c>
      <c r="D35" s="4" t="n">
        <v>3.2</v>
      </c>
      <c r="E35" s="4" t="n">
        <v>0</v>
      </c>
      <c r="F35" s="4" t="inlineStr"/>
    </row>
    <row r="36">
      <c r="A36" s="4" t="inlineStr">
        <is>
          <t>Vins tranquilles</t>
        </is>
      </c>
      <c r="B36" s="4" t="inlineStr">
        <is>
          <t>Rosé Le Pive</t>
        </is>
      </c>
      <c r="C36" s="4" t="n">
        <v>49.4</v>
      </c>
      <c r="D36" s="4" t="n">
        <v>26.2</v>
      </c>
      <c r="E36" s="4" t="n">
        <v>10.5</v>
      </c>
      <c r="F36" s="4" t="inlineStr"/>
    </row>
    <row r="37">
      <c r="A37" s="4" t="inlineStr">
        <is>
          <t>Liqueurs</t>
        </is>
      </c>
      <c r="B37" s="4" t="inlineStr">
        <is>
          <t>Liqueur de Poire</t>
        </is>
      </c>
      <c r="C37" s="4" t="n">
        <v>16.8</v>
      </c>
      <c r="D37" s="4" t="n">
        <v>5.4</v>
      </c>
      <c r="E37" s="4" t="n">
        <v>0</v>
      </c>
      <c r="F37" s="4" t="inlineStr"/>
    </row>
    <row r="38">
      <c r="A38" s="4" t="inlineStr">
        <is>
          <t>Vins tranquilles</t>
        </is>
      </c>
      <c r="B38" s="4" t="inlineStr">
        <is>
          <t>Vin de Paille</t>
        </is>
      </c>
      <c r="C38" s="4" t="n">
        <v>36.4</v>
      </c>
      <c r="D38" s="4" t="n">
        <v>24.9</v>
      </c>
      <c r="E38" s="4" t="n">
        <v>3</v>
      </c>
      <c r="F38" s="4" t="inlineStr"/>
    </row>
    <row r="39">
      <c r="A39" s="4" t="inlineStr">
        <is>
          <t>Vins tranquilles</t>
        </is>
      </c>
      <c r="B39" s="4" t="inlineStr">
        <is>
          <t>Grand Pavois</t>
        </is>
      </c>
      <c r="C39" s="4" t="n">
        <v>18</v>
      </c>
      <c r="D39" s="4" t="n">
        <v>9.800000000000001</v>
      </c>
      <c r="E39" s="4" t="n">
        <v>0</v>
      </c>
      <c r="F39" s="4" t="inlineStr"/>
    </row>
    <row r="40">
      <c r="A40" s="4" t="inlineStr">
        <is>
          <t>Liqueurs</t>
        </is>
      </c>
      <c r="B40" s="4" t="inlineStr">
        <is>
          <t>Get 27</t>
        </is>
      </c>
      <c r="C40" s="4" t="n">
        <v>12</v>
      </c>
      <c r="D40" s="4" t="n">
        <v>3.3</v>
      </c>
      <c r="E40" s="4" t="n">
        <v>0.7</v>
      </c>
      <c r="F40" s="4" t="inlineStr"/>
    </row>
    <row r="41">
      <c r="A41" s="4" t="inlineStr">
        <is>
          <t>Liqueurs</t>
        </is>
      </c>
      <c r="B41" s="4" t="inlineStr">
        <is>
          <t>Génépi</t>
        </is>
      </c>
      <c r="C41" s="4" t="n">
        <v>9.800000000000001</v>
      </c>
      <c r="D41" s="4" t="n">
        <v>2.3</v>
      </c>
      <c r="E41" s="4" t="n">
        <v>0.7</v>
      </c>
      <c r="F41" s="4" t="inlineStr"/>
    </row>
    <row r="42">
      <c r="A42" s="4" t="inlineStr">
        <is>
          <t>Vins tranquilles</t>
        </is>
      </c>
      <c r="B42" s="4" t="inlineStr">
        <is>
          <t>Côtes de Provence Rosé Minuty</t>
        </is>
      </c>
      <c r="C42" s="4" t="n">
        <v>21</v>
      </c>
      <c r="D42" s="4" t="n">
        <v>11.2</v>
      </c>
      <c r="E42" s="4" t="n">
        <v>3.8</v>
      </c>
      <c r="F42" s="4" t="inlineStr"/>
    </row>
    <row r="43">
      <c r="A43" s="4" t="inlineStr">
        <is>
          <t>Liqueurs</t>
        </is>
      </c>
      <c r="B43" s="4" t="inlineStr">
        <is>
          <t>Bailey's</t>
        </is>
      </c>
      <c r="C43" s="4" t="n">
        <v>22.4</v>
      </c>
      <c r="D43" s="4" t="n">
        <v>16.6</v>
      </c>
      <c r="E43" s="4" t="n">
        <v>0.7</v>
      </c>
      <c r="F43" s="4" t="inlineStr"/>
    </row>
    <row r="44">
      <c r="A44" s="4" t="inlineStr">
        <is>
          <t>Liqueurs</t>
        </is>
      </c>
      <c r="B44" s="4" t="inlineStr">
        <is>
          <t>Passoa</t>
        </is>
      </c>
      <c r="C44" s="4" t="n">
        <v>15.4</v>
      </c>
      <c r="D44" s="4" t="n">
        <v>10.1</v>
      </c>
      <c r="E44" s="4" t="n">
        <v>1.4</v>
      </c>
      <c r="F44" s="4" t="inlineStr"/>
    </row>
    <row r="45">
      <c r="A45" s="4" t="inlineStr">
        <is>
          <t>Eaux-de-vie et digestifs</t>
        </is>
      </c>
      <c r="B45" s="4" t="inlineStr">
        <is>
          <t>Eau de Vie Mirabelle</t>
        </is>
      </c>
      <c r="C45" s="4" t="n">
        <v>5.6</v>
      </c>
      <c r="D45" s="4" t="n">
        <v>1.1</v>
      </c>
      <c r="E45" s="4" t="n">
        <v>0.7</v>
      </c>
      <c r="F45" s="4" t="inlineStr"/>
    </row>
    <row r="46">
      <c r="A46" s="4" t="inlineStr">
        <is>
          <t>Vins tranquilles</t>
        </is>
      </c>
      <c r="B46" s="4" t="inlineStr">
        <is>
          <t>Bohème Rosé (Le Pive)</t>
        </is>
      </c>
      <c r="C46" s="4" t="n">
        <v>18.7</v>
      </c>
      <c r="D46" s="4" t="n">
        <v>15</v>
      </c>
      <c r="E46" s="4" t="n">
        <v>0</v>
      </c>
      <c r="F46" s="4" t="inlineStr"/>
    </row>
    <row r="47">
      <c r="A47" s="4" t="inlineStr">
        <is>
          <t>Eaux-de-vie et digestifs</t>
        </is>
      </c>
      <c r="B47" s="4" t="inlineStr">
        <is>
          <t>Marc de Bourgogne</t>
        </is>
      </c>
      <c r="C47" s="4" t="n">
        <v>9.800000000000001</v>
      </c>
      <c r="D47" s="4" t="n">
        <v>5.8</v>
      </c>
      <c r="E47" s="4" t="n">
        <v>0.7</v>
      </c>
      <c r="F47" s="4" t="inlineStr"/>
    </row>
    <row r="48">
      <c r="A48" s="4" t="inlineStr">
        <is>
          <t>Spiritueux</t>
        </is>
      </c>
      <c r="B48" s="4" t="inlineStr">
        <is>
          <t>Clan Campbell</t>
        </is>
      </c>
      <c r="C48" s="4" t="n">
        <v>9.800000000000001</v>
      </c>
      <c r="D48" s="4" t="n">
        <v>5.9</v>
      </c>
      <c r="E48" s="4" t="n">
        <v>0.7</v>
      </c>
      <c r="F48" s="4" t="inlineStr"/>
    </row>
    <row r="49">
      <c r="A49" s="4" t="inlineStr">
        <is>
          <t>Aperitifs</t>
        </is>
      </c>
      <c r="B49" s="4" t="inlineStr">
        <is>
          <t>Ricard</t>
        </is>
      </c>
      <c r="C49" s="4" t="n">
        <v>9</v>
      </c>
      <c r="D49" s="4" t="n">
        <v>5.2</v>
      </c>
      <c r="E49" s="4" t="n">
        <v>1</v>
      </c>
      <c r="F49" s="4" t="inlineStr"/>
    </row>
    <row r="50">
      <c r="A50" s="4" t="inlineStr">
        <is>
          <t>Eaux-de-vie et digestifs</t>
        </is>
      </c>
      <c r="B50" s="4" t="inlineStr">
        <is>
          <t>Cognac</t>
        </is>
      </c>
      <c r="C50" s="4" t="n">
        <v>4.9</v>
      </c>
      <c r="D50" s="4" t="n">
        <v>0.9</v>
      </c>
      <c r="E50" s="4" t="n">
        <v>1.4</v>
      </c>
      <c r="F50" s="4" t="inlineStr"/>
    </row>
    <row r="51">
      <c r="A51" s="4" t="inlineStr">
        <is>
          <t>Spiritueux</t>
        </is>
      </c>
      <c r="B51" s="4" t="inlineStr">
        <is>
          <t>Tequila Camino Real</t>
        </is>
      </c>
      <c r="C51" s="4" t="n">
        <v>3.5</v>
      </c>
      <c r="D51" s="4" t="n">
        <v>1.3</v>
      </c>
      <c r="E51" s="4" t="n">
        <v>0</v>
      </c>
      <c r="F51" s="4" t="inlineStr"/>
    </row>
    <row r="52">
      <c r="A52" s="4" t="inlineStr">
        <is>
          <t>Spiritueux</t>
        </is>
      </c>
      <c r="B52" s="4" t="inlineStr">
        <is>
          <t>Jack Daniel's</t>
        </is>
      </c>
      <c r="C52" s="4" t="n">
        <v>5.6</v>
      </c>
      <c r="D52" s="4" t="n">
        <v>3</v>
      </c>
      <c r="E52" s="4" t="n">
        <v>0.7</v>
      </c>
      <c r="F52" s="4" t="inlineStr"/>
    </row>
    <row r="53">
      <c r="A53" s="4" t="inlineStr">
        <is>
          <t>Vins tranquilles</t>
        </is>
      </c>
      <c r="B53" s="4" t="inlineStr">
        <is>
          <t>Bordeaux Supérieur</t>
        </is>
      </c>
      <c r="C53" s="4" t="n">
        <v>8.199999999999999</v>
      </c>
      <c r="D53" s="4" t="n">
        <v>6.8</v>
      </c>
      <c r="E53" s="4" t="n">
        <v>0</v>
      </c>
      <c r="F53" s="4" t="inlineStr"/>
    </row>
    <row r="54">
      <c r="A54" s="4" t="inlineStr">
        <is>
          <t>Aperitifs</t>
        </is>
      </c>
      <c r="B54" s="4" t="inlineStr">
        <is>
          <t>Pastis 51</t>
        </is>
      </c>
      <c r="C54" s="4" t="n">
        <v>6</v>
      </c>
      <c r="D54" s="4" t="n">
        <v>4.3</v>
      </c>
      <c r="E54" s="4" t="n">
        <v>1</v>
      </c>
      <c r="F54" s="4" t="inlineStr"/>
    </row>
    <row r="55">
      <c r="A55" s="4" t="inlineStr">
        <is>
          <t>Aperitifs</t>
        </is>
      </c>
      <c r="B55" s="4" t="inlineStr">
        <is>
          <t>Martini Blanc</t>
        </is>
      </c>
      <c r="C55" s="4" t="n">
        <v>13</v>
      </c>
      <c r="D55" s="4" t="n">
        <v>12.6</v>
      </c>
      <c r="E55" s="4" t="n">
        <v>1</v>
      </c>
      <c r="F55" s="4" t="inlineStr">
        <is>
          <t>conso&lt;achats : deficit d'inventaire</t>
        </is>
      </c>
    </row>
    <row r="56">
      <c r="A56" s="4" t="inlineStr">
        <is>
          <t>Liqueurs</t>
        </is>
      </c>
      <c r="B56" s="4" t="inlineStr">
        <is>
          <t>Grand Marnier</t>
        </is>
      </c>
      <c r="C56" s="4" t="n">
        <v>8.4</v>
      </c>
      <c r="D56" s="4" t="n">
        <v>8.1</v>
      </c>
      <c r="E56" s="4" t="n">
        <v>1.4</v>
      </c>
      <c r="F56" s="4" t="inlineStr">
        <is>
          <t>conso&lt;achats : deficit d'inventaire</t>
        </is>
      </c>
    </row>
    <row r="57">
      <c r="A57" s="4" t="inlineStr">
        <is>
          <t>Liqueurs</t>
        </is>
      </c>
      <c r="B57" s="4" t="inlineStr">
        <is>
          <t>Guignolet</t>
        </is>
      </c>
      <c r="C57" s="4" t="n">
        <v>0</v>
      </c>
      <c r="D57" s="4" t="n">
        <v>0</v>
      </c>
      <c r="E57" s="4" t="n">
        <v>1.4</v>
      </c>
      <c r="F57" s="4" t="inlineStr">
        <is>
          <t>conso=0 : deficit d'inventaire seul</t>
        </is>
      </c>
    </row>
    <row r="58">
      <c r="A58" s="4" t="inlineStr">
        <is>
          <t>Eaux-de-vie et digestifs</t>
        </is>
      </c>
      <c r="B58" s="4" t="inlineStr">
        <is>
          <t>Eau de Vie Framboise</t>
        </is>
      </c>
      <c r="C58" s="4" t="n">
        <v>0</v>
      </c>
      <c r="D58" s="4" t="n">
        <v>0.8</v>
      </c>
      <c r="E58" s="4" t="n">
        <v>0.7</v>
      </c>
      <c r="F58" s="4" t="inlineStr">
        <is>
          <t>bouton; achats sous Mirabelle/EdV</t>
        </is>
      </c>
    </row>
    <row r="59">
      <c r="A59" s="4" t="inlineStr">
        <is>
          <t>Liqueurs</t>
        </is>
      </c>
      <c r="B59" s="4" t="inlineStr">
        <is>
          <t>Get 31</t>
        </is>
      </c>
      <c r="C59" s="4" t="n">
        <v>0</v>
      </c>
      <c r="D59" s="4" t="n">
        <v>0.9</v>
      </c>
      <c r="E59" s="4" t="n">
        <v>0.7</v>
      </c>
      <c r="F59" s="4" t="inlineStr">
        <is>
          <t>bouton; achats sous Get 27</t>
        </is>
      </c>
    </row>
    <row r="60">
      <c r="A60" s="4" t="inlineStr">
        <is>
          <t>Eaux-de-vie et digestifs</t>
        </is>
      </c>
      <c r="B60" s="4" t="inlineStr">
        <is>
          <t>Marc du Jura</t>
        </is>
      </c>
      <c r="C60" s="4" t="n">
        <v>0</v>
      </c>
      <c r="D60" s="4" t="n">
        <v>2.4</v>
      </c>
      <c r="E60" s="4" t="n">
        <v>0</v>
      </c>
      <c r="F60" s="4" t="inlineStr">
        <is>
          <t>bouton; achats sous Marc de Bourgogne</t>
        </is>
      </c>
    </row>
    <row r="61">
      <c r="A61" s="4" t="inlineStr">
        <is>
          <t>Eaux-de-vie et digestifs</t>
        </is>
      </c>
      <c r="B61" s="4" t="inlineStr">
        <is>
          <t>Eau de Vie de Poire</t>
        </is>
      </c>
      <c r="C61" s="4" t="n">
        <v>0</v>
      </c>
      <c r="D61" s="4" t="n">
        <v>1.7</v>
      </c>
      <c r="E61" s="4" t="n">
        <v>0.7</v>
      </c>
      <c r="F61" s="4" t="inlineStr">
        <is>
          <t>bouton; achats sous Liqueur de Poire</t>
        </is>
      </c>
    </row>
    <row r="62">
      <c r="A62" s="4" t="inlineStr">
        <is>
          <t>Vins tranquilles</t>
        </is>
      </c>
      <c r="B62" s="4" t="inlineStr">
        <is>
          <t>Hautes Côtes de Beaune blanc</t>
        </is>
      </c>
      <c r="C62" s="4" t="n">
        <v>0</v>
      </c>
      <c r="D62" s="4" t="n">
        <v>4.5</v>
      </c>
      <c r="E62" s="4" t="n">
        <v>0</v>
      </c>
      <c r="F62" s="4" t="inlineStr">
        <is>
          <t>servi sur stock HC Nuits blanc (cf. ventes-sans-achat)</t>
        </is>
      </c>
    </row>
    <row r="63">
      <c r="A63" s="4" t="inlineStr">
        <is>
          <t>Liqueurs</t>
        </is>
      </c>
      <c r="B63" s="4" t="inlineStr">
        <is>
          <t>Liqueur de Cerise</t>
        </is>
      </c>
      <c r="C63" s="4" t="n">
        <v>12.7</v>
      </c>
      <c r="D63" s="4" t="n">
        <v>16.1</v>
      </c>
      <c r="E63" s="4" t="n">
        <v>1.4</v>
      </c>
      <c r="F63" s="4" t="inlineStr">
        <is>
          <t>bouton; proche Guignolet (cerise)</t>
        </is>
      </c>
    </row>
    <row r="64">
      <c r="A64" s="4" t="inlineStr">
        <is>
          <t>Vins tranquilles</t>
        </is>
      </c>
      <c r="B64" s="4" t="inlineStr">
        <is>
          <t>Miraval Rosé</t>
        </is>
      </c>
      <c r="C64" s="4" t="n">
        <v>0</v>
      </c>
      <c r="D64" s="4" t="n">
        <v>6</v>
      </c>
      <c r="E64" s="4" t="n">
        <v>0</v>
      </c>
      <c r="F64" s="4" t="inlineStr">
        <is>
          <t>bouton rose; achats sous les autres roses</t>
        </is>
      </c>
    </row>
    <row r="65">
      <c r="A65" s="4" t="inlineStr">
        <is>
          <t>Eaux-de-vie et digestifs</t>
        </is>
      </c>
      <c r="B65" s="4" t="inlineStr">
        <is>
          <t>Calvados</t>
        </is>
      </c>
      <c r="C65" s="4" t="n">
        <v>73</v>
      </c>
      <c r="D65" s="4">
        <f>Calvados!E14</f>
        <v/>
      </c>
      <c r="E65" s="4" t="n">
        <v>1</v>
      </c>
      <c r="F65" s="4" t="inlineStr">
        <is>
          <t>conso 110,7 L itemisee (onglet Calvados)</t>
        </is>
      </c>
    </row>
    <row r="66">
      <c r="A66" s="4" t="inlineStr">
        <is>
          <t>Vins tranquilles</t>
        </is>
      </c>
      <c r="B66" s="4" t="inlineStr">
        <is>
          <t>Chablis</t>
        </is>
      </c>
      <c r="C66" s="4" t="n">
        <v>18</v>
      </c>
      <c r="D66" s="4" t="n">
        <v>73.7</v>
      </c>
      <c r="E66" s="4" t="n">
        <v>12</v>
      </c>
      <c r="F66" s="4" t="inlineStr">
        <is>
          <t>104,2 L facturES (demi-bt/millesimes) -&gt; onglet Achats non rattaches</t>
        </is>
      </c>
    </row>
    <row r="67">
      <c r="A67" s="4" t="inlineStr">
        <is>
          <t>Vins tranquilles</t>
        </is>
      </c>
      <c r="B67" s="4" t="inlineStr">
        <is>
          <t>Gewurztraminer</t>
        </is>
      </c>
      <c r="C67" s="4" t="n">
        <v>6</v>
      </c>
      <c r="D67" s="4" t="n">
        <v>78.90000000000001</v>
      </c>
      <c r="E67" s="4" t="n">
        <v>2.2</v>
      </c>
      <c r="F67" s="4" t="inlineStr">
        <is>
          <t>102,0 L factures -&gt; onglet Achats non rattaches</t>
        </is>
      </c>
    </row>
    <row r="68">
      <c r="A68" s="4" t="inlineStr">
        <is>
          <t>Vins tranquilles</t>
        </is>
      </c>
      <c r="B68" s="4" t="inlineStr">
        <is>
          <t>Arbois Béthanie</t>
        </is>
      </c>
      <c r="C68" s="4" t="n">
        <v>214.5</v>
      </c>
      <c r="D68" s="4" t="n">
        <v>309.9</v>
      </c>
      <c r="E68" s="4" t="n">
        <v>0</v>
      </c>
      <c r="F68" s="4" t="inlineStr">
        <is>
          <t>385,5 L factures -&gt; onglet Achats non rattaches</t>
        </is>
      </c>
    </row>
    <row r="69">
      <c r="A69" s="4" t="inlineStr">
        <is>
          <t>Vins tranquilles</t>
        </is>
      </c>
      <c r="B69" s="4" t="inlineStr">
        <is>
          <t>Cubis de vin (couleur non précisée)</t>
        </is>
      </c>
      <c r="C69" s="4" t="n">
        <v>0</v>
      </c>
      <c r="D69" s="4" t="n">
        <v>426.9</v>
      </c>
      <c r="E69" s="4" t="n">
        <v>0</v>
      </c>
      <c r="F69" s="4" t="inlineStr">
        <is>
          <t>bouton pichet/BIB; achats sous vins maison en BIB (meme traitement que Mouton Cadet)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Calvados : consommation itemisee par libelle de caisse x dose declaree de 4 cl (3 exercices)</t>
        </is>
      </c>
    </row>
    <row r="2" ht="46" customHeight="1">
      <c r="A2" s="2" t="inlineStr">
        <is>
          <t>Dose SERVIE = verre de digestif, enregistre et facture en caisse (recette de boisson). Dose EN CUISINE = flambage/rotissage, charge de matiere d'un plat deja facture. Volume = quantite x 4 cl. Total = la consommation Calvados retenue au bilan (valeur verifiee, itemisee).</t>
        </is>
      </c>
    </row>
    <row r="4">
      <c r="A4" s="3" t="inlineStr">
        <is>
          <t>Usage</t>
        </is>
      </c>
      <c r="B4" s="3" t="inlineStr">
        <is>
          <t>Libelle de caisse</t>
        </is>
      </c>
      <c r="C4" s="3" t="inlineStr">
        <is>
          <t>Quantite (3 ex.)</t>
        </is>
      </c>
      <c r="D4" s="3" t="inlineStr">
        <is>
          <t>Dose (cl)</t>
        </is>
      </c>
      <c r="E4" s="3" t="inlineStr">
        <is>
          <t>Volume (L)</t>
        </is>
      </c>
    </row>
    <row r="5">
      <c r="A5" s="4" t="inlineStr">
        <is>
          <t>Dose servie (verre)</t>
        </is>
      </c>
      <c r="B5" s="4" t="inlineStr">
        <is>
          <t>Calvados (4cl)</t>
        </is>
      </c>
      <c r="C5" s="4" t="n">
        <v>32</v>
      </c>
      <c r="D5" s="4" t="n">
        <v>4</v>
      </c>
      <c r="E5" s="4">
        <f>C5*D5/100</f>
        <v/>
      </c>
    </row>
    <row r="6">
      <c r="A6" s="4" t="inlineStr">
        <is>
          <t>Dose servie (verre)</t>
        </is>
      </c>
      <c r="B6" s="4" t="inlineStr">
        <is>
          <t>Calvados</t>
        </is>
      </c>
      <c r="C6" s="4" t="n">
        <v>4</v>
      </c>
      <c r="D6" s="4" t="n">
        <v>4</v>
      </c>
      <c r="E6" s="4">
        <f>C6*D6/100</f>
        <v/>
      </c>
    </row>
    <row r="7">
      <c r="A7" s="4" t="inlineStr">
        <is>
          <t>Dose cuisine</t>
        </is>
      </c>
      <c r="B7" s="4" t="inlineStr">
        <is>
          <t>CAMEMBERT ROTI</t>
        </is>
      </c>
      <c r="C7" s="4" t="n">
        <v>1451.6</v>
      </c>
      <c r="D7" s="4" t="n">
        <v>4</v>
      </c>
      <c r="E7" s="4">
        <f>C7*D7/100</f>
        <v/>
      </c>
    </row>
    <row r="8">
      <c r="A8" s="4" t="inlineStr">
        <is>
          <t>Dose cuisine</t>
        </is>
      </c>
      <c r="B8" s="4" t="inlineStr">
        <is>
          <t>ASSIETTE PERE GREGOIRE</t>
        </is>
      </c>
      <c r="C8" s="4" t="n">
        <v>648</v>
      </c>
      <c r="D8" s="4" t="n">
        <v>4</v>
      </c>
      <c r="E8" s="4">
        <f>C8*D8/100</f>
        <v/>
      </c>
    </row>
    <row r="9">
      <c r="A9" s="4" t="inlineStr">
        <is>
          <t>Dose cuisine</t>
        </is>
      </c>
      <c r="B9" s="4" t="inlineStr">
        <is>
          <t>GALETTE FRELEE</t>
        </is>
      </c>
      <c r="C9" s="4" t="n">
        <v>346</v>
      </c>
      <c r="D9" s="4" t="n">
        <v>4</v>
      </c>
      <c r="E9" s="4">
        <f>C9*D9/100</f>
        <v/>
      </c>
    </row>
    <row r="10">
      <c r="A10" s="4" t="inlineStr">
        <is>
          <t>Dose cuisine</t>
        </is>
      </c>
      <c r="B10" s="4" t="inlineStr">
        <is>
          <t>CREPE FLAMBEE</t>
        </is>
      </c>
      <c r="C10" s="4" t="n">
        <v>113</v>
      </c>
      <c r="D10" s="4" t="n">
        <v>4</v>
      </c>
      <c r="E10" s="4">
        <f>C10*D10/100</f>
        <v/>
      </c>
    </row>
    <row r="11">
      <c r="A11" s="4" t="inlineStr">
        <is>
          <t>Dose cuisine</t>
        </is>
      </c>
      <c r="B11" s="4" t="inlineStr">
        <is>
          <t>DESSERT BASILIC</t>
        </is>
      </c>
      <c r="C11" s="4" t="n">
        <v>83</v>
      </c>
      <c r="D11" s="4" t="n">
        <v>4</v>
      </c>
      <c r="E11" s="4">
        <f>C11*D11/100</f>
        <v/>
      </c>
    </row>
    <row r="12">
      <c r="A12" s="4" t="inlineStr">
        <is>
          <t>Dose cuisine</t>
        </is>
      </c>
      <c r="B12" s="4" t="inlineStr">
        <is>
          <t>DESSERT GRAPPINS</t>
        </is>
      </c>
      <c r="C12" s="4" t="n">
        <v>67</v>
      </c>
      <c r="D12" s="4" t="n">
        <v>4</v>
      </c>
      <c r="E12" s="4">
        <f>C12*D12/100</f>
        <v/>
      </c>
    </row>
    <row r="13">
      <c r="A13" s="4" t="inlineStr">
        <is>
          <t>Dose cuisine</t>
        </is>
      </c>
      <c r="B13" s="4" t="inlineStr">
        <is>
          <t>DESSERT FLAMBEE</t>
        </is>
      </c>
      <c r="C13" s="4" t="n">
        <v>23</v>
      </c>
      <c r="D13" s="4" t="n">
        <v>4</v>
      </c>
      <c r="E13" s="4">
        <f>C13*D13/100</f>
        <v/>
      </c>
    </row>
    <row r="14">
      <c r="B14" s="1" t="inlineStr">
        <is>
          <t>TOTAL consommation Calvados (verre + cuisine)</t>
        </is>
      </c>
      <c r="E14" s="5">
        <f>SUM(E5:E13)</f>
        <v/>
      </c>
    </row>
    <row r="15">
      <c r="B15" s="1" t="inlineStr">
        <is>
          <t>dont verre (recette de boisson)</t>
        </is>
      </c>
      <c r="E15" s="1">
        <f>SUM(E5:E6)</f>
        <v/>
      </c>
    </row>
    <row r="16">
      <c r="B16" s="1" t="inlineStr">
        <is>
          <t>dont cuisine (charge de matiere)</t>
        </is>
      </c>
      <c r="E16" s="1">
        <f>SUM(E7:E13)</f>
        <v/>
      </c>
    </row>
    <row r="17">
      <c r="B17" t="inlineStr">
        <is>
          <t>Achats factures (73 bt de 1 L, 1 227,74 EUR HT)</t>
        </is>
      </c>
      <c r="E17" t="n">
        <v>73</v>
      </c>
    </row>
    <row r="18">
      <c r="B18" t="inlineStr">
        <is>
          <t>Variation d'inventaire (stock 1 bt a l'ouverture et a la cloture)</t>
        </is>
      </c>
      <c r="E18" t="n">
        <v>1</v>
      </c>
    </row>
    <row r="19">
      <c r="B19" s="1" t="inlineStr">
        <is>
          <t>Bilan net Calvados = achats - conso - inventaire</t>
        </is>
      </c>
      <c r="E19" s="6">
        <f>E17-E14-E18</f>
        <v/>
      </c>
    </row>
    <row r="20">
      <c r="B20" s="1" t="inlineStr">
        <is>
          <t>Deficit conso - achats = conso - achats</t>
        </is>
      </c>
      <c r="E20" s="1">
        <f>E14-E17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Bilan matiere, produit par produit : net et sens de l'ecart, PAR FORMULE</t>
        </is>
      </c>
    </row>
    <row r="2" ht="32" customHeight="1">
      <c r="A2" s="2" t="inlineStr">
        <is>
          <t>Bilan net = achats - conso - inventaire. Deficit conso-achats = conso - achats (&gt;0 = consommation superieure aux achats). Les lignes importees de l'onglet Sources ; aucun resultat n'est tape en dur.</t>
        </is>
      </c>
    </row>
    <row r="4">
      <c r="A4" s="3" t="inlineStr">
        <is>
          <t>Famille</t>
        </is>
      </c>
      <c r="B4" s="3" t="inlineStr">
        <is>
          <t>Produit</t>
        </is>
      </c>
      <c r="C4" s="3" t="inlineStr">
        <is>
          <t>Achats (L)</t>
        </is>
      </c>
      <c r="D4" s="3" t="inlineStr">
        <is>
          <t>Conso (L)</t>
        </is>
      </c>
      <c r="E4" s="3" t="inlineStr">
        <is>
          <t>Inv (L)</t>
        </is>
      </c>
      <c r="F4" s="3" t="inlineStr">
        <is>
          <t>Bilan net (L)</t>
        </is>
      </c>
      <c r="G4" s="3" t="inlineStr">
        <is>
          <t>Conso - achats (L)</t>
        </is>
      </c>
    </row>
    <row r="5">
      <c r="A5" s="4">
        <f>Sources!A5</f>
        <v/>
      </c>
      <c r="B5" s="4">
        <f>Sources!B5</f>
        <v/>
      </c>
      <c r="C5" s="4">
        <f>Sources!C5</f>
        <v/>
      </c>
      <c r="D5" s="4">
        <f>Sources!D5</f>
        <v/>
      </c>
      <c r="E5" s="4">
        <f>Sources!E5</f>
        <v/>
      </c>
      <c r="F5" s="4">
        <f>C5-D5-E5</f>
        <v/>
      </c>
      <c r="G5" s="4">
        <f>D5-C5</f>
        <v/>
      </c>
    </row>
    <row r="6">
      <c r="A6" s="4">
        <f>Sources!A6</f>
        <v/>
      </c>
      <c r="B6" s="4">
        <f>Sources!B6</f>
        <v/>
      </c>
      <c r="C6" s="4">
        <f>Sources!C6</f>
        <v/>
      </c>
      <c r="D6" s="4">
        <f>Sources!D6</f>
        <v/>
      </c>
      <c r="E6" s="4">
        <f>Sources!E6</f>
        <v/>
      </c>
      <c r="F6" s="4">
        <f>C6-D6-E6</f>
        <v/>
      </c>
      <c r="G6" s="4">
        <f>D6-C6</f>
        <v/>
      </c>
    </row>
    <row r="7">
      <c r="A7" s="4">
        <f>Sources!A7</f>
        <v/>
      </c>
      <c r="B7" s="4">
        <f>Sources!B7</f>
        <v/>
      </c>
      <c r="C7" s="4">
        <f>Sources!C7</f>
        <v/>
      </c>
      <c r="D7" s="4">
        <f>Sources!D7</f>
        <v/>
      </c>
      <c r="E7" s="4">
        <f>Sources!E7</f>
        <v/>
      </c>
      <c r="F7" s="4">
        <f>C7-D7-E7</f>
        <v/>
      </c>
      <c r="G7" s="4">
        <f>D7-C7</f>
        <v/>
      </c>
    </row>
    <row r="8">
      <c r="A8" s="4">
        <f>Sources!A8</f>
        <v/>
      </c>
      <c r="B8" s="4">
        <f>Sources!B8</f>
        <v/>
      </c>
      <c r="C8" s="4">
        <f>Sources!C8</f>
        <v/>
      </c>
      <c r="D8" s="4">
        <f>Sources!D8</f>
        <v/>
      </c>
      <c r="E8" s="4">
        <f>Sources!E8</f>
        <v/>
      </c>
      <c r="F8" s="4">
        <f>C8-D8-E8</f>
        <v/>
      </c>
      <c r="G8" s="4">
        <f>D8-C8</f>
        <v/>
      </c>
    </row>
    <row r="9">
      <c r="A9" s="4">
        <f>Sources!A9</f>
        <v/>
      </c>
      <c r="B9" s="4">
        <f>Sources!B9</f>
        <v/>
      </c>
      <c r="C9" s="4">
        <f>Sources!C9</f>
        <v/>
      </c>
      <c r="D9" s="4">
        <f>Sources!D9</f>
        <v/>
      </c>
      <c r="E9" s="4">
        <f>Sources!E9</f>
        <v/>
      </c>
      <c r="F9" s="4">
        <f>C9-D9-E9</f>
        <v/>
      </c>
      <c r="G9" s="4">
        <f>D9-C9</f>
        <v/>
      </c>
    </row>
    <row r="10">
      <c r="A10" s="4">
        <f>Sources!A10</f>
        <v/>
      </c>
      <c r="B10" s="4">
        <f>Sources!B10</f>
        <v/>
      </c>
      <c r="C10" s="4">
        <f>Sources!C10</f>
        <v/>
      </c>
      <c r="D10" s="4">
        <f>Sources!D10</f>
        <v/>
      </c>
      <c r="E10" s="4">
        <f>Sources!E10</f>
        <v/>
      </c>
      <c r="F10" s="4">
        <f>C10-D10-E10</f>
        <v/>
      </c>
      <c r="G10" s="4">
        <f>D10-C10</f>
        <v/>
      </c>
    </row>
    <row r="11">
      <c r="A11" s="4">
        <f>Sources!A11</f>
        <v/>
      </c>
      <c r="B11" s="4">
        <f>Sources!B11</f>
        <v/>
      </c>
      <c r="C11" s="4">
        <f>Sources!C11</f>
        <v/>
      </c>
      <c r="D11" s="4">
        <f>Sources!D11</f>
        <v/>
      </c>
      <c r="E11" s="4">
        <f>Sources!E11</f>
        <v/>
      </c>
      <c r="F11" s="4">
        <f>C11-D11-E11</f>
        <v/>
      </c>
      <c r="G11" s="4">
        <f>D11-C11</f>
        <v/>
      </c>
    </row>
    <row r="12">
      <c r="A12" s="4">
        <f>Sources!A12</f>
        <v/>
      </c>
      <c r="B12" s="4">
        <f>Sources!B12</f>
        <v/>
      </c>
      <c r="C12" s="4">
        <f>Sources!C12</f>
        <v/>
      </c>
      <c r="D12" s="4">
        <f>Sources!D12</f>
        <v/>
      </c>
      <c r="E12" s="4">
        <f>Sources!E12</f>
        <v/>
      </c>
      <c r="F12" s="4">
        <f>C12-D12-E12</f>
        <v/>
      </c>
      <c r="G12" s="4">
        <f>D12-C12</f>
        <v/>
      </c>
    </row>
    <row r="13">
      <c r="A13" s="4">
        <f>Sources!A13</f>
        <v/>
      </c>
      <c r="B13" s="4">
        <f>Sources!B13</f>
        <v/>
      </c>
      <c r="C13" s="4">
        <f>Sources!C13</f>
        <v/>
      </c>
      <c r="D13" s="4">
        <f>Sources!D13</f>
        <v/>
      </c>
      <c r="E13" s="4">
        <f>Sources!E13</f>
        <v/>
      </c>
      <c r="F13" s="4">
        <f>C13-D13-E13</f>
        <v/>
      </c>
      <c r="G13" s="4">
        <f>D13-C13</f>
        <v/>
      </c>
    </row>
    <row r="14">
      <c r="A14" s="4">
        <f>Sources!A14</f>
        <v/>
      </c>
      <c r="B14" s="4">
        <f>Sources!B14</f>
        <v/>
      </c>
      <c r="C14" s="4">
        <f>Sources!C14</f>
        <v/>
      </c>
      <c r="D14" s="4">
        <f>Sources!D14</f>
        <v/>
      </c>
      <c r="E14" s="4">
        <f>Sources!E14</f>
        <v/>
      </c>
      <c r="F14" s="4">
        <f>C14-D14-E14</f>
        <v/>
      </c>
      <c r="G14" s="4">
        <f>D14-C14</f>
        <v/>
      </c>
    </row>
    <row r="15">
      <c r="A15" s="4">
        <f>Sources!A15</f>
        <v/>
      </c>
      <c r="B15" s="4">
        <f>Sources!B15</f>
        <v/>
      </c>
      <c r="C15" s="4">
        <f>Sources!C15</f>
        <v/>
      </c>
      <c r="D15" s="4">
        <f>Sources!D15</f>
        <v/>
      </c>
      <c r="E15" s="4">
        <f>Sources!E15</f>
        <v/>
      </c>
      <c r="F15" s="4">
        <f>C15-D15-E15</f>
        <v/>
      </c>
      <c r="G15" s="4">
        <f>D15-C15</f>
        <v/>
      </c>
    </row>
    <row r="16">
      <c r="A16" s="4">
        <f>Sources!A16</f>
        <v/>
      </c>
      <c r="B16" s="4">
        <f>Sources!B16</f>
        <v/>
      </c>
      <c r="C16" s="4">
        <f>Sources!C16</f>
        <v/>
      </c>
      <c r="D16" s="4">
        <f>Sources!D16</f>
        <v/>
      </c>
      <c r="E16" s="4">
        <f>Sources!E16</f>
        <v/>
      </c>
      <c r="F16" s="4">
        <f>C16-D16-E16</f>
        <v/>
      </c>
      <c r="G16" s="4">
        <f>D16-C16</f>
        <v/>
      </c>
    </row>
    <row r="17">
      <c r="A17" s="4">
        <f>Sources!A17</f>
        <v/>
      </c>
      <c r="B17" s="4">
        <f>Sources!B17</f>
        <v/>
      </c>
      <c r="C17" s="4">
        <f>Sources!C17</f>
        <v/>
      </c>
      <c r="D17" s="4">
        <f>Sources!D17</f>
        <v/>
      </c>
      <c r="E17" s="4">
        <f>Sources!E17</f>
        <v/>
      </c>
      <c r="F17" s="4">
        <f>C17-D17-E17</f>
        <v/>
      </c>
      <c r="G17" s="4">
        <f>D17-C17</f>
        <v/>
      </c>
    </row>
    <row r="18">
      <c r="A18" s="4">
        <f>Sources!A18</f>
        <v/>
      </c>
      <c r="B18" s="4">
        <f>Sources!B18</f>
        <v/>
      </c>
      <c r="C18" s="4">
        <f>Sources!C18</f>
        <v/>
      </c>
      <c r="D18" s="4">
        <f>Sources!D18</f>
        <v/>
      </c>
      <c r="E18" s="4">
        <f>Sources!E18</f>
        <v/>
      </c>
      <c r="F18" s="4">
        <f>C18-D18-E18</f>
        <v/>
      </c>
      <c r="G18" s="4">
        <f>D18-C18</f>
        <v/>
      </c>
    </row>
    <row r="19">
      <c r="A19" s="4">
        <f>Sources!A19</f>
        <v/>
      </c>
      <c r="B19" s="4">
        <f>Sources!B19</f>
        <v/>
      </c>
      <c r="C19" s="4">
        <f>Sources!C19</f>
        <v/>
      </c>
      <c r="D19" s="4">
        <f>Sources!D19</f>
        <v/>
      </c>
      <c r="E19" s="4">
        <f>Sources!E19</f>
        <v/>
      </c>
      <c r="F19" s="4">
        <f>C19-D19-E19</f>
        <v/>
      </c>
      <c r="G19" s="4">
        <f>D19-C19</f>
        <v/>
      </c>
    </row>
    <row r="20">
      <c r="A20" s="4">
        <f>Sources!A20</f>
        <v/>
      </c>
      <c r="B20" s="4">
        <f>Sources!B20</f>
        <v/>
      </c>
      <c r="C20" s="4">
        <f>Sources!C20</f>
        <v/>
      </c>
      <c r="D20" s="4">
        <f>Sources!D20</f>
        <v/>
      </c>
      <c r="E20" s="4">
        <f>Sources!E20</f>
        <v/>
      </c>
      <c r="F20" s="4">
        <f>C20-D20-E20</f>
        <v/>
      </c>
      <c r="G20" s="4">
        <f>D20-C20</f>
        <v/>
      </c>
    </row>
    <row r="21">
      <c r="A21" s="4">
        <f>Sources!A21</f>
        <v/>
      </c>
      <c r="B21" s="4">
        <f>Sources!B21</f>
        <v/>
      </c>
      <c r="C21" s="4">
        <f>Sources!C21</f>
        <v/>
      </c>
      <c r="D21" s="4">
        <f>Sources!D21</f>
        <v/>
      </c>
      <c r="E21" s="4">
        <f>Sources!E21</f>
        <v/>
      </c>
      <c r="F21" s="4">
        <f>C21-D21-E21</f>
        <v/>
      </c>
      <c r="G21" s="4">
        <f>D21-C21</f>
        <v/>
      </c>
    </row>
    <row r="22">
      <c r="A22" s="4">
        <f>Sources!A22</f>
        <v/>
      </c>
      <c r="B22" s="4">
        <f>Sources!B22</f>
        <v/>
      </c>
      <c r="C22" s="4">
        <f>Sources!C22</f>
        <v/>
      </c>
      <c r="D22" s="4">
        <f>Sources!D22</f>
        <v/>
      </c>
      <c r="E22" s="4">
        <f>Sources!E22</f>
        <v/>
      </c>
      <c r="F22" s="4">
        <f>C22-D22-E22</f>
        <v/>
      </c>
      <c r="G22" s="4">
        <f>D22-C22</f>
        <v/>
      </c>
    </row>
    <row r="23">
      <c r="A23" s="4">
        <f>Sources!A23</f>
        <v/>
      </c>
      <c r="B23" s="4">
        <f>Sources!B23</f>
        <v/>
      </c>
      <c r="C23" s="4">
        <f>Sources!C23</f>
        <v/>
      </c>
      <c r="D23" s="4">
        <f>Sources!D23</f>
        <v/>
      </c>
      <c r="E23" s="4">
        <f>Sources!E23</f>
        <v/>
      </c>
      <c r="F23" s="4">
        <f>C23-D23-E23</f>
        <v/>
      </c>
      <c r="G23" s="4">
        <f>D23-C23</f>
        <v/>
      </c>
    </row>
    <row r="24">
      <c r="A24" s="4">
        <f>Sources!A24</f>
        <v/>
      </c>
      <c r="B24" s="4">
        <f>Sources!B24</f>
        <v/>
      </c>
      <c r="C24" s="4">
        <f>Sources!C24</f>
        <v/>
      </c>
      <c r="D24" s="4">
        <f>Sources!D24</f>
        <v/>
      </c>
      <c r="E24" s="4">
        <f>Sources!E24</f>
        <v/>
      </c>
      <c r="F24" s="4">
        <f>C24-D24-E24</f>
        <v/>
      </c>
      <c r="G24" s="4">
        <f>D24-C24</f>
        <v/>
      </c>
    </row>
    <row r="25">
      <c r="A25" s="4">
        <f>Sources!A25</f>
        <v/>
      </c>
      <c r="B25" s="4">
        <f>Sources!B25</f>
        <v/>
      </c>
      <c r="C25" s="4">
        <f>Sources!C25</f>
        <v/>
      </c>
      <c r="D25" s="4">
        <f>Sources!D25</f>
        <v/>
      </c>
      <c r="E25" s="4">
        <f>Sources!E25</f>
        <v/>
      </c>
      <c r="F25" s="4">
        <f>C25-D25-E25</f>
        <v/>
      </c>
      <c r="G25" s="4">
        <f>D25-C25</f>
        <v/>
      </c>
    </row>
    <row r="26">
      <c r="A26" s="4">
        <f>Sources!A26</f>
        <v/>
      </c>
      <c r="B26" s="4">
        <f>Sources!B26</f>
        <v/>
      </c>
      <c r="C26" s="4">
        <f>Sources!C26</f>
        <v/>
      </c>
      <c r="D26" s="4">
        <f>Sources!D26</f>
        <v/>
      </c>
      <c r="E26" s="4">
        <f>Sources!E26</f>
        <v/>
      </c>
      <c r="F26" s="4">
        <f>C26-D26-E26</f>
        <v/>
      </c>
      <c r="G26" s="4">
        <f>D26-C26</f>
        <v/>
      </c>
    </row>
    <row r="27">
      <c r="A27" s="4">
        <f>Sources!A27</f>
        <v/>
      </c>
      <c r="B27" s="4">
        <f>Sources!B27</f>
        <v/>
      </c>
      <c r="C27" s="4">
        <f>Sources!C27</f>
        <v/>
      </c>
      <c r="D27" s="4">
        <f>Sources!D27</f>
        <v/>
      </c>
      <c r="E27" s="4">
        <f>Sources!E27</f>
        <v/>
      </c>
      <c r="F27" s="4">
        <f>C27-D27-E27</f>
        <v/>
      </c>
      <c r="G27" s="4">
        <f>D27-C27</f>
        <v/>
      </c>
    </row>
    <row r="28">
      <c r="A28" s="4">
        <f>Sources!A28</f>
        <v/>
      </c>
      <c r="B28" s="4">
        <f>Sources!B28</f>
        <v/>
      </c>
      <c r="C28" s="4">
        <f>Sources!C28</f>
        <v/>
      </c>
      <c r="D28" s="4">
        <f>Sources!D28</f>
        <v/>
      </c>
      <c r="E28" s="4">
        <f>Sources!E28</f>
        <v/>
      </c>
      <c r="F28" s="4">
        <f>C28-D28-E28</f>
        <v/>
      </c>
      <c r="G28" s="4">
        <f>D28-C28</f>
        <v/>
      </c>
    </row>
    <row r="29">
      <c r="A29" s="4">
        <f>Sources!A29</f>
        <v/>
      </c>
      <c r="B29" s="4">
        <f>Sources!B29</f>
        <v/>
      </c>
      <c r="C29" s="4">
        <f>Sources!C29</f>
        <v/>
      </c>
      <c r="D29" s="4">
        <f>Sources!D29</f>
        <v/>
      </c>
      <c r="E29" s="4">
        <f>Sources!E29</f>
        <v/>
      </c>
      <c r="F29" s="4">
        <f>C29-D29-E29</f>
        <v/>
      </c>
      <c r="G29" s="4">
        <f>D29-C29</f>
        <v/>
      </c>
    </row>
    <row r="30">
      <c r="A30" s="4">
        <f>Sources!A30</f>
        <v/>
      </c>
      <c r="B30" s="4">
        <f>Sources!B30</f>
        <v/>
      </c>
      <c r="C30" s="4">
        <f>Sources!C30</f>
        <v/>
      </c>
      <c r="D30" s="4">
        <f>Sources!D30</f>
        <v/>
      </c>
      <c r="E30" s="4">
        <f>Sources!E30</f>
        <v/>
      </c>
      <c r="F30" s="4">
        <f>C30-D30-E30</f>
        <v/>
      </c>
      <c r="G30" s="4">
        <f>D30-C30</f>
        <v/>
      </c>
    </row>
    <row r="31">
      <c r="A31" s="4">
        <f>Sources!A31</f>
        <v/>
      </c>
      <c r="B31" s="4">
        <f>Sources!B31</f>
        <v/>
      </c>
      <c r="C31" s="4">
        <f>Sources!C31</f>
        <v/>
      </c>
      <c r="D31" s="4">
        <f>Sources!D31</f>
        <v/>
      </c>
      <c r="E31" s="4">
        <f>Sources!E31</f>
        <v/>
      </c>
      <c r="F31" s="4">
        <f>C31-D31-E31</f>
        <v/>
      </c>
      <c r="G31" s="4">
        <f>D31-C31</f>
        <v/>
      </c>
    </row>
    <row r="32">
      <c r="A32" s="4">
        <f>Sources!A32</f>
        <v/>
      </c>
      <c r="B32" s="4">
        <f>Sources!B32</f>
        <v/>
      </c>
      <c r="C32" s="4">
        <f>Sources!C32</f>
        <v/>
      </c>
      <c r="D32" s="4">
        <f>Sources!D32</f>
        <v/>
      </c>
      <c r="E32" s="4">
        <f>Sources!E32</f>
        <v/>
      </c>
      <c r="F32" s="4">
        <f>C32-D32-E32</f>
        <v/>
      </c>
      <c r="G32" s="4">
        <f>D32-C32</f>
        <v/>
      </c>
    </row>
    <row r="33">
      <c r="A33" s="4">
        <f>Sources!A33</f>
        <v/>
      </c>
      <c r="B33" s="4">
        <f>Sources!B33</f>
        <v/>
      </c>
      <c r="C33" s="4">
        <f>Sources!C33</f>
        <v/>
      </c>
      <c r="D33" s="4">
        <f>Sources!D33</f>
        <v/>
      </c>
      <c r="E33" s="4">
        <f>Sources!E33</f>
        <v/>
      </c>
      <c r="F33" s="4">
        <f>C33-D33-E33</f>
        <v/>
      </c>
      <c r="G33" s="4">
        <f>D33-C33</f>
        <v/>
      </c>
    </row>
    <row r="34">
      <c r="A34" s="4">
        <f>Sources!A34</f>
        <v/>
      </c>
      <c r="B34" s="4">
        <f>Sources!B34</f>
        <v/>
      </c>
      <c r="C34" s="4">
        <f>Sources!C34</f>
        <v/>
      </c>
      <c r="D34" s="4">
        <f>Sources!D34</f>
        <v/>
      </c>
      <c r="E34" s="4">
        <f>Sources!E34</f>
        <v/>
      </c>
      <c r="F34" s="4">
        <f>C34-D34-E34</f>
        <v/>
      </c>
      <c r="G34" s="4">
        <f>D34-C34</f>
        <v/>
      </c>
    </row>
    <row r="35">
      <c r="A35" s="4">
        <f>Sources!A35</f>
        <v/>
      </c>
      <c r="B35" s="4">
        <f>Sources!B35</f>
        <v/>
      </c>
      <c r="C35" s="4">
        <f>Sources!C35</f>
        <v/>
      </c>
      <c r="D35" s="4">
        <f>Sources!D35</f>
        <v/>
      </c>
      <c r="E35" s="4">
        <f>Sources!E35</f>
        <v/>
      </c>
      <c r="F35" s="4">
        <f>C35-D35-E35</f>
        <v/>
      </c>
      <c r="G35" s="4">
        <f>D35-C35</f>
        <v/>
      </c>
    </row>
    <row r="36">
      <c r="A36" s="4">
        <f>Sources!A36</f>
        <v/>
      </c>
      <c r="B36" s="4">
        <f>Sources!B36</f>
        <v/>
      </c>
      <c r="C36" s="4">
        <f>Sources!C36</f>
        <v/>
      </c>
      <c r="D36" s="4">
        <f>Sources!D36</f>
        <v/>
      </c>
      <c r="E36" s="4">
        <f>Sources!E36</f>
        <v/>
      </c>
      <c r="F36" s="4">
        <f>C36-D36-E36</f>
        <v/>
      </c>
      <c r="G36" s="4">
        <f>D36-C36</f>
        <v/>
      </c>
    </row>
    <row r="37">
      <c r="A37" s="4">
        <f>Sources!A37</f>
        <v/>
      </c>
      <c r="B37" s="4">
        <f>Sources!B37</f>
        <v/>
      </c>
      <c r="C37" s="4">
        <f>Sources!C37</f>
        <v/>
      </c>
      <c r="D37" s="4">
        <f>Sources!D37</f>
        <v/>
      </c>
      <c r="E37" s="4">
        <f>Sources!E37</f>
        <v/>
      </c>
      <c r="F37" s="4">
        <f>C37-D37-E37</f>
        <v/>
      </c>
      <c r="G37" s="4">
        <f>D37-C37</f>
        <v/>
      </c>
    </row>
    <row r="38">
      <c r="A38" s="4">
        <f>Sources!A38</f>
        <v/>
      </c>
      <c r="B38" s="4">
        <f>Sources!B38</f>
        <v/>
      </c>
      <c r="C38" s="4">
        <f>Sources!C38</f>
        <v/>
      </c>
      <c r="D38" s="4">
        <f>Sources!D38</f>
        <v/>
      </c>
      <c r="E38" s="4">
        <f>Sources!E38</f>
        <v/>
      </c>
      <c r="F38" s="4">
        <f>C38-D38-E38</f>
        <v/>
      </c>
      <c r="G38" s="4">
        <f>D38-C38</f>
        <v/>
      </c>
    </row>
    <row r="39">
      <c r="A39" s="4">
        <f>Sources!A39</f>
        <v/>
      </c>
      <c r="B39" s="4">
        <f>Sources!B39</f>
        <v/>
      </c>
      <c r="C39" s="4">
        <f>Sources!C39</f>
        <v/>
      </c>
      <c r="D39" s="4">
        <f>Sources!D39</f>
        <v/>
      </c>
      <c r="E39" s="4">
        <f>Sources!E39</f>
        <v/>
      </c>
      <c r="F39" s="4">
        <f>C39-D39-E39</f>
        <v/>
      </c>
      <c r="G39" s="4">
        <f>D39-C39</f>
        <v/>
      </c>
    </row>
    <row r="40">
      <c r="A40" s="4">
        <f>Sources!A40</f>
        <v/>
      </c>
      <c r="B40" s="4">
        <f>Sources!B40</f>
        <v/>
      </c>
      <c r="C40" s="4">
        <f>Sources!C40</f>
        <v/>
      </c>
      <c r="D40" s="4">
        <f>Sources!D40</f>
        <v/>
      </c>
      <c r="E40" s="4">
        <f>Sources!E40</f>
        <v/>
      </c>
      <c r="F40" s="4">
        <f>C40-D40-E40</f>
        <v/>
      </c>
      <c r="G40" s="4">
        <f>D40-C40</f>
        <v/>
      </c>
    </row>
    <row r="41">
      <c r="A41" s="4">
        <f>Sources!A41</f>
        <v/>
      </c>
      <c r="B41" s="4">
        <f>Sources!B41</f>
        <v/>
      </c>
      <c r="C41" s="4">
        <f>Sources!C41</f>
        <v/>
      </c>
      <c r="D41" s="4">
        <f>Sources!D41</f>
        <v/>
      </c>
      <c r="E41" s="4">
        <f>Sources!E41</f>
        <v/>
      </c>
      <c r="F41" s="4">
        <f>C41-D41-E41</f>
        <v/>
      </c>
      <c r="G41" s="4">
        <f>D41-C41</f>
        <v/>
      </c>
    </row>
    <row r="42">
      <c r="A42" s="4">
        <f>Sources!A42</f>
        <v/>
      </c>
      <c r="B42" s="4">
        <f>Sources!B42</f>
        <v/>
      </c>
      <c r="C42" s="4">
        <f>Sources!C42</f>
        <v/>
      </c>
      <c r="D42" s="4">
        <f>Sources!D42</f>
        <v/>
      </c>
      <c r="E42" s="4">
        <f>Sources!E42</f>
        <v/>
      </c>
      <c r="F42" s="4">
        <f>C42-D42-E42</f>
        <v/>
      </c>
      <c r="G42" s="4">
        <f>D42-C42</f>
        <v/>
      </c>
    </row>
    <row r="43">
      <c r="A43" s="4">
        <f>Sources!A43</f>
        <v/>
      </c>
      <c r="B43" s="4">
        <f>Sources!B43</f>
        <v/>
      </c>
      <c r="C43" s="4">
        <f>Sources!C43</f>
        <v/>
      </c>
      <c r="D43" s="4">
        <f>Sources!D43</f>
        <v/>
      </c>
      <c r="E43" s="4">
        <f>Sources!E43</f>
        <v/>
      </c>
      <c r="F43" s="4">
        <f>C43-D43-E43</f>
        <v/>
      </c>
      <c r="G43" s="4">
        <f>D43-C43</f>
        <v/>
      </c>
    </row>
    <row r="44">
      <c r="A44" s="4">
        <f>Sources!A44</f>
        <v/>
      </c>
      <c r="B44" s="4">
        <f>Sources!B44</f>
        <v/>
      </c>
      <c r="C44" s="4">
        <f>Sources!C44</f>
        <v/>
      </c>
      <c r="D44" s="4">
        <f>Sources!D44</f>
        <v/>
      </c>
      <c r="E44" s="4">
        <f>Sources!E44</f>
        <v/>
      </c>
      <c r="F44" s="4">
        <f>C44-D44-E44</f>
        <v/>
      </c>
      <c r="G44" s="4">
        <f>D44-C44</f>
        <v/>
      </c>
    </row>
    <row r="45">
      <c r="A45" s="4">
        <f>Sources!A45</f>
        <v/>
      </c>
      <c r="B45" s="4">
        <f>Sources!B45</f>
        <v/>
      </c>
      <c r="C45" s="4">
        <f>Sources!C45</f>
        <v/>
      </c>
      <c r="D45" s="4">
        <f>Sources!D45</f>
        <v/>
      </c>
      <c r="E45" s="4">
        <f>Sources!E45</f>
        <v/>
      </c>
      <c r="F45" s="4">
        <f>C45-D45-E45</f>
        <v/>
      </c>
      <c r="G45" s="4">
        <f>D45-C45</f>
        <v/>
      </c>
    </row>
    <row r="46">
      <c r="A46" s="4">
        <f>Sources!A46</f>
        <v/>
      </c>
      <c r="B46" s="4">
        <f>Sources!B46</f>
        <v/>
      </c>
      <c r="C46" s="4">
        <f>Sources!C46</f>
        <v/>
      </c>
      <c r="D46" s="4">
        <f>Sources!D46</f>
        <v/>
      </c>
      <c r="E46" s="4">
        <f>Sources!E46</f>
        <v/>
      </c>
      <c r="F46" s="4">
        <f>C46-D46-E46</f>
        <v/>
      </c>
      <c r="G46" s="4">
        <f>D46-C46</f>
        <v/>
      </c>
    </row>
    <row r="47">
      <c r="A47" s="4">
        <f>Sources!A47</f>
        <v/>
      </c>
      <c r="B47" s="4">
        <f>Sources!B47</f>
        <v/>
      </c>
      <c r="C47" s="4">
        <f>Sources!C47</f>
        <v/>
      </c>
      <c r="D47" s="4">
        <f>Sources!D47</f>
        <v/>
      </c>
      <c r="E47" s="4">
        <f>Sources!E47</f>
        <v/>
      </c>
      <c r="F47" s="4">
        <f>C47-D47-E47</f>
        <v/>
      </c>
      <c r="G47" s="4">
        <f>D47-C47</f>
        <v/>
      </c>
    </row>
    <row r="48">
      <c r="A48" s="4">
        <f>Sources!A48</f>
        <v/>
      </c>
      <c r="B48" s="4">
        <f>Sources!B48</f>
        <v/>
      </c>
      <c r="C48" s="4">
        <f>Sources!C48</f>
        <v/>
      </c>
      <c r="D48" s="4">
        <f>Sources!D48</f>
        <v/>
      </c>
      <c r="E48" s="4">
        <f>Sources!E48</f>
        <v/>
      </c>
      <c r="F48" s="4">
        <f>C48-D48-E48</f>
        <v/>
      </c>
      <c r="G48" s="4">
        <f>D48-C48</f>
        <v/>
      </c>
    </row>
    <row r="49">
      <c r="A49" s="4">
        <f>Sources!A49</f>
        <v/>
      </c>
      <c r="B49" s="4">
        <f>Sources!B49</f>
        <v/>
      </c>
      <c r="C49" s="4">
        <f>Sources!C49</f>
        <v/>
      </c>
      <c r="D49" s="4">
        <f>Sources!D49</f>
        <v/>
      </c>
      <c r="E49" s="4">
        <f>Sources!E49</f>
        <v/>
      </c>
      <c r="F49" s="4">
        <f>C49-D49-E49</f>
        <v/>
      </c>
      <c r="G49" s="4">
        <f>D49-C49</f>
        <v/>
      </c>
    </row>
    <row r="50">
      <c r="A50" s="4">
        <f>Sources!A50</f>
        <v/>
      </c>
      <c r="B50" s="4">
        <f>Sources!B50</f>
        <v/>
      </c>
      <c r="C50" s="4">
        <f>Sources!C50</f>
        <v/>
      </c>
      <c r="D50" s="4">
        <f>Sources!D50</f>
        <v/>
      </c>
      <c r="E50" s="4">
        <f>Sources!E50</f>
        <v/>
      </c>
      <c r="F50" s="4">
        <f>C50-D50-E50</f>
        <v/>
      </c>
      <c r="G50" s="4">
        <f>D50-C50</f>
        <v/>
      </c>
    </row>
    <row r="51">
      <c r="A51" s="4">
        <f>Sources!A51</f>
        <v/>
      </c>
      <c r="B51" s="4">
        <f>Sources!B51</f>
        <v/>
      </c>
      <c r="C51" s="4">
        <f>Sources!C51</f>
        <v/>
      </c>
      <c r="D51" s="4">
        <f>Sources!D51</f>
        <v/>
      </c>
      <c r="E51" s="4">
        <f>Sources!E51</f>
        <v/>
      </c>
      <c r="F51" s="4">
        <f>C51-D51-E51</f>
        <v/>
      </c>
      <c r="G51" s="4">
        <f>D51-C51</f>
        <v/>
      </c>
    </row>
    <row r="52">
      <c r="A52" s="4">
        <f>Sources!A52</f>
        <v/>
      </c>
      <c r="B52" s="4">
        <f>Sources!B52</f>
        <v/>
      </c>
      <c r="C52" s="4">
        <f>Sources!C52</f>
        <v/>
      </c>
      <c r="D52" s="4">
        <f>Sources!D52</f>
        <v/>
      </c>
      <c r="E52" s="4">
        <f>Sources!E52</f>
        <v/>
      </c>
      <c r="F52" s="4">
        <f>C52-D52-E52</f>
        <v/>
      </c>
      <c r="G52" s="4">
        <f>D52-C52</f>
        <v/>
      </c>
    </row>
    <row r="53">
      <c r="A53" s="4">
        <f>Sources!A53</f>
        <v/>
      </c>
      <c r="B53" s="4">
        <f>Sources!B53</f>
        <v/>
      </c>
      <c r="C53" s="4">
        <f>Sources!C53</f>
        <v/>
      </c>
      <c r="D53" s="4">
        <f>Sources!D53</f>
        <v/>
      </c>
      <c r="E53" s="4">
        <f>Sources!E53</f>
        <v/>
      </c>
      <c r="F53" s="4">
        <f>C53-D53-E53</f>
        <v/>
      </c>
      <c r="G53" s="4">
        <f>D53-C53</f>
        <v/>
      </c>
    </row>
    <row r="54">
      <c r="A54" s="4">
        <f>Sources!A54</f>
        <v/>
      </c>
      <c r="B54" s="4">
        <f>Sources!B54</f>
        <v/>
      </c>
      <c r="C54" s="4">
        <f>Sources!C54</f>
        <v/>
      </c>
      <c r="D54" s="4">
        <f>Sources!D54</f>
        <v/>
      </c>
      <c r="E54" s="4">
        <f>Sources!E54</f>
        <v/>
      </c>
      <c r="F54" s="4">
        <f>C54-D54-E54</f>
        <v/>
      </c>
      <c r="G54" s="4">
        <f>D54-C54</f>
        <v/>
      </c>
    </row>
    <row r="55">
      <c r="A55" s="4">
        <f>Sources!A55</f>
        <v/>
      </c>
      <c r="B55" s="4">
        <f>Sources!B55</f>
        <v/>
      </c>
      <c r="C55" s="4">
        <f>Sources!C55</f>
        <v/>
      </c>
      <c r="D55" s="4">
        <f>Sources!D55</f>
        <v/>
      </c>
      <c r="E55" s="4">
        <f>Sources!E55</f>
        <v/>
      </c>
      <c r="F55" s="4">
        <f>C55-D55-E55</f>
        <v/>
      </c>
      <c r="G55" s="4">
        <f>D55-C55</f>
        <v/>
      </c>
    </row>
    <row r="56">
      <c r="A56" s="4">
        <f>Sources!A56</f>
        <v/>
      </c>
      <c r="B56" s="4">
        <f>Sources!B56</f>
        <v/>
      </c>
      <c r="C56" s="4">
        <f>Sources!C56</f>
        <v/>
      </c>
      <c r="D56" s="4">
        <f>Sources!D56</f>
        <v/>
      </c>
      <c r="E56" s="4">
        <f>Sources!E56</f>
        <v/>
      </c>
      <c r="F56" s="4">
        <f>C56-D56-E56</f>
        <v/>
      </c>
      <c r="G56" s="4">
        <f>D56-C56</f>
        <v/>
      </c>
    </row>
    <row r="57">
      <c r="A57" s="4">
        <f>Sources!A57</f>
        <v/>
      </c>
      <c r="B57" s="4">
        <f>Sources!B57</f>
        <v/>
      </c>
      <c r="C57" s="4">
        <f>Sources!C57</f>
        <v/>
      </c>
      <c r="D57" s="4">
        <f>Sources!D57</f>
        <v/>
      </c>
      <c r="E57" s="4">
        <f>Sources!E57</f>
        <v/>
      </c>
      <c r="F57" s="4">
        <f>C57-D57-E57</f>
        <v/>
      </c>
      <c r="G57" s="4">
        <f>D57-C57</f>
        <v/>
      </c>
    </row>
    <row r="58">
      <c r="A58" s="4">
        <f>Sources!A58</f>
        <v/>
      </c>
      <c r="B58" s="4">
        <f>Sources!B58</f>
        <v/>
      </c>
      <c r="C58" s="4">
        <f>Sources!C58</f>
        <v/>
      </c>
      <c r="D58" s="4">
        <f>Sources!D58</f>
        <v/>
      </c>
      <c r="E58" s="4">
        <f>Sources!E58</f>
        <v/>
      </c>
      <c r="F58" s="4">
        <f>C58-D58-E58</f>
        <v/>
      </c>
      <c r="G58" s="4">
        <f>D58-C58</f>
        <v/>
      </c>
    </row>
    <row r="59">
      <c r="A59" s="4">
        <f>Sources!A59</f>
        <v/>
      </c>
      <c r="B59" s="4">
        <f>Sources!B59</f>
        <v/>
      </c>
      <c r="C59" s="4">
        <f>Sources!C59</f>
        <v/>
      </c>
      <c r="D59" s="4">
        <f>Sources!D59</f>
        <v/>
      </c>
      <c r="E59" s="4">
        <f>Sources!E59</f>
        <v/>
      </c>
      <c r="F59" s="4">
        <f>C59-D59-E59</f>
        <v/>
      </c>
      <c r="G59" s="4">
        <f>D59-C59</f>
        <v/>
      </c>
    </row>
    <row r="60">
      <c r="A60" s="4">
        <f>Sources!A60</f>
        <v/>
      </c>
      <c r="B60" s="4">
        <f>Sources!B60</f>
        <v/>
      </c>
      <c r="C60" s="4">
        <f>Sources!C60</f>
        <v/>
      </c>
      <c r="D60" s="4">
        <f>Sources!D60</f>
        <v/>
      </c>
      <c r="E60" s="4">
        <f>Sources!E60</f>
        <v/>
      </c>
      <c r="F60" s="4">
        <f>C60-D60-E60</f>
        <v/>
      </c>
      <c r="G60" s="4">
        <f>D60-C60</f>
        <v/>
      </c>
    </row>
    <row r="61">
      <c r="A61" s="4">
        <f>Sources!A61</f>
        <v/>
      </c>
      <c r="B61" s="4">
        <f>Sources!B61</f>
        <v/>
      </c>
      <c r="C61" s="4">
        <f>Sources!C61</f>
        <v/>
      </c>
      <c r="D61" s="4">
        <f>Sources!D61</f>
        <v/>
      </c>
      <c r="E61" s="4">
        <f>Sources!E61</f>
        <v/>
      </c>
      <c r="F61" s="4">
        <f>C61-D61-E61</f>
        <v/>
      </c>
      <c r="G61" s="4">
        <f>D61-C61</f>
        <v/>
      </c>
    </row>
    <row r="62">
      <c r="A62" s="4">
        <f>Sources!A62</f>
        <v/>
      </c>
      <c r="B62" s="4">
        <f>Sources!B62</f>
        <v/>
      </c>
      <c r="C62" s="4">
        <f>Sources!C62</f>
        <v/>
      </c>
      <c r="D62" s="4">
        <f>Sources!D62</f>
        <v/>
      </c>
      <c r="E62" s="4">
        <f>Sources!E62</f>
        <v/>
      </c>
      <c r="F62" s="4">
        <f>C62-D62-E62</f>
        <v/>
      </c>
      <c r="G62" s="4">
        <f>D62-C62</f>
        <v/>
      </c>
    </row>
    <row r="63">
      <c r="A63" s="4">
        <f>Sources!A63</f>
        <v/>
      </c>
      <c r="B63" s="4">
        <f>Sources!B63</f>
        <v/>
      </c>
      <c r="C63" s="4">
        <f>Sources!C63</f>
        <v/>
      </c>
      <c r="D63" s="4">
        <f>Sources!D63</f>
        <v/>
      </c>
      <c r="E63" s="4">
        <f>Sources!E63</f>
        <v/>
      </c>
      <c r="F63" s="4">
        <f>C63-D63-E63</f>
        <v/>
      </c>
      <c r="G63" s="4">
        <f>D63-C63</f>
        <v/>
      </c>
    </row>
    <row r="64">
      <c r="A64" s="4">
        <f>Sources!A64</f>
        <v/>
      </c>
      <c r="B64" s="4">
        <f>Sources!B64</f>
        <v/>
      </c>
      <c r="C64" s="4">
        <f>Sources!C64</f>
        <v/>
      </c>
      <c r="D64" s="4">
        <f>Sources!D64</f>
        <v/>
      </c>
      <c r="E64" s="4">
        <f>Sources!E64</f>
        <v/>
      </c>
      <c r="F64" s="4">
        <f>C64-D64-E64</f>
        <v/>
      </c>
      <c r="G64" s="4">
        <f>D64-C64</f>
        <v/>
      </c>
    </row>
    <row r="65">
      <c r="A65" s="4">
        <f>Sources!A65</f>
        <v/>
      </c>
      <c r="B65" s="4">
        <f>Sources!B65</f>
        <v/>
      </c>
      <c r="C65" s="4">
        <f>Sources!C65</f>
        <v/>
      </c>
      <c r="D65" s="4">
        <f>Sources!D65</f>
        <v/>
      </c>
      <c r="E65" s="4">
        <f>Sources!E65</f>
        <v/>
      </c>
      <c r="F65" s="4">
        <f>C65-D65-E65</f>
        <v/>
      </c>
      <c r="G65" s="4">
        <f>D65-C65</f>
        <v/>
      </c>
    </row>
    <row r="66">
      <c r="A66" s="4">
        <f>Sources!A66</f>
        <v/>
      </c>
      <c r="B66" s="4">
        <f>Sources!B66</f>
        <v/>
      </c>
      <c r="C66" s="4">
        <f>Sources!C66</f>
        <v/>
      </c>
      <c r="D66" s="4">
        <f>Sources!D66</f>
        <v/>
      </c>
      <c r="E66" s="4">
        <f>Sources!E66</f>
        <v/>
      </c>
      <c r="F66" s="4">
        <f>C66-D66-E66</f>
        <v/>
      </c>
      <c r="G66" s="4">
        <f>D66-C66</f>
        <v/>
      </c>
    </row>
    <row r="67">
      <c r="A67" s="4">
        <f>Sources!A67</f>
        <v/>
      </c>
      <c r="B67" s="4">
        <f>Sources!B67</f>
        <v/>
      </c>
      <c r="C67" s="4">
        <f>Sources!C67</f>
        <v/>
      </c>
      <c r="D67" s="4">
        <f>Sources!D67</f>
        <v/>
      </c>
      <c r="E67" s="4">
        <f>Sources!E67</f>
        <v/>
      </c>
      <c r="F67" s="4">
        <f>C67-D67-E67</f>
        <v/>
      </c>
      <c r="G67" s="4">
        <f>D67-C67</f>
        <v/>
      </c>
    </row>
    <row r="68">
      <c r="A68" s="4">
        <f>Sources!A68</f>
        <v/>
      </c>
      <c r="B68" s="4">
        <f>Sources!B68</f>
        <v/>
      </c>
      <c r="C68" s="4">
        <f>Sources!C68</f>
        <v/>
      </c>
      <c r="D68" s="4">
        <f>Sources!D68</f>
        <v/>
      </c>
      <c r="E68" s="4">
        <f>Sources!E68</f>
        <v/>
      </c>
      <c r="F68" s="4">
        <f>C68-D68-E68</f>
        <v/>
      </c>
      <c r="G68" s="4">
        <f>D68-C68</f>
        <v/>
      </c>
    </row>
    <row r="69">
      <c r="A69" s="4">
        <f>Sources!A69</f>
        <v/>
      </c>
      <c r="B69" s="4">
        <f>Sources!B69</f>
        <v/>
      </c>
      <c r="C69" s="4">
        <f>Sources!C69</f>
        <v/>
      </c>
      <c r="D69" s="4">
        <f>Sources!D69</f>
        <v/>
      </c>
      <c r="E69" s="4">
        <f>Sources!E69</f>
        <v/>
      </c>
      <c r="F69" s="4">
        <f>C69-D69-E69</f>
        <v/>
      </c>
      <c r="G69" s="4">
        <f>D69-C69</f>
        <v/>
      </c>
    </row>
    <row r="70">
      <c r="B70" s="1" t="inlineStr">
        <is>
          <t>TOTAL 65 produits</t>
        </is>
      </c>
      <c r="C70" s="5">
        <f>SUM(C5:C69)</f>
        <v/>
      </c>
      <c r="D70" s="5">
        <f>SUM(D5:D69)</f>
        <v/>
      </c>
      <c r="E70" s="5">
        <f>SUM(E5:E69)</f>
        <v/>
      </c>
      <c r="F70" s="5">
        <f>SUM(F5:F69)</f>
        <v/>
      </c>
      <c r="G70" s="5">
        <f>SUM(G5:G69)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Bilan matiere par famille (SOMME.SI sur l'onglet Bilan produit), PAR FORMULE</t>
        </is>
      </c>
    </row>
    <row r="3">
      <c r="A3" s="3" t="inlineStr">
        <is>
          <t>Famille</t>
        </is>
      </c>
      <c r="B3" s="3" t="inlineStr">
        <is>
          <t>Achats (L)</t>
        </is>
      </c>
      <c r="C3" s="3" t="inlineStr">
        <is>
          <t>Conso (L)</t>
        </is>
      </c>
      <c r="D3" s="3" t="inlineStr">
        <is>
          <t>Inv (L)</t>
        </is>
      </c>
      <c r="E3" s="3" t="inlineStr">
        <is>
          <t>Bilan net (L)</t>
        </is>
      </c>
      <c r="F3" s="3" t="inlineStr">
        <is>
          <t>Bilan / achats</t>
        </is>
      </c>
    </row>
    <row r="4">
      <c r="A4" s="4" t="inlineStr">
        <is>
          <t>Vins tranquilles</t>
        </is>
      </c>
      <c r="B4" s="4">
        <f>SUMIF('Bilan produit'!$A$5:$A$69,A4,'Bilan produit'!$C$5:$C$69)</f>
        <v/>
      </c>
      <c r="C4" s="4">
        <f>SUMIF('Bilan produit'!$A$5:$A$69,A4,'Bilan produit'!$D$5:$D$69)</f>
        <v/>
      </c>
      <c r="D4" s="4">
        <f>SUMIF('Bilan produit'!$A$5:$A$69,A4,'Bilan produit'!$E$5:$E$69)</f>
        <v/>
      </c>
      <c r="E4" s="4">
        <f>B4-C4-D4</f>
        <v/>
      </c>
      <c r="F4" s="7">
        <f>E4/B4</f>
        <v/>
      </c>
    </row>
    <row r="5">
      <c r="A5" s="4" t="inlineStr">
        <is>
          <t>Bieres</t>
        </is>
      </c>
      <c r="B5" s="4">
        <f>SUMIF('Bilan produit'!$A$5:$A$69,A5,'Bilan produit'!$C$5:$C$69)</f>
        <v/>
      </c>
      <c r="C5" s="4">
        <f>SUMIF('Bilan produit'!$A$5:$A$69,A5,'Bilan produit'!$D$5:$D$69)</f>
        <v/>
      </c>
      <c r="D5" s="4">
        <f>SUMIF('Bilan produit'!$A$5:$A$69,A5,'Bilan produit'!$E$5:$E$69)</f>
        <v/>
      </c>
      <c r="E5" s="4">
        <f>B5-C5-D5</f>
        <v/>
      </c>
      <c r="F5" s="7">
        <f>E5/B5</f>
        <v/>
      </c>
    </row>
    <row r="6">
      <c r="A6" s="4" t="inlineStr">
        <is>
          <t>Vins de liqueur (Macvin)</t>
        </is>
      </c>
      <c r="B6" s="4">
        <f>SUMIF('Bilan produit'!$A$5:$A$69,A6,'Bilan produit'!$C$5:$C$69)</f>
        <v/>
      </c>
      <c r="C6" s="4">
        <f>SUMIF('Bilan produit'!$A$5:$A$69,A6,'Bilan produit'!$D$5:$D$69)</f>
        <v/>
      </c>
      <c r="D6" s="4">
        <f>SUMIF('Bilan produit'!$A$5:$A$69,A6,'Bilan produit'!$E$5:$E$69)</f>
        <v/>
      </c>
      <c r="E6" s="4">
        <f>B6-C6-D6</f>
        <v/>
      </c>
      <c r="F6" s="7">
        <f>E6/B6</f>
        <v/>
      </c>
    </row>
    <row r="7">
      <c r="A7" s="4" t="inlineStr">
        <is>
          <t>Cremant et champagne</t>
        </is>
      </c>
      <c r="B7" s="4">
        <f>SUMIF('Bilan produit'!$A$5:$A$69,A7,'Bilan produit'!$C$5:$C$69)</f>
        <v/>
      </c>
      <c r="C7" s="4">
        <f>SUMIF('Bilan produit'!$A$5:$A$69,A7,'Bilan produit'!$D$5:$D$69)</f>
        <v/>
      </c>
      <c r="D7" s="4">
        <f>SUMIF('Bilan produit'!$A$5:$A$69,A7,'Bilan produit'!$E$5:$E$69)</f>
        <v/>
      </c>
      <c r="E7" s="4">
        <f>B7-C7-D7</f>
        <v/>
      </c>
      <c r="F7" s="7">
        <f>E7/B7</f>
        <v/>
      </c>
    </row>
    <row r="8">
      <c r="A8" s="4" t="inlineStr">
        <is>
          <t>Cidres</t>
        </is>
      </c>
      <c r="B8" s="4">
        <f>SUMIF('Bilan produit'!$A$5:$A$69,A8,'Bilan produit'!$C$5:$C$69)</f>
        <v/>
      </c>
      <c r="C8" s="4">
        <f>SUMIF('Bilan produit'!$A$5:$A$69,A8,'Bilan produit'!$D$5:$D$69)</f>
        <v/>
      </c>
      <c r="D8" s="4">
        <f>SUMIF('Bilan produit'!$A$5:$A$69,A8,'Bilan produit'!$E$5:$E$69)</f>
        <v/>
      </c>
      <c r="E8" s="4">
        <f>B8-C8-D8</f>
        <v/>
      </c>
      <c r="F8" s="7">
        <f>E8/B8</f>
        <v/>
      </c>
    </row>
    <row r="9">
      <c r="A9" s="4" t="inlineStr">
        <is>
          <t>Liqueurs</t>
        </is>
      </c>
      <c r="B9" s="4">
        <f>SUMIF('Bilan produit'!$A$5:$A$69,A9,'Bilan produit'!$C$5:$C$69)</f>
        <v/>
      </c>
      <c r="C9" s="4">
        <f>SUMIF('Bilan produit'!$A$5:$A$69,A9,'Bilan produit'!$D$5:$D$69)</f>
        <v/>
      </c>
      <c r="D9" s="4">
        <f>SUMIF('Bilan produit'!$A$5:$A$69,A9,'Bilan produit'!$E$5:$E$69)</f>
        <v/>
      </c>
      <c r="E9" s="4">
        <f>B9-C9-D9</f>
        <v/>
      </c>
      <c r="F9" s="7">
        <f>E9/B9</f>
        <v/>
      </c>
    </row>
    <row r="10">
      <c r="A10" s="4" t="inlineStr">
        <is>
          <t>Aperitifs</t>
        </is>
      </c>
      <c r="B10" s="4">
        <f>SUMIF('Bilan produit'!$A$5:$A$69,A10,'Bilan produit'!$C$5:$C$69)</f>
        <v/>
      </c>
      <c r="C10" s="4">
        <f>SUMIF('Bilan produit'!$A$5:$A$69,A10,'Bilan produit'!$D$5:$D$69)</f>
        <v/>
      </c>
      <c r="D10" s="4">
        <f>SUMIF('Bilan produit'!$A$5:$A$69,A10,'Bilan produit'!$E$5:$E$69)</f>
        <v/>
      </c>
      <c r="E10" s="4">
        <f>B10-C10-D10</f>
        <v/>
      </c>
      <c r="F10" s="7">
        <f>E10/B10</f>
        <v/>
      </c>
    </row>
    <row r="11">
      <c r="A11" s="4" t="inlineStr">
        <is>
          <t>Spiritueux</t>
        </is>
      </c>
      <c r="B11" s="4">
        <f>SUMIF('Bilan produit'!$A$5:$A$69,A11,'Bilan produit'!$C$5:$C$69)</f>
        <v/>
      </c>
      <c r="C11" s="4">
        <f>SUMIF('Bilan produit'!$A$5:$A$69,A11,'Bilan produit'!$D$5:$D$69)</f>
        <v/>
      </c>
      <c r="D11" s="4">
        <f>SUMIF('Bilan produit'!$A$5:$A$69,A11,'Bilan produit'!$E$5:$E$69)</f>
        <v/>
      </c>
      <c r="E11" s="4">
        <f>B11-C11-D11</f>
        <v/>
      </c>
      <c r="F11" s="7">
        <f>E11/B11</f>
        <v/>
      </c>
    </row>
    <row r="12">
      <c r="A12" s="4" t="inlineStr">
        <is>
          <t>Eaux-de-vie et digestifs</t>
        </is>
      </c>
      <c r="B12" s="4">
        <f>SUMIF('Bilan produit'!$A$5:$A$69,A12,'Bilan produit'!$C$5:$C$69)</f>
        <v/>
      </c>
      <c r="C12" s="4">
        <f>SUMIF('Bilan produit'!$A$5:$A$69,A12,'Bilan produit'!$D$5:$D$69)</f>
        <v/>
      </c>
      <c r="D12" s="4">
        <f>SUMIF('Bilan produit'!$A$5:$A$69,A12,'Bilan produit'!$E$5:$E$69)</f>
        <v/>
      </c>
      <c r="E12" s="4">
        <f>B12-C12-D12</f>
        <v/>
      </c>
      <c r="F12" s="7">
        <f>E12/B12</f>
        <v/>
      </c>
    </row>
    <row r="13">
      <c r="A13" s="5" t="inlineStr">
        <is>
          <t>TOTAL</t>
        </is>
      </c>
      <c r="B13" s="1">
        <f>SUM(B4:B12)</f>
        <v/>
      </c>
      <c r="C13" s="1">
        <f>SUM(C4:C12)</f>
        <v/>
      </c>
      <c r="D13" s="1">
        <f>SUM(D4:D12)</f>
        <v/>
      </c>
      <c r="E13" s="1">
        <f>SUM(E4:E12)</f>
        <v/>
      </c>
      <c r="F13" s="8">
        <f>E13/B13</f>
        <v/>
      </c>
    </row>
    <row r="15">
      <c r="A15" s="1" t="inlineStr">
        <is>
          <t>Eaux-de-vie HORS Calvados (achats-conso-inv)</t>
        </is>
      </c>
      <c r="B15">
        <f>B12-Calvados!E17</f>
        <v/>
      </c>
      <c r="E15" s="9">
        <f>E12-Calvados!E19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Trois libelles sous-evalues a l'achat dans le bilan R1 (millesimes / demi-bouteilles factures sous designations distinctes)</t>
        </is>
      </c>
    </row>
    <row r="2" ht="30" customHeight="1">
      <c r="A2" s="2" t="inlineStr">
        <is>
          <t>Ces achats factures Franche-Comte Boissons Services existent mais n'ont pas ete rattaches au produit au bilan R1. Les reprendre ne fait qu'augmenter l'excedent : le bilan est un plancher.</t>
        </is>
      </c>
    </row>
    <row r="4">
      <c r="A4" s="3" t="inlineStr">
        <is>
          <t>Produit</t>
        </is>
      </c>
      <c r="B4" s="3" t="inlineStr">
        <is>
          <t>Volume lu sur factures (L)</t>
        </is>
      </c>
      <c r="C4" s="3" t="inlineStr">
        <is>
          <t>Volume retenu au bilan R1 (L)</t>
        </is>
      </c>
      <c r="D4" s="3" t="inlineStr">
        <is>
          <t>Ecart non rattache (L)</t>
        </is>
      </c>
      <c r="E4" s="3" t="inlineStr">
        <is>
          <t>Conso (L) : conso &lt; achats reels ?</t>
        </is>
      </c>
    </row>
    <row r="5">
      <c r="A5" s="4" t="inlineStr">
        <is>
          <t>Chablis</t>
        </is>
      </c>
      <c r="B5" s="4" t="n">
        <v>104.2</v>
      </c>
      <c r="C5" s="4" t="n">
        <v>18</v>
      </c>
      <c r="D5" s="4">
        <f>B5-C5</f>
        <v/>
      </c>
      <c r="E5" s="4">
        <f>B5-73.7</f>
        <v/>
      </c>
    </row>
    <row r="6">
      <c r="A6" s="4" t="inlineStr">
        <is>
          <t>Gewurztraminer</t>
        </is>
      </c>
      <c r="B6" s="4" t="n">
        <v>102</v>
      </c>
      <c r="C6" s="4" t="n">
        <v>6</v>
      </c>
      <c r="D6" s="4">
        <f>B6-C6</f>
        <v/>
      </c>
      <c r="E6" s="4">
        <f>B6-78.9</f>
        <v/>
      </c>
    </row>
    <row r="7">
      <c r="A7" s="4" t="inlineStr">
        <is>
          <t>Arbois Béthanie</t>
        </is>
      </c>
      <c r="B7" s="4" t="n">
        <v>385.5</v>
      </c>
      <c r="C7" s="4" t="n">
        <v>214.5</v>
      </c>
      <c r="D7" s="4">
        <f>B7-C7</f>
        <v/>
      </c>
      <c r="E7" s="4">
        <f>B7-309.9</f>
        <v/>
      </c>
    </row>
    <row r="8">
      <c r="A8" s="1" t="inlineStr">
        <is>
          <t>TOTAL</t>
        </is>
      </c>
      <c r="B8" s="1">
        <f>SUM(B5:B7)</f>
        <v/>
      </c>
      <c r="C8" s="1">
        <f>SUM(C5:C7)</f>
        <v/>
      </c>
      <c r="D8" s="1">
        <f>SUM(D5:D7)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70" customWidth="1" min="7" max="7"/>
  </cols>
  <sheetData>
    <row r="1">
      <c r="A1" s="1" t="inlineStr">
        <is>
          <t>Les 15 produits en deficit de bilan net : traitement honnete, un par un</t>
        </is>
      </c>
    </row>
    <row r="2" ht="32" customHeight="1">
      <c r="A2" s="2" t="inlineStr">
        <is>
          <t>Importes de l'onglet Bilan produit (net &lt; 0). Colonne 'Conso - achats' : &gt;0 = veritable consommation superieure aux achats ; &lt;=0 = deficit du a la seule variation d'inventaire (pas une conso sans achat).</t>
        </is>
      </c>
    </row>
    <row r="4">
      <c r="A4" s="3" t="inlineStr">
        <is>
          <t>Produit</t>
        </is>
      </c>
      <c r="B4" s="3" t="inlineStr">
        <is>
          <t>Achats (L)</t>
        </is>
      </c>
      <c r="C4" s="3" t="inlineStr">
        <is>
          <t>Conso (L)</t>
        </is>
      </c>
      <c r="D4" s="3" t="inlineStr">
        <is>
          <t>Bilan net (L)</t>
        </is>
      </c>
      <c r="E4" s="3" t="inlineStr">
        <is>
          <t>Conso - achats (L)</t>
        </is>
      </c>
      <c r="F4" s="3" t="inlineStr">
        <is>
          <t>Nature</t>
        </is>
      </c>
      <c r="G4" s="3" t="inlineStr">
        <is>
          <t>Traitement</t>
        </is>
      </c>
    </row>
    <row r="5">
      <c r="A5" s="4">
        <f>'Bilan produit'!B69</f>
        <v/>
      </c>
      <c r="B5" s="4">
        <f>'Bilan produit'!C69</f>
        <v/>
      </c>
      <c r="C5" s="4">
        <f>'Bilan produit'!D69</f>
        <v/>
      </c>
      <c r="D5" s="4">
        <f>'Bilan produit'!F69</f>
        <v/>
      </c>
      <c r="E5" s="4">
        <f>'Bilan produit'!G69</f>
        <v/>
      </c>
      <c r="F5" s="4" t="inlineStr">
        <is>
          <t>conso&gt;achats</t>
        </is>
      </c>
      <c r="G5" s="4" t="inlineStr">
        <is>
          <t>Regroupement : bouton pichet/BIB ; achats sous les vins maison en BIB (roses/Aligote/Chusclan maison), tous tres excedentaires. Meme traitement que Mouton Cadet (ventes-sans-achat).</t>
        </is>
      </c>
    </row>
    <row r="6">
      <c r="A6" s="4">
        <f>'Bilan produit'!B68</f>
        <v/>
      </c>
      <c r="B6" s="4">
        <f>'Bilan produit'!C68</f>
        <v/>
      </c>
      <c r="C6" s="4">
        <f>'Bilan produit'!D68</f>
        <v/>
      </c>
      <c r="D6" s="4">
        <f>'Bilan produit'!F68</f>
        <v/>
      </c>
      <c r="E6" s="4">
        <f>'Bilan produit'!G68</f>
        <v/>
      </c>
      <c r="F6" s="4" t="inlineStr">
        <is>
          <t>conso&gt;achats</t>
        </is>
      </c>
      <c r="G6" s="4" t="inlineStr">
        <is>
          <t>Plancher : 385,5 L factures (demi-bt 37,5 cl sous libelle distinct) contre 214,5 retenus ; achats reels 385,5 &gt; conso 309,9 -&gt; +75,6 L.</t>
        </is>
      </c>
    </row>
    <row r="7">
      <c r="A7" s="4">
        <f>'Bilan produit'!B67</f>
        <v/>
      </c>
      <c r="B7" s="4">
        <f>'Bilan produit'!C67</f>
        <v/>
      </c>
      <c r="C7" s="4">
        <f>'Bilan produit'!D67</f>
        <v/>
      </c>
      <c r="D7" s="4">
        <f>'Bilan produit'!F67</f>
        <v/>
      </c>
      <c r="E7" s="4">
        <f>'Bilan produit'!G67</f>
        <v/>
      </c>
      <c r="F7" s="4" t="inlineStr">
        <is>
          <t>conso&gt;achats</t>
        </is>
      </c>
      <c r="G7" s="4" t="inlineStr">
        <is>
          <t>Plancher : 102,0 L factures (millesimes distincts) contre 6,0 retenus ; 102,0 &gt; conso 78,9 -&gt; +23,1 L.</t>
        </is>
      </c>
    </row>
    <row r="8">
      <c r="A8" s="4">
        <f>'Bilan produit'!B66</f>
        <v/>
      </c>
      <c r="B8" s="4">
        <f>'Bilan produit'!C66</f>
        <v/>
      </c>
      <c r="C8" s="4">
        <f>'Bilan produit'!D66</f>
        <v/>
      </c>
      <c r="D8" s="4">
        <f>'Bilan produit'!F66</f>
        <v/>
      </c>
      <c r="E8" s="4">
        <f>'Bilan produit'!G66</f>
        <v/>
      </c>
      <c r="F8" s="4" t="inlineStr">
        <is>
          <t>conso&gt;achats</t>
        </is>
      </c>
      <c r="G8" s="4" t="inlineStr">
        <is>
          <t>Plancher : 104,2 L factures contre 18,0 retenus ; 104,2 &gt; conso 73,7 -&gt; +30,5 L.</t>
        </is>
      </c>
    </row>
    <row r="9">
      <c r="A9" s="4">
        <f>'Bilan produit'!B65</f>
        <v/>
      </c>
      <c r="B9" s="4">
        <f>'Bilan produit'!C65</f>
        <v/>
      </c>
      <c r="C9" s="4">
        <f>'Bilan produit'!D65</f>
        <v/>
      </c>
      <c r="D9" s="4">
        <f>'Bilan produit'!F65</f>
        <v/>
      </c>
      <c r="E9" s="4">
        <f>'Bilan produit'!G65</f>
        <v/>
      </c>
      <c r="F9" s="4" t="inlineStr">
        <is>
          <t>conso&gt;achats</t>
        </is>
      </c>
      <c r="G9" s="4" t="inlineStr">
        <is>
          <t>IRREDUCTIBLE par le calcul : dose de cuisine (flambage) surestimee ; charge de matiere d'un plat facture, pas une recette de boisson (cf. 2.5 a 2.9). Seul point non clos par piece.</t>
        </is>
      </c>
    </row>
    <row r="10">
      <c r="A10" s="4">
        <f>'Bilan produit'!B64</f>
        <v/>
      </c>
      <c r="B10" s="4">
        <f>'Bilan produit'!C64</f>
        <v/>
      </c>
      <c r="C10" s="4">
        <f>'Bilan produit'!D64</f>
        <v/>
      </c>
      <c r="D10" s="4">
        <f>'Bilan produit'!F64</f>
        <v/>
      </c>
      <c r="E10" s="4">
        <f>'Bilan produit'!G64</f>
        <v/>
      </c>
      <c r="F10" s="4" t="inlineStr">
        <is>
          <t>conso&gt;achats</t>
        </is>
      </c>
      <c r="G10" s="4" t="inlineStr">
        <is>
          <t>Regroupement : bouton rose ; achats sous les autres roses (Jamelles +192,3, Le Pive, Minuty, Boheme), excedentaires.</t>
        </is>
      </c>
    </row>
    <row r="11">
      <c r="A11" s="4">
        <f>'Bilan produit'!B63</f>
        <v/>
      </c>
      <c r="B11" s="4">
        <f>'Bilan produit'!C63</f>
        <v/>
      </c>
      <c r="C11" s="4">
        <f>'Bilan produit'!D63</f>
        <v/>
      </c>
      <c r="D11" s="4">
        <f>'Bilan produit'!F63</f>
        <v/>
      </c>
      <c r="E11" s="4">
        <f>'Bilan produit'!G63</f>
        <v/>
      </c>
      <c r="F11" s="4" t="inlineStr">
        <is>
          <t>conso&gt;achats</t>
        </is>
      </c>
      <c r="G11" s="4" t="inlineStr">
        <is>
          <t>Regroupement/concession liqueurs (famille +132,5 L) ; proche du Guignolet (liqueur de cerise).</t>
        </is>
      </c>
    </row>
    <row r="12">
      <c r="A12" s="4">
        <f>'Bilan produit'!B62</f>
        <v/>
      </c>
      <c r="B12" s="4">
        <f>'Bilan produit'!C62</f>
        <v/>
      </c>
      <c r="C12" s="4">
        <f>'Bilan produit'!D62</f>
        <v/>
      </c>
      <c r="D12" s="4">
        <f>'Bilan produit'!F62</f>
        <v/>
      </c>
      <c r="E12" s="4">
        <f>'Bilan produit'!G62</f>
        <v/>
      </c>
      <c r="F12" s="4" t="inlineStr">
        <is>
          <t>conso&gt;achats</t>
        </is>
      </c>
      <c r="G12" s="4" t="inlineStr">
        <is>
          <t>Regroupement : servi sur le stock de HC de Nuits blanc (meme traitement que ventes-sans-achat).</t>
        </is>
      </c>
    </row>
    <row r="13">
      <c r="A13" s="4">
        <f>'Bilan produit'!B60</f>
        <v/>
      </c>
      <c r="B13" s="4">
        <f>'Bilan produit'!C60</f>
        <v/>
      </c>
      <c r="C13" s="4">
        <f>'Bilan produit'!D60</f>
        <v/>
      </c>
      <c r="D13" s="4">
        <f>'Bilan produit'!F60</f>
        <v/>
      </c>
      <c r="E13" s="4">
        <f>'Bilan produit'!G60</f>
        <v/>
      </c>
      <c r="F13" s="4" t="inlineStr">
        <is>
          <t>conso&gt;achats</t>
        </is>
      </c>
      <c r="G13" s="4" t="inlineStr">
        <is>
          <t>Regroupement eaux-de-vie : achats sous Marc de Bourgogne (+3,3 L).</t>
        </is>
      </c>
    </row>
    <row r="14">
      <c r="A14" s="4">
        <f>'Bilan produit'!B61</f>
        <v/>
      </c>
      <c r="B14" s="4">
        <f>'Bilan produit'!C61</f>
        <v/>
      </c>
      <c r="C14" s="4">
        <f>'Bilan produit'!D61</f>
        <v/>
      </c>
      <c r="D14" s="4">
        <f>'Bilan produit'!F61</f>
        <v/>
      </c>
      <c r="E14" s="4">
        <f>'Bilan produit'!G61</f>
        <v/>
      </c>
      <c r="F14" s="4" t="inlineStr">
        <is>
          <t>conso&gt;achats</t>
        </is>
      </c>
      <c r="G14" s="4" t="inlineStr">
        <is>
          <t>Regroupement : achats sous Liqueur de Poire (+11,4 L) et Mirabelle.</t>
        </is>
      </c>
    </row>
    <row r="15">
      <c r="A15" s="4">
        <f>'Bilan produit'!B59</f>
        <v/>
      </c>
      <c r="B15" s="4">
        <f>'Bilan produit'!C59</f>
        <v/>
      </c>
      <c r="C15" s="4">
        <f>'Bilan produit'!D59</f>
        <v/>
      </c>
      <c r="D15" s="4">
        <f>'Bilan produit'!F59</f>
        <v/>
      </c>
      <c r="E15" s="4">
        <f>'Bilan produit'!G59</f>
        <v/>
      </c>
      <c r="F15" s="4" t="inlineStr">
        <is>
          <t>conso&gt;achats</t>
        </is>
      </c>
      <c r="G15" s="4" t="inlineStr">
        <is>
          <t>Regroupement : achats sous Get 27 (+8,0 L).</t>
        </is>
      </c>
    </row>
    <row r="16">
      <c r="A16" s="4">
        <f>'Bilan produit'!B58</f>
        <v/>
      </c>
      <c r="B16" s="4">
        <f>'Bilan produit'!C58</f>
        <v/>
      </c>
      <c r="C16" s="4">
        <f>'Bilan produit'!D58</f>
        <v/>
      </c>
      <c r="D16" s="4">
        <f>'Bilan produit'!F58</f>
        <v/>
      </c>
      <c r="E16" s="4">
        <f>'Bilan produit'!G58</f>
        <v/>
      </c>
      <c r="F16" s="4" t="inlineStr">
        <is>
          <t>conso&gt;achats</t>
        </is>
      </c>
      <c r="G16" s="4" t="inlineStr">
        <is>
          <t>Regroupement : achats sous Mirabelle (+3,8 L).</t>
        </is>
      </c>
    </row>
    <row r="17">
      <c r="A17" s="4">
        <f>'Bilan produit'!B57</f>
        <v/>
      </c>
      <c r="B17" s="4">
        <f>'Bilan produit'!C57</f>
        <v/>
      </c>
      <c r="C17" s="4">
        <f>'Bilan produit'!D57</f>
        <v/>
      </c>
      <c r="D17" s="4">
        <f>'Bilan produit'!F57</f>
        <v/>
      </c>
      <c r="E17" s="4">
        <f>'Bilan produit'!G57</f>
        <v/>
      </c>
      <c r="F17" s="4" t="inlineStr">
        <is>
          <t>inventaire seul</t>
        </is>
      </c>
      <c r="G17" s="4" t="inlineStr">
        <is>
          <t>Deficit d'inventaire pur (conso 0) : AUCUNE consommation sans achat.</t>
        </is>
      </c>
    </row>
    <row r="18">
      <c r="A18" s="4">
        <f>'Bilan produit'!B56</f>
        <v/>
      </c>
      <c r="B18" s="4">
        <f>'Bilan produit'!C56</f>
        <v/>
      </c>
      <c r="C18" s="4">
        <f>'Bilan produit'!D56</f>
        <v/>
      </c>
      <c r="D18" s="4">
        <f>'Bilan produit'!F56</f>
        <v/>
      </c>
      <c r="E18" s="4">
        <f>'Bilan produit'!G56</f>
        <v/>
      </c>
      <c r="F18" s="4" t="inlineStr">
        <is>
          <t>inventaire</t>
        </is>
      </c>
      <c r="G18" s="4" t="inlineStr">
        <is>
          <t>Conso 8,1 &lt; achats 8,4 : le deficit (-1,1) tient a la seule variation d'inventaire.</t>
        </is>
      </c>
    </row>
    <row r="19">
      <c r="A19" s="4">
        <f>'Bilan produit'!B55</f>
        <v/>
      </c>
      <c r="B19" s="4">
        <f>'Bilan produit'!C55</f>
        <v/>
      </c>
      <c r="C19" s="4">
        <f>'Bilan produit'!D55</f>
        <v/>
      </c>
      <c r="D19" s="4">
        <f>'Bilan produit'!F55</f>
        <v/>
      </c>
      <c r="E19" s="4">
        <f>'Bilan produit'!G55</f>
        <v/>
      </c>
      <c r="F19" s="4" t="inlineStr">
        <is>
          <t>inventaire</t>
        </is>
      </c>
      <c r="G19" s="4" t="inlineStr">
        <is>
          <t>Conso 12,6 &lt; achats 13,0 : deficit d'inventaire / frontiere d'exercice (deja traite en 2.1).</t>
        </is>
      </c>
    </row>
    <row r="20">
      <c r="A20" s="1" t="inlineStr">
        <is>
          <t>TOTAL 15 deficits</t>
        </is>
      </c>
      <c r="D20" s="1">
        <f>SUM(D5:D19)</f>
        <v/>
      </c>
      <c r="E20" s="1">
        <f>SUM(E5:E19)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Methode — d'ou vient chaque chiffre</t>
        </is>
      </c>
    </row>
    <row r="3" ht="58" customHeight="1">
      <c r="A3" s="10" t="inlineStr">
        <is>
          <t>1. Sources : les 65 produits de boisson, avec achats factures (199 factures Franche-Comte Boissons Services, nets d'avoirs), consommation mesuree (caisse + cuisine) et variation d'inventaire (inventaires physiques 31/03/2023, 2024, 2025). Donnees brutes, aucune formule.</t>
        </is>
      </c>
    </row>
    <row r="5" ht="58" customHeight="1">
      <c r="A5" s="10" t="inlineStr">
        <is>
          <t>2. Calvados : la consommation est itemisee par libelle de caisse x dose declaree de 4 cl. Volume (L) = quantite x 4 / 100, par formule. Total = 110,7 L (1,44 L au verre, enregistre et facture ; 109,26 L en cuisine, charge de matiere). C'est la valeur retenue au bilan, verifiee ligne a ligne. La feuille R1 'Bilan matiere produit' portait 120,5 L (ecart de 9,8 L non reconcilie) : la correction augmente l'excedent global, elle ne le reduit pas.</t>
        </is>
      </c>
    </row>
    <row r="7" ht="58" customHeight="1">
      <c r="A7" s="10" t="inlineStr">
        <is>
          <t>3. Bilan produit : pour chaque produit, bilan net = achats - conso - inventaire (formule), et deficit conso-achats = conso - achats (formule). Aucun resultat tape en dur.</t>
        </is>
      </c>
    </row>
    <row r="9" ht="58" customHeight="1">
      <c r="A9" s="10" t="inlineStr">
        <is>
          <t>4. Bilan famille : SOMME.SI par famille sur l'onglet Bilan produit, puis bilan net et bilan/achats par formule. Total general par SOMME.</t>
        </is>
      </c>
    </row>
    <row r="11" ht="58" customHeight="1">
      <c r="A11" s="10" t="inlineStr">
        <is>
          <t>5. Produits deficitaires : les 15 produits a bilan net &lt; 0, importes par formule de l'onglet Bilan produit, avec la nature du deficit (conso&gt;achats vs inventaire seul) et le traitement (regroupement legitime, plancher d'achats, ou point irreductible du Calvados).</t>
        </is>
      </c>
    </row>
    <row r="13" ht="58" customHeight="1">
      <c r="A13" s="10" t="inlineStr">
        <is>
          <t>6. Achats non rattaches : Chablis, Gewurztraminer, Arbois Bethanie sont sous-evalues a l'achat au bilan R1 (millesimes/demi-bouteilles factures sous designations distinctes). Volume facture reel contre volume retenu, par formule : le bilan est un plancher.</t>
        </is>
      </c>
    </row>
    <row r="15" ht="58" customHeight="1">
      <c r="A15" s="10" t="inlineStr">
        <is>
          <t>IMPORTANT : ce classeur ne calcule AUCUNE 'dose d'equilibre' par retro-calcul du bilan. La dose reellement mise en cuisine releve de la recette de l'etablissement et sera precisee par declaration de la gerance, non par une division (cf. page, 2.7).</t>
        </is>
      </c>
    </row>
    <row r="17" ht="58" customHeight="1">
      <c r="A17" s="10" t="inlineStr">
        <is>
          <t>Sens de l'ecart (titre de la partie I) : sur les 65 produits, 12 presentent conso &gt; achats (718,1 L cumules, dont Cubis 426,9 L et Calvados). 11 des 12 se rattachent a un regroupement legitime ou a un plancher d'achats ; seul le Calvados (dose de cuisine) reste discute au fond. 3 des 15 deficits (Guignolet, Grand Marnier, Martini) tiennent a la seule variation d'inventaire : ce ne sont pas des consommations sans achat.</t>
        </is>
      </c>
    </row>
  </sheetData>
  <mergeCells count="8">
    <mergeCell ref="A9:H9"/>
    <mergeCell ref="A3:H3"/>
    <mergeCell ref="A15:H15"/>
    <mergeCell ref="A7:H7"/>
    <mergeCell ref="A13:H13"/>
    <mergeCell ref="A11:H11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2026-10-25T19:10:49Z</dcterms:created>
  <dcterms:modified xmlns:dcterms="http://purl.org/dc/terms/" xmlns:xsi="http://www.w3.org/2001/XMLSchema-instance" xsi:type="dcterms:W3CDTF">2026-10-25T19:10:49Z</dcterms:modified>
</cp:coreProperties>
</file>