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Bareme" sheetId="2" state="visible" r:id="rId2"/>
    <sheet xmlns:r="http://schemas.openxmlformats.org/officeDocument/2006/relationships" name="Liquidation" sheetId="3" state="visible" r:id="rId3"/>
    <sheet xmlns:r="http://schemas.openxmlformats.org/officeDocument/2006/relationships" name="Assiette sociale" sheetId="4" state="visible" r:id="rId4"/>
    <sheet xmlns:r="http://schemas.openxmlformats.org/officeDocument/2006/relationships" name="Taux effectifs" sheetId="5" state="visible" r:id="rId5"/>
    <sheet xmlns:r="http://schemas.openxmlformats.org/officeDocument/2006/relationships" name="Méth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 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074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8" customWidth="1" min="4" max="4"/>
    <col width="18" customWidth="1" min="5" max="5"/>
    <col width="18" customWidth="1" min="6" max="6"/>
    <col width="10" customWidth="1" min="7" max="7"/>
    <col width="26" customWidth="1" min="8" max="8"/>
    <col width="70" customWidth="1" min="9" max="9"/>
    <col width="16" customWidth="1" min="10" max="10"/>
  </cols>
  <sheetData>
    <row r="1">
      <c r="A1" s="1" t="inlineStr">
        <is>
          <t>SOURCES : lignes lues sur les propositions personnelles du 19/10/2026 (PDF scannés, OCR relu page par page). Aucune cellule calculée ici.</t>
        </is>
      </c>
    </row>
    <row r="3">
      <c r="A3" s="2" t="inlineStr">
        <is>
          <t>Foyer</t>
        </is>
      </c>
      <c r="B3" s="2" t="inlineStr">
        <is>
          <t>Année</t>
        </is>
      </c>
      <c r="C3" s="2" t="inlineStr">
        <is>
          <t>Base annoncée p. 62-63 (texte)</t>
        </is>
      </c>
      <c r="D3" s="2" t="inlineStr">
        <is>
          <t>Revenu net imposable AVANT (avis)</t>
        </is>
      </c>
      <c r="E3" s="2" t="inlineStr">
        <is>
          <t>Revenu net imposable APRÈS (avis)</t>
        </is>
      </c>
      <c r="F3" s="2" t="inlineStr">
        <is>
          <t>Impôt sur les revenus soumis au barème (14), avis APRÈS contrôle</t>
        </is>
      </c>
      <c r="G3" s="2" t="inlineStr">
        <is>
          <t>Nombre de parts</t>
        </is>
      </c>
      <c r="H3" s="2" t="inlineStr">
        <is>
          <t>Base des prélèvements sociaux (ligne « RCM (44) » ou montant CSG ÷ taux)</t>
        </is>
      </c>
      <c r="I3" s="2" t="inlineStr">
        <is>
          <t>Pages lues</t>
        </is>
      </c>
      <c r="J3" s="2" t="inlineStr">
        <is>
          <t>RCM imposables (7), avis APRÈS</t>
        </is>
      </c>
    </row>
    <row r="4">
      <c r="A4" t="inlineStr">
        <is>
          <t>PASTEUR</t>
        </is>
      </c>
      <c r="B4" t="n">
        <v>2023</v>
      </c>
      <c r="C4" t="n">
        <v>96617</v>
      </c>
      <c r="D4" t="n">
        <v>21237</v>
      </c>
      <c r="E4" t="n">
        <v>142008</v>
      </c>
      <c r="F4" t="n">
        <v>40693</v>
      </c>
      <c r="G4" t="n">
        <v>1.5</v>
      </c>
      <c r="H4" t="n">
        <v>96617</v>
      </c>
      <c r="I4" t="inlineStr">
        <is>
          <t>PASTEUR p. 63, 67, 69-70 (CSG-CRDS 9 372 = 96 617 × 9,7 %)</t>
        </is>
      </c>
      <c r="J4" t="n">
        <v>125304</v>
      </c>
    </row>
    <row r="5">
      <c r="A5" t="inlineStr">
        <is>
          <t>PASTEUR</t>
        </is>
      </c>
      <c r="B5" t="n">
        <v>2024</v>
      </c>
      <c r="C5" t="n">
        <v>69432</v>
      </c>
      <c r="D5" t="n">
        <v>25125</v>
      </c>
      <c r="E5" t="n">
        <v>111915</v>
      </c>
      <c r="F5" t="n">
        <v>28039</v>
      </c>
      <c r="G5" t="n">
        <v>1.5</v>
      </c>
      <c r="H5" t="n">
        <v>69432</v>
      </c>
      <c r="I5" t="inlineStr">
        <is>
          <t>PASTEUR p. 63, 71-74 (PS 11 942 = 69 432 × 17,2 %)</t>
        </is>
      </c>
      <c r="J5" t="n">
        <v>91331</v>
      </c>
    </row>
    <row r="6">
      <c r="A6" t="inlineStr">
        <is>
          <t>PASTEUR</t>
        </is>
      </c>
      <c r="B6" t="n">
        <v>2025</v>
      </c>
      <c r="C6" t="n">
        <v>69864</v>
      </c>
      <c r="D6" t="n">
        <v>23540</v>
      </c>
      <c r="E6" t="n">
        <v>110870</v>
      </c>
      <c r="F6" t="n">
        <v>27450</v>
      </c>
      <c r="G6" t="n">
        <v>1.5</v>
      </c>
      <c r="H6" t="n">
        <v>69865</v>
      </c>
      <c r="I6" t="inlineStr">
        <is>
          <t>PASTEUR p. 63, 75-78 (ligne 44 : 69 865)</t>
        </is>
      </c>
      <c r="J6" t="n">
        <v>91878</v>
      </c>
    </row>
    <row r="7">
      <c r="A7" t="inlineStr">
        <is>
          <t>BEHEM</t>
        </is>
      </c>
      <c r="B7" t="n">
        <v>2023</v>
      </c>
      <c r="C7" t="n">
        <v>96617</v>
      </c>
      <c r="D7" t="n">
        <v>18788</v>
      </c>
      <c r="E7" t="n">
        <v>126797</v>
      </c>
      <c r="F7" t="n">
        <v>36215</v>
      </c>
      <c r="G7" t="n">
        <v>1</v>
      </c>
      <c r="H7" t="n">
        <v>86407</v>
      </c>
      <c r="I7" t="inlineStr">
        <is>
          <t>BEHEM p. 63, 67-70 (ligne 44 : 86 407)</t>
        </is>
      </c>
      <c r="J7" t="n">
        <v>112509</v>
      </c>
    </row>
    <row r="8">
      <c r="A8" t="inlineStr">
        <is>
          <t>BEHEM</t>
        </is>
      </c>
      <c r="B8" t="n">
        <v>2024</v>
      </c>
      <c r="C8" t="n">
        <v>69432</v>
      </c>
      <c r="E8" t="n">
        <v>101891</v>
      </c>
      <c r="F8" t="n">
        <v>25720</v>
      </c>
      <c r="G8" t="n">
        <v>1</v>
      </c>
      <c r="H8" t="n">
        <v>66088</v>
      </c>
      <c r="I8" t="inlineStr">
        <is>
          <t>BEHEM p. 63, 71-72 (ligne 44 : 66 088 ; revenu avant contrôle non lisible)</t>
        </is>
      </c>
      <c r="J8" t="n">
        <v>82006</v>
      </c>
    </row>
    <row r="9">
      <c r="A9" t="inlineStr">
        <is>
          <t>BEHEM</t>
        </is>
      </c>
      <c r="B9" t="n">
        <v>2025</v>
      </c>
      <c r="C9" t="n">
        <v>69864</v>
      </c>
      <c r="D9" t="n">
        <v>23134</v>
      </c>
      <c r="E9" t="n">
        <v>101307</v>
      </c>
      <c r="F9" t="n">
        <v>25336</v>
      </c>
      <c r="G9" t="n">
        <v>1</v>
      </c>
      <c r="H9" t="n">
        <v>62538</v>
      </c>
      <c r="I9" t="inlineStr">
        <is>
          <t>BEHEM p. 63, 79-84 (ligne 44 : 62 538)</t>
        </is>
      </c>
      <c r="J9" t="n">
        <v>77506</v>
      </c>
    </row>
    <row r="11">
      <c r="A11" t="inlineStr">
        <is>
          <t>Taux des prélèvements sociaux appliqués par le service (avis) : CSG-CRDS 9,7 % (2023, 2024) et 11,1 % (2025, LFSS 2026 art. 12) ; prélèvement de solidarité 7,5 % (art. 235 ter CGI).</t>
        </is>
      </c>
    </row>
    <row r="12">
      <c r="A12" t="inlineStr">
        <is>
          <t>Majorations de 40 % notifiées (art. 1729) sur l'IR : PASTEUR 16 277 / 11 068 / 10 947 ; BEHEM 14 356 / 9 820 / 9 756 (avis p. 67, 71, 75 ; p. 69, 71, 83).</t>
        </is>
      </c>
    </row>
    <row r="13">
      <c r="A13" t="inlineStr">
        <is>
          <t>Montants notifiés (CANON) : PASTEUR 83 391 / 56 724 / 56 830 = 196 945 ; BEHEM 73 859 / 48 124 / 50 720 = 172 703.</t>
        </is>
      </c>
    </row>
    <row r="15">
      <c r="A15" t="inlineStr">
        <is>
          <t>Taux PS</t>
        </is>
      </c>
      <c r="B15" t="inlineStr">
        <is>
          <t>CSG-CRDS</t>
        </is>
      </c>
      <c r="C15" t="inlineStr">
        <is>
          <t>Solidarité</t>
        </is>
      </c>
    </row>
    <row r="16">
      <c r="A16" t="n">
        <v>2023</v>
      </c>
      <c r="B16" t="n">
        <v>0.097</v>
      </c>
      <c r="C16" t="n">
        <v>0.075</v>
      </c>
    </row>
    <row r="17">
      <c r="A17" t="n">
        <v>2024</v>
      </c>
      <c r="B17" t="n">
        <v>0.097</v>
      </c>
      <c r="C17" t="n">
        <v>0.075</v>
      </c>
    </row>
    <row r="18">
      <c r="A18" t="n">
        <v>2025</v>
      </c>
      <c r="B18" t="n">
        <v>0.111</v>
      </c>
      <c r="C18" t="n">
        <v>0.075</v>
      </c>
    </row>
    <row r="20">
      <c r="A20" t="inlineStr">
        <is>
          <t>Majoration 40 % IR</t>
        </is>
      </c>
      <c r="B20" t="inlineStr">
        <is>
          <t>PASTEUR</t>
        </is>
      </c>
      <c r="C20" t="inlineStr">
        <is>
          <t>BEHEM</t>
        </is>
      </c>
    </row>
    <row r="21">
      <c r="A21" t="n">
        <v>2023</v>
      </c>
      <c r="B21" t="n">
        <v>16277</v>
      </c>
      <c r="C21" t="n">
        <v>14356</v>
      </c>
    </row>
    <row r="22">
      <c r="A22" t="n">
        <v>2024</v>
      </c>
      <c r="B22" t="n">
        <v>11068</v>
      </c>
      <c r="C22" t="n">
        <v>9820</v>
      </c>
    </row>
    <row r="23">
      <c r="A23" t="n">
        <v>2025</v>
      </c>
      <c r="B23" t="n">
        <v>10947</v>
      </c>
      <c r="C23" t="n">
        <v>9756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20" customWidth="1" min="6" max="6"/>
    <col width="50" customWidth="1" min="7" max="7"/>
  </cols>
  <sheetData>
    <row r="1">
      <c r="A1" s="1" t="inlineStr">
        <is>
          <t>BARÈME DE L'IR (art. 197 CGI) : seuils par part et plafond du quotient familial par demi-part (BOI-IR-LIQ-20-10 ; LF 2024, LF 2025, LF 2026 art. 4, +0,9 %)</t>
        </is>
      </c>
    </row>
    <row r="3">
      <c r="A3" s="2" t="inlineStr">
        <is>
          <t>Revenus</t>
        </is>
      </c>
      <c r="B3" s="2" t="inlineStr">
        <is>
          <t>Seuil 0 %</t>
        </is>
      </c>
      <c r="C3" s="2" t="inlineStr">
        <is>
          <t>Seuil 11 %</t>
        </is>
      </c>
      <c r="D3" s="2" t="inlineStr">
        <is>
          <t>Seuil 30 %</t>
        </is>
      </c>
      <c r="E3" s="2" t="inlineStr">
        <is>
          <t>Seuil 41 %</t>
        </is>
      </c>
      <c r="F3" s="2" t="inlineStr">
        <is>
          <t>Plafond QF / demi-part</t>
        </is>
      </c>
      <c r="G3" s="2" t="inlineStr">
        <is>
          <t>Source</t>
        </is>
      </c>
    </row>
    <row r="4">
      <c r="A4" t="n">
        <v>2023</v>
      </c>
      <c r="B4" t="n">
        <v>11294</v>
      </c>
      <c r="C4" t="n">
        <v>28797</v>
      </c>
      <c r="D4" t="n">
        <v>82341</v>
      </c>
      <c r="E4" t="n">
        <v>177106</v>
      </c>
      <c r="F4" t="n">
        <v>1759</v>
      </c>
      <c r="G4" t="inlineStr">
        <is>
          <t>LF 2024 (revenus 2023)</t>
        </is>
      </c>
    </row>
    <row r="5">
      <c r="A5" t="n">
        <v>2024</v>
      </c>
      <c r="B5" t="n">
        <v>11497</v>
      </c>
      <c r="C5" t="n">
        <v>29315</v>
      </c>
      <c r="D5" t="n">
        <v>83823</v>
      </c>
      <c r="E5" t="n">
        <v>180294</v>
      </c>
      <c r="F5" t="n">
        <v>1791</v>
      </c>
      <c r="G5" t="inlineStr">
        <is>
          <t>LF 2025 (revenus 2024)</t>
        </is>
      </c>
    </row>
    <row r="6">
      <c r="A6" t="n">
        <v>2025</v>
      </c>
      <c r="B6" t="n">
        <v>11600</v>
      </c>
      <c r="C6" t="n">
        <v>29579</v>
      </c>
      <c r="D6" t="n">
        <v>84577</v>
      </c>
      <c r="E6" t="n">
        <v>181917</v>
      </c>
      <c r="F6" t="n">
        <v>1807</v>
      </c>
      <c r="G6" t="inlineStr">
        <is>
          <t>LF 2026 art. 4 (revenus 2025), revalorisation 0,9 %</t>
        </is>
      </c>
    </row>
    <row r="8">
      <c r="A8" t="inlineStr">
        <is>
          <t>Taux : 0 % / 11 % / 30 % / 41 % / 45 %. IR(R, parts) = parts × barème(R ÷ parts) ; plafonnement : IR = MAX(parts × barème(R ÷ parts) ; barème(R) − plafond × (parts − 1) × 2).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16" customWidth="1" min="5" max="5"/>
    <col width="14" customWidth="1" min="6" max="6"/>
    <col width="18" customWidth="1" min="7" max="7"/>
    <col width="14" customWidth="1" min="8" max="8"/>
    <col width="12" customWidth="1" min="9" max="9"/>
    <col width="20" customWidth="1" min="10" max="10"/>
    <col width="16" customWidth="1" min="11" max="11"/>
    <col width="14" customWidth="1" min="12" max="12"/>
  </cols>
  <sheetData>
    <row r="1">
      <c r="A1" s="1" t="inlineStr">
        <is>
          <t>LIQUIDATION : le coefficient 1,25 tel que le service l'a appliqué, et le barème reproduit à l'euro (chaque cellule est une formule)</t>
        </is>
      </c>
    </row>
    <row r="3">
      <c r="A3" s="2" t="inlineStr">
        <is>
          <t>Foyer</t>
        </is>
      </c>
      <c r="B3" s="2" t="inlineStr">
        <is>
          <t>Année</t>
        </is>
      </c>
      <c r="C3" s="2" t="inlineStr">
        <is>
          <t>Base annoncée (texte)</t>
        </is>
      </c>
      <c r="D3" s="2" t="inlineStr">
        <is>
          <t>Variation du revenu imposable (APRÈS − AVANT)</t>
        </is>
      </c>
      <c r="E3" s="2" t="inlineStr">
        <is>
          <t>Base réellement liquidée = variation ÷ 1,25</t>
        </is>
      </c>
      <c r="F3" s="2" t="inlineStr">
        <is>
          <t>Écart base liquidée − base annoncée</t>
        </is>
      </c>
      <c r="G3" s="2" t="inlineStr">
        <is>
          <t>IR après contrôle, reproduit (barème + plafond QF)</t>
        </is>
      </c>
      <c r="H3" s="2" t="inlineStr">
        <is>
          <t>Impôt soumis au barème notifié (14)</t>
        </is>
      </c>
      <c r="I3" s="2" t="inlineStr">
        <is>
          <t>Écart reproduit − notifié</t>
        </is>
      </c>
      <c r="J3" s="2" t="inlineStr">
        <is>
          <t>IR si le revenu n'était PAS majoré (revenu après − 25 % de la base liquidée)</t>
        </is>
      </c>
      <c r="K3" s="2" t="inlineStr">
        <is>
          <t>Coût du coefficient 1,25 en IR (droits)</t>
        </is>
      </c>
      <c r="L3" s="2" t="inlineStr">
        <is>
          <t>Majoration 40 % sur ce coût</t>
        </is>
      </c>
    </row>
    <row r="4">
      <c r="A4">
        <f>Sources!A4</f>
        <v/>
      </c>
      <c r="B4">
        <f>Sources!B4</f>
        <v/>
      </c>
      <c r="C4">
        <f>Sources!C4</f>
        <v/>
      </c>
      <c r="D4">
        <f>Sources!E4-Sources!D4</f>
        <v/>
      </c>
      <c r="E4">
        <f>ROUND(D4/1.25,0)</f>
        <v/>
      </c>
      <c r="F4">
        <f>E4-C4</f>
        <v/>
      </c>
      <c r="G4">
        <f>ROUND(MAX(Sources!G4*(MAX(0,MIN((Sources!E4/Sources!G4),Bareme!$C$4)-Bareme!$B$4)*0.11+MAX(0,MIN((Sources!E4/Sources!G4),Bareme!$D$4)-Bareme!$C$4)*0.30+MAX(0,MIN((Sources!E4/Sources!G4),Bareme!$E$4)-Bareme!$D$4)*0.41+MAX(0,(Sources!E4/Sources!G4)-Bareme!$E$4)*0.45),(MAX(0,MIN(Sources!E4,Bareme!$C$4)-Bareme!$B$4)*0.11+MAX(0,MIN(Sources!E4,Bareme!$D$4)-Bareme!$C$4)*0.30+MAX(0,MIN(Sources!E4,Bareme!$E$4)-Bareme!$D$4)*0.41+MAX(0,Sources!E4-Bareme!$E$4)*0.45)-Bareme!$F$4*(Sources!G4-1)*2),0)</f>
        <v/>
      </c>
      <c r="H4">
        <f>Sources!F4</f>
        <v/>
      </c>
      <c r="I4">
        <f>G4-H4</f>
        <v/>
      </c>
      <c r="J4">
        <f>ROUND(MAX(Sources!G4*(MAX(0,MIN(((Sources!E4-0.25*E4)/Sources!G4),Bareme!$C$4)-Bareme!$B$4)*0.11+MAX(0,MIN(((Sources!E4-0.25*E4)/Sources!G4),Bareme!$D$4)-Bareme!$C$4)*0.30+MAX(0,MIN(((Sources!E4-0.25*E4)/Sources!G4),Bareme!$E$4)-Bareme!$D$4)*0.41+MAX(0,((Sources!E4-0.25*E4)/Sources!G4)-Bareme!$E$4)*0.45),(MAX(0,MIN((Sources!E4-0.25*E4),Bareme!$C$4)-Bareme!$B$4)*0.11+MAX(0,MIN((Sources!E4-0.25*E4),Bareme!$D$4)-Bareme!$C$4)*0.30+MAX(0,MIN((Sources!E4-0.25*E4),Bareme!$E$4)-Bareme!$D$4)*0.41+MAX(0,(Sources!E4-0.25*E4)-Bareme!$E$4)*0.45)-Bareme!$F$4*(Sources!G4-1)*2),0)</f>
        <v/>
      </c>
      <c r="K4">
        <f>G4-J4</f>
        <v/>
      </c>
      <c r="L4">
        <f>ROUND(K4*0.4,0)</f>
        <v/>
      </c>
    </row>
    <row r="5">
      <c r="A5">
        <f>Sources!A5</f>
        <v/>
      </c>
      <c r="B5">
        <f>Sources!B5</f>
        <v/>
      </c>
      <c r="C5">
        <f>Sources!C5</f>
        <v/>
      </c>
      <c r="D5">
        <f>Sources!E5-Sources!D5</f>
        <v/>
      </c>
      <c r="E5">
        <f>ROUND(D5/1.25,0)</f>
        <v/>
      </c>
      <c r="F5">
        <f>E5-C5</f>
        <v/>
      </c>
      <c r="G5">
        <f>ROUND(MAX(Sources!G5*(MAX(0,MIN((Sources!E5/Sources!G5),Bareme!$C$5)-Bareme!$B$5)*0.11+MAX(0,MIN((Sources!E5/Sources!G5),Bareme!$D$5)-Bareme!$C$5)*0.30+MAX(0,MIN((Sources!E5/Sources!G5),Bareme!$E$5)-Bareme!$D$5)*0.41+MAX(0,(Sources!E5/Sources!G5)-Bareme!$E$5)*0.45),(MAX(0,MIN(Sources!E5,Bareme!$C$5)-Bareme!$B$5)*0.11+MAX(0,MIN(Sources!E5,Bareme!$D$5)-Bareme!$C$5)*0.30+MAX(0,MIN(Sources!E5,Bareme!$E$5)-Bareme!$D$5)*0.41+MAX(0,Sources!E5-Bareme!$E$5)*0.45)-Bareme!$F$5*(Sources!G5-1)*2),0)</f>
        <v/>
      </c>
      <c r="H5">
        <f>Sources!F5</f>
        <v/>
      </c>
      <c r="I5">
        <f>G5-H5</f>
        <v/>
      </c>
      <c r="J5">
        <f>ROUND(MAX(Sources!G5*(MAX(0,MIN(((Sources!E5-0.25*E5)/Sources!G5),Bareme!$C$5)-Bareme!$B$5)*0.11+MAX(0,MIN(((Sources!E5-0.25*E5)/Sources!G5),Bareme!$D$5)-Bareme!$C$5)*0.30+MAX(0,MIN(((Sources!E5-0.25*E5)/Sources!G5),Bareme!$E$5)-Bareme!$D$5)*0.41+MAX(0,((Sources!E5-0.25*E5)/Sources!G5)-Bareme!$E$5)*0.45),(MAX(0,MIN((Sources!E5-0.25*E5),Bareme!$C$5)-Bareme!$B$5)*0.11+MAX(0,MIN((Sources!E5-0.25*E5),Bareme!$D$5)-Bareme!$C$5)*0.30+MAX(0,MIN((Sources!E5-0.25*E5),Bareme!$E$5)-Bareme!$D$5)*0.41+MAX(0,(Sources!E5-0.25*E5)-Bareme!$E$5)*0.45)-Bareme!$F$5*(Sources!G5-1)*2),0)</f>
        <v/>
      </c>
      <c r="K5">
        <f>G5-J5</f>
        <v/>
      </c>
      <c r="L5">
        <f>ROUND(K5*0.4,0)</f>
        <v/>
      </c>
    </row>
    <row r="6">
      <c r="A6">
        <f>Sources!A6</f>
        <v/>
      </c>
      <c r="B6">
        <f>Sources!B6</f>
        <v/>
      </c>
      <c r="C6">
        <f>Sources!C6</f>
        <v/>
      </c>
      <c r="D6">
        <f>Sources!E6-Sources!D6</f>
        <v/>
      </c>
      <c r="E6">
        <f>ROUND(D6/1.25,0)</f>
        <v/>
      </c>
      <c r="F6">
        <f>E6-C6</f>
        <v/>
      </c>
      <c r="G6">
        <f>ROUND(MAX(Sources!G6*(MAX(0,MIN((Sources!E6/Sources!G6),Bareme!$C$6)-Bareme!$B$6)*0.11+MAX(0,MIN((Sources!E6/Sources!G6),Bareme!$D$6)-Bareme!$C$6)*0.30+MAX(0,MIN((Sources!E6/Sources!G6),Bareme!$E$6)-Bareme!$D$6)*0.41+MAX(0,(Sources!E6/Sources!G6)-Bareme!$E$6)*0.45),(MAX(0,MIN(Sources!E6,Bareme!$C$6)-Bareme!$B$6)*0.11+MAX(0,MIN(Sources!E6,Bareme!$D$6)-Bareme!$C$6)*0.30+MAX(0,MIN(Sources!E6,Bareme!$E$6)-Bareme!$D$6)*0.41+MAX(0,Sources!E6-Bareme!$E$6)*0.45)-Bareme!$F$6*(Sources!G6-1)*2),0)</f>
        <v/>
      </c>
      <c r="H6">
        <f>Sources!F6</f>
        <v/>
      </c>
      <c r="I6">
        <f>G6-H6</f>
        <v/>
      </c>
      <c r="J6">
        <f>ROUND(MAX(Sources!G6*(MAX(0,MIN(((Sources!E6-0.25*E6)/Sources!G6),Bareme!$C$6)-Bareme!$B$6)*0.11+MAX(0,MIN(((Sources!E6-0.25*E6)/Sources!G6),Bareme!$D$6)-Bareme!$C$6)*0.30+MAX(0,MIN(((Sources!E6-0.25*E6)/Sources!G6),Bareme!$E$6)-Bareme!$D$6)*0.41+MAX(0,((Sources!E6-0.25*E6)/Sources!G6)-Bareme!$E$6)*0.45),(MAX(0,MIN((Sources!E6-0.25*E6),Bareme!$C$6)-Bareme!$B$6)*0.11+MAX(0,MIN((Sources!E6-0.25*E6),Bareme!$D$6)-Bareme!$C$6)*0.30+MAX(0,MIN((Sources!E6-0.25*E6),Bareme!$E$6)-Bareme!$D$6)*0.41+MAX(0,(Sources!E6-0.25*E6)-Bareme!$E$6)*0.45)-Bareme!$F$6*(Sources!G6-1)*2),0)</f>
        <v/>
      </c>
      <c r="K6">
        <f>G6-J6</f>
        <v/>
      </c>
      <c r="L6">
        <f>ROUND(K6*0.4,0)</f>
        <v/>
      </c>
    </row>
    <row r="7">
      <c r="A7">
        <f>Sources!A7</f>
        <v/>
      </c>
      <c r="B7">
        <f>Sources!B7</f>
        <v/>
      </c>
      <c r="C7">
        <f>Sources!C7</f>
        <v/>
      </c>
      <c r="D7">
        <f>Sources!E7-Sources!D7</f>
        <v/>
      </c>
      <c r="E7">
        <f>ROUND(D7/1.25,0)</f>
        <v/>
      </c>
      <c r="F7">
        <f>E7-C7</f>
        <v/>
      </c>
      <c r="G7">
        <f>ROUND(MAX(Sources!G7*(MAX(0,MIN((Sources!E7/Sources!G7),Bareme!$C$4)-Bareme!$B$4)*0.11+MAX(0,MIN((Sources!E7/Sources!G7),Bareme!$D$4)-Bareme!$C$4)*0.30+MAX(0,MIN((Sources!E7/Sources!G7),Bareme!$E$4)-Bareme!$D$4)*0.41+MAX(0,(Sources!E7/Sources!G7)-Bareme!$E$4)*0.45),(MAX(0,MIN(Sources!E7,Bareme!$C$4)-Bareme!$B$4)*0.11+MAX(0,MIN(Sources!E7,Bareme!$D$4)-Bareme!$C$4)*0.30+MAX(0,MIN(Sources!E7,Bareme!$E$4)-Bareme!$D$4)*0.41+MAX(0,Sources!E7-Bareme!$E$4)*0.45)-Bareme!$F$4*(Sources!G7-1)*2),0)</f>
        <v/>
      </c>
      <c r="H7">
        <f>Sources!F7</f>
        <v/>
      </c>
      <c r="I7">
        <f>G7-H7</f>
        <v/>
      </c>
      <c r="J7">
        <f>ROUND(MAX(Sources!G7*(MAX(0,MIN(((Sources!E7-0.25*E7)/Sources!G7),Bareme!$C$4)-Bareme!$B$4)*0.11+MAX(0,MIN(((Sources!E7-0.25*E7)/Sources!G7),Bareme!$D$4)-Bareme!$C$4)*0.30+MAX(0,MIN(((Sources!E7-0.25*E7)/Sources!G7),Bareme!$E$4)-Bareme!$D$4)*0.41+MAX(0,((Sources!E7-0.25*E7)/Sources!G7)-Bareme!$E$4)*0.45),(MAX(0,MIN((Sources!E7-0.25*E7),Bareme!$C$4)-Bareme!$B$4)*0.11+MAX(0,MIN((Sources!E7-0.25*E7),Bareme!$D$4)-Bareme!$C$4)*0.30+MAX(0,MIN((Sources!E7-0.25*E7),Bareme!$E$4)-Bareme!$D$4)*0.41+MAX(0,(Sources!E7-0.25*E7)-Bareme!$E$4)*0.45)-Bareme!$F$4*(Sources!G7-1)*2),0)</f>
        <v/>
      </c>
      <c r="K7">
        <f>G7-J7</f>
        <v/>
      </c>
      <c r="L7">
        <f>ROUND(K7*0.4,0)</f>
        <v/>
      </c>
    </row>
    <row r="8">
      <c r="A8">
        <f>Sources!A8</f>
        <v/>
      </c>
      <c r="B8">
        <f>Sources!B8</f>
        <v/>
      </c>
      <c r="C8">
        <f>Sources!C8</f>
        <v/>
      </c>
      <c r="D8" t="inlineStr">
        <is>
          <t>n.l.</t>
        </is>
      </c>
      <c r="E8">
        <f>ROUND((Sources!J8-4500)/1.25,0)</f>
        <v/>
      </c>
      <c r="F8">
        <f>E8-C8</f>
        <v/>
      </c>
      <c r="G8">
        <f>ROUND(MAX(Sources!G8*(MAX(0,MIN((Sources!E8/Sources!G8),Bareme!$C$5)-Bareme!$B$5)*0.11+MAX(0,MIN((Sources!E8/Sources!G8),Bareme!$D$5)-Bareme!$C$5)*0.30+MAX(0,MIN((Sources!E8/Sources!G8),Bareme!$E$5)-Bareme!$D$5)*0.41+MAX(0,(Sources!E8/Sources!G8)-Bareme!$E$5)*0.45),(MAX(0,MIN(Sources!E8,Bareme!$C$5)-Bareme!$B$5)*0.11+MAX(0,MIN(Sources!E8,Bareme!$D$5)-Bareme!$C$5)*0.30+MAX(0,MIN(Sources!E8,Bareme!$E$5)-Bareme!$D$5)*0.41+MAX(0,Sources!E8-Bareme!$E$5)*0.45)-Bareme!$F$5*(Sources!G8-1)*2),0)</f>
        <v/>
      </c>
      <c r="H8">
        <f>Sources!F8</f>
        <v/>
      </c>
      <c r="I8">
        <f>G8-H8</f>
        <v/>
      </c>
      <c r="J8">
        <f>ROUND(MAX(Sources!G8*(MAX(0,MIN(((Sources!E8-0.25*E8)/Sources!G8),Bareme!$C$5)-Bareme!$B$5)*0.11+MAX(0,MIN(((Sources!E8-0.25*E8)/Sources!G8),Bareme!$D$5)-Bareme!$C$5)*0.30+MAX(0,MIN(((Sources!E8-0.25*E8)/Sources!G8),Bareme!$E$5)-Bareme!$D$5)*0.41+MAX(0,((Sources!E8-0.25*E8)/Sources!G8)-Bareme!$E$5)*0.45),(MAX(0,MIN((Sources!E8-0.25*E8),Bareme!$C$5)-Bareme!$B$5)*0.11+MAX(0,MIN((Sources!E8-0.25*E8),Bareme!$D$5)-Bareme!$C$5)*0.30+MAX(0,MIN((Sources!E8-0.25*E8),Bareme!$E$5)-Bareme!$D$5)*0.41+MAX(0,(Sources!E8-0.25*E8)-Bareme!$E$5)*0.45)-Bareme!$F$5*(Sources!G8-1)*2),0)</f>
        <v/>
      </c>
      <c r="K8">
        <f>G8-J8</f>
        <v/>
      </c>
      <c r="L8">
        <f>ROUND(K8*0.4,0)</f>
        <v/>
      </c>
    </row>
    <row r="9">
      <c r="A9">
        <f>Sources!A9</f>
        <v/>
      </c>
      <c r="B9">
        <f>Sources!B9</f>
        <v/>
      </c>
      <c r="C9">
        <f>Sources!C9</f>
        <v/>
      </c>
      <c r="D9">
        <f>Sources!E9-Sources!D9</f>
        <v/>
      </c>
      <c r="E9">
        <f>ROUND(D9/1.25,0)</f>
        <v/>
      </c>
      <c r="F9">
        <f>E9-C9</f>
        <v/>
      </c>
      <c r="G9">
        <f>ROUND(MAX(Sources!G9*(MAX(0,MIN((Sources!E9/Sources!G9),Bareme!$C$6)-Bareme!$B$6)*0.11+MAX(0,MIN((Sources!E9/Sources!G9),Bareme!$D$6)-Bareme!$C$6)*0.30+MAX(0,MIN((Sources!E9/Sources!G9),Bareme!$E$6)-Bareme!$D$6)*0.41+MAX(0,(Sources!E9/Sources!G9)-Bareme!$E$6)*0.45),(MAX(0,MIN(Sources!E9,Bareme!$C$6)-Bareme!$B$6)*0.11+MAX(0,MIN(Sources!E9,Bareme!$D$6)-Bareme!$C$6)*0.30+MAX(0,MIN(Sources!E9,Bareme!$E$6)-Bareme!$D$6)*0.41+MAX(0,Sources!E9-Bareme!$E$6)*0.45)-Bareme!$F$6*(Sources!G9-1)*2),0)</f>
        <v/>
      </c>
      <c r="H9">
        <f>Sources!F9</f>
        <v/>
      </c>
      <c r="I9">
        <f>G9-H9</f>
        <v/>
      </c>
      <c r="J9">
        <f>ROUND(MAX(Sources!G9*(MAX(0,MIN(((Sources!E9-0.25*E9)/Sources!G9),Bareme!$C$6)-Bareme!$B$6)*0.11+MAX(0,MIN(((Sources!E9-0.25*E9)/Sources!G9),Bareme!$D$6)-Bareme!$C$6)*0.30+MAX(0,MIN(((Sources!E9-0.25*E9)/Sources!G9),Bareme!$E$6)-Bareme!$D$6)*0.41+MAX(0,((Sources!E9-0.25*E9)/Sources!G9)-Bareme!$E$6)*0.45),(MAX(0,MIN((Sources!E9-0.25*E9),Bareme!$C$6)-Bareme!$B$6)*0.11+MAX(0,MIN((Sources!E9-0.25*E9),Bareme!$D$6)-Bareme!$C$6)*0.30+MAX(0,MIN((Sources!E9-0.25*E9),Bareme!$E$6)-Bareme!$D$6)*0.41+MAX(0,(Sources!E9-0.25*E9)-Bareme!$E$6)*0.45)-Bareme!$F$6*(Sources!G9-1)*2),0)</f>
        <v/>
      </c>
      <c r="K9">
        <f>G9-J9</f>
        <v/>
      </c>
      <c r="L9">
        <f>ROUND(K9*0.4,0)</f>
        <v/>
      </c>
    </row>
    <row r="10">
      <c r="A10" t="inlineStr">
        <is>
          <t>Total PASTEUR</t>
        </is>
      </c>
      <c r="F10">
        <f>SUM(F4:F6)</f>
        <v/>
      </c>
      <c r="K10">
        <f>SUM(K4:K6)</f>
        <v/>
      </c>
      <c r="L10">
        <f>SUM(L4:L6)</f>
        <v/>
      </c>
    </row>
    <row r="11">
      <c r="A11" t="inlineStr">
        <is>
          <t>Total BEHEM</t>
        </is>
      </c>
      <c r="F11">
        <f>SUM(F7:F9)</f>
        <v/>
      </c>
      <c r="K11">
        <f>SUM(K7:K9)</f>
        <v/>
      </c>
      <c r="L11">
        <f>SUM(L7:L9)</f>
        <v/>
      </c>
    </row>
    <row r="12">
      <c r="A12" t="inlineStr">
        <is>
          <t>Total 2 foyers</t>
        </is>
      </c>
      <c r="K12">
        <f>K10+K11</f>
        <v/>
      </c>
      <c r="L12">
        <f>L10+L11</f>
        <v/>
      </c>
    </row>
    <row r="14">
      <c r="A14" t="inlineStr">
        <is>
          <t>Lecture. Colonne E : la variation du revenu imposable est exactement base × 1,25 pour PASTEUR (96 617 / 69 432 / 69 864) ; pour BEHEM elle vaut 86 407 / 62 005 / 62 538 × 1,25, c'est-à-dire la seule part HT : les 10 210 / 7 427 / 7 326 € de part TVA annoncés p. 62 ne sont pas liquidés (colonne F). BEHEM 2025 : RCM imposables 82 673 − 4 500 = 78 173 = 62 538 × 1,25 (même contrôle). BEHEM 2024 : revenu avant contrôle illisible ; base lue par « RCM imposables » 82 006 − 4 500 (= 7 500 € de RCM déclarés × 0,6 après abattement de 40 %, comme en 2023 : 112 509 − 108 009 = 4 500) = 77 506 = 62 005 × 1,25.</t>
        </is>
      </c>
    </row>
    <row r="15">
      <c r="A15" t="inlineStr">
        <is>
          <t>Colonne G : barème reproduit (onglet Bareme) ; PASTEUR 1,5 part avec plafonnement du quotient familial (1 enfant majeur rattaché). Écart 0 € sur les 6 foyers-années. Colonnes J-L : coût du seul coefficient (barème appliqué au même revenu non majoré), à titre d'enjeu ; ce coût ne tombe pas seul, il suit la base.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8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26" customWidth="1" min="10" max="10"/>
  </cols>
  <sheetData>
    <row r="1">
      <c r="A1" s="1" t="inlineStr">
        <is>
          <t>ASSIETTE DES PRÉLÈVEMENTS SOCIAUX : contrôle de la réserve QPC 2017-643/650 (cons. 17) et 2016-610 (cons. 12) : le 1,25 doit être exclu</t>
        </is>
      </c>
    </row>
    <row r="3">
      <c r="A3" s="2" t="inlineStr">
        <is>
          <t>Foyer</t>
        </is>
      </c>
      <c r="B3" s="2" t="inlineStr">
        <is>
          <t>Année</t>
        </is>
      </c>
      <c r="C3" s="2" t="inlineStr">
        <is>
          <t>Base PS lue (ligne 44 / CSG ÷ taux)</t>
        </is>
      </c>
      <c r="D3" s="2" t="inlineStr">
        <is>
          <t>Base IR liquidée (onglet Liquidation)</t>
        </is>
      </c>
      <c r="E3" s="2" t="inlineStr">
        <is>
          <t>Base PS ÷ base IR liquidée</t>
        </is>
      </c>
      <c r="F3" s="2" t="inlineStr">
        <is>
          <t>CSG-CRDS recalculée = base × taux</t>
        </is>
      </c>
      <c r="G3" s="2" t="inlineStr">
        <is>
          <t>CSG-CRDS notifiée (avis)</t>
        </is>
      </c>
      <c r="H3" s="2" t="inlineStr">
        <is>
          <t>Solidarité recalculée = base × 7,5 %</t>
        </is>
      </c>
      <c r="I3" s="2" t="inlineStr">
        <is>
          <t>Solidarité notifiée (avis)</t>
        </is>
      </c>
      <c r="J3" s="2" t="inlineStr">
        <is>
          <t>Réserve QPC respectée ?</t>
        </is>
      </c>
    </row>
    <row r="4">
      <c r="A4">
        <f>Sources!A4</f>
        <v/>
      </c>
      <c r="B4">
        <f>Sources!B4</f>
        <v/>
      </c>
      <c r="C4">
        <f>Sources!H4</f>
        <v/>
      </c>
      <c r="D4">
        <f>Liquidation!E4</f>
        <v/>
      </c>
      <c r="E4">
        <f>ROUND(C4/D4,4)</f>
        <v/>
      </c>
      <c r="F4">
        <f>ROUND(C4*Sources!$B$16,0)</f>
        <v/>
      </c>
      <c r="G4" t="n">
        <v>9372</v>
      </c>
      <c r="H4">
        <f>ROUND(C4*Sources!$C$16,0)</f>
        <v/>
      </c>
      <c r="I4" t="n">
        <v>7246</v>
      </c>
      <c r="J4">
        <f>IF(E4&lt;1.2,"oui : aucun 1,25 (le coefficient donnerait 1,25)","NON : à contester")</f>
        <v/>
      </c>
    </row>
    <row r="5">
      <c r="A5">
        <f>Sources!A5</f>
        <v/>
      </c>
      <c r="B5">
        <f>Sources!B5</f>
        <v/>
      </c>
      <c r="C5">
        <f>Sources!H5</f>
        <v/>
      </c>
      <c r="D5">
        <f>Liquidation!E5</f>
        <v/>
      </c>
      <c r="E5">
        <f>ROUND(C5/D5,4)</f>
        <v/>
      </c>
      <c r="F5">
        <f>ROUND(C5*Sources!$B$17,0)</f>
        <v/>
      </c>
      <c r="G5" t="inlineStr">
        <is>
          <t>n.l. (total PS 11 942 = 69 432 × 17,2 %)</t>
        </is>
      </c>
      <c r="H5">
        <f>ROUND(C5*Sources!$C$17,0)</f>
        <v/>
      </c>
      <c r="I5" t="inlineStr">
        <is>
          <t>n.l.</t>
        </is>
      </c>
      <c r="J5">
        <f>IF(E5&lt;1.2,"oui : aucun 1,25 (le coefficient donnerait 1,25)","NON : à contester")</f>
        <v/>
      </c>
    </row>
    <row r="6">
      <c r="A6">
        <f>Sources!A6</f>
        <v/>
      </c>
      <c r="B6">
        <f>Sources!B6</f>
        <v/>
      </c>
      <c r="C6">
        <f>Sources!H6</f>
        <v/>
      </c>
      <c r="D6">
        <f>Liquidation!E6</f>
        <v/>
      </c>
      <c r="E6">
        <f>ROUND(C6/D6,4)</f>
        <v/>
      </c>
      <c r="F6">
        <f>ROUND(C6*Sources!$B$18,0)</f>
        <v/>
      </c>
      <c r="G6" t="n">
        <v>7755</v>
      </c>
      <c r="H6">
        <f>ROUND(C6*Sources!$C$18,0)</f>
        <v/>
      </c>
      <c r="I6" t="n">
        <v>5240</v>
      </c>
      <c r="J6">
        <f>IF(E6&lt;1.2,"oui : aucun 1,25 (le coefficient donnerait 1,25)","NON : à contester")</f>
        <v/>
      </c>
    </row>
    <row r="7">
      <c r="A7">
        <f>Sources!A7</f>
        <v/>
      </c>
      <c r="B7">
        <f>Sources!B7</f>
        <v/>
      </c>
      <c r="C7">
        <f>Sources!H7</f>
        <v/>
      </c>
      <c r="D7">
        <f>Liquidation!E7</f>
        <v/>
      </c>
      <c r="E7">
        <f>ROUND(C7/D7,4)</f>
        <v/>
      </c>
      <c r="F7">
        <f>ROUND(C7*Sources!$B$16,0)</f>
        <v/>
      </c>
      <c r="G7" t="n">
        <v>8381</v>
      </c>
      <c r="H7">
        <f>ROUND(C7*Sources!$C$16,0)</f>
        <v/>
      </c>
      <c r="I7" t="n">
        <v>6481</v>
      </c>
      <c r="J7">
        <f>IF(E7&lt;1.2,"oui : aucun 1,25 (le coefficient donnerait 1,25)","NON : à contester")</f>
        <v/>
      </c>
    </row>
    <row r="8">
      <c r="A8">
        <f>Sources!A8</f>
        <v/>
      </c>
      <c r="B8">
        <f>Sources!B8</f>
        <v/>
      </c>
      <c r="C8">
        <f>Sources!H8</f>
        <v/>
      </c>
      <c r="D8">
        <f>Liquidation!E8</f>
        <v/>
      </c>
      <c r="E8">
        <f>ROUND(C8/D8,4)</f>
        <v/>
      </c>
      <c r="F8">
        <f>ROUND(C8*Sources!$B$17,0)</f>
        <v/>
      </c>
      <c r="G8" t="n">
        <v>6411</v>
      </c>
      <c r="H8">
        <f>ROUND(C8*Sources!$C$17,0)</f>
        <v/>
      </c>
      <c r="I8" t="n">
        <v>4957</v>
      </c>
      <c r="J8">
        <f>IF(E8&lt;1.2,"oui : aucun 1,25 (le coefficient donnerait 1,25)","NON : à contester")</f>
        <v/>
      </c>
    </row>
    <row r="9">
      <c r="A9">
        <f>Sources!A9</f>
        <v/>
      </c>
      <c r="B9">
        <f>Sources!B9</f>
        <v/>
      </c>
      <c r="C9">
        <f>Sources!H9</f>
        <v/>
      </c>
      <c r="D9">
        <f>Liquidation!E9</f>
        <v/>
      </c>
      <c r="E9">
        <f>ROUND(C9/D9,4)</f>
        <v/>
      </c>
      <c r="F9">
        <f>ROUND(C9*Sources!$B$18,0)</f>
        <v/>
      </c>
      <c r="G9" t="n">
        <v>6942</v>
      </c>
      <c r="H9">
        <f>ROUND(C9*Sources!$C$18,0)</f>
        <v/>
      </c>
      <c r="I9" t="n">
        <v>4690</v>
      </c>
      <c r="J9">
        <f>IF(E9&lt;1.2,"oui : aucun 1,25 (le coefficient donnerait 1,25)","NON : à contester")</f>
        <v/>
      </c>
    </row>
    <row r="11">
      <c r="A11" t="inlineStr">
        <is>
          <t>Lecture. La base PS est égale à la base liquidée à l'IR AVANT majoration (rapport 1,00) sur les 6 foyers-années, sauf BEHEM 2024 où elle vaut 66 088 = 62 005 + 4 083 (4 083 € = RCM déclarés en 2024 non encore soumis aux PS, cf. avis p. 71-72 « RCM déjà soumis aux PS sans CSG déductible 3 417 » et 7 500 − 3 417 = 4 083 : part déclarée, non issue du contrôle). Le coefficient 1,25 n'est appliqué à aucune assiette sociale : réserve du Conseil constitutionnel respectée, aucun dégrèvement à ce titre.</t>
        </is>
      </c>
    </row>
    <row r="12">
      <c r="A12" t="inlineStr">
        <is>
          <t>Montants notifiés lus : PASTEUR 2023 CSG-CRDS 9 372 (p. 67) ; 2025 total PS 12 995 (p. 76) = 7 755 + 5 240 ; BEHEM 2023 8 381 / 6 481 (p. 69) ; 2024 6 411 / 4 957 (p. 71) ; 2025 6 942 / 4 690 (p. 83).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4" customWidth="1" min="4" max="4"/>
    <col width="22" customWidth="1" min="5" max="5"/>
    <col width="24" customWidth="1" min="6" max="6"/>
  </cols>
  <sheetData>
    <row r="1">
      <c r="A1" s="1" t="inlineStr">
        <is>
          <t>TAUX EFFECTIFS (CANON) : supplément notifié ÷ base distribuée par foyer (235 913 €) ; taux marginal sur un euro distribué</t>
        </is>
      </c>
    </row>
    <row r="3">
      <c r="A3" s="2" t="inlineStr">
        <is>
          <t>Foyer</t>
        </is>
      </c>
      <c r="B3" s="2" t="inlineStr">
        <is>
          <t>Supplément notifié 3 ans</t>
        </is>
      </c>
      <c r="C3" s="2" t="inlineStr">
        <is>
          <t>Base distribuée 3 ans</t>
        </is>
      </c>
      <c r="D3" s="2" t="inlineStr">
        <is>
          <t>Taux effectif</t>
        </is>
      </c>
      <c r="E3" s="2" t="inlineStr">
        <is>
          <t>Majoration 40 % IR (3 ans)</t>
        </is>
      </c>
      <c r="F3" s="2" t="inlineStr">
        <is>
          <t>Taux hors majoration 40 % IR</t>
        </is>
      </c>
    </row>
    <row r="4">
      <c r="A4" t="inlineStr">
        <is>
          <t>PASTEUR</t>
        </is>
      </c>
      <c r="B4">
        <f>83391+56724+56830</f>
        <v/>
      </c>
      <c r="C4">
        <f>ROUND(193234.55/2,0)+ROUND(138863.57/2,0)+ROUND(139727.76/2,0)</f>
        <v/>
      </c>
      <c r="D4" s="3">
        <f>B4/C4</f>
        <v/>
      </c>
      <c r="E4">
        <f>Sources!B21+Sources!B22+Sources!B23</f>
        <v/>
      </c>
      <c r="F4" s="3">
        <f>(B4-E4)/C4</f>
        <v/>
      </c>
    </row>
    <row r="5">
      <c r="A5" t="inlineStr">
        <is>
          <t>BEHEM</t>
        </is>
      </c>
      <c r="B5">
        <f>73859+48124+50720</f>
        <v/>
      </c>
      <c r="C5">
        <f>C4</f>
        <v/>
      </c>
      <c r="D5" s="3">
        <f>B5/C5</f>
        <v/>
      </c>
      <c r="E5">
        <f>Sources!C21+Sources!C22+Sources!C23</f>
        <v/>
      </c>
      <c r="F5" s="3">
        <f>(B5-E5)/C5</f>
        <v/>
      </c>
    </row>
    <row r="7">
      <c r="A7" t="inlineStr">
        <is>
          <t>Taux marginal sur 1 € distribué (TMI 41 %, avis BEHEM 2023 p. 68)</t>
        </is>
      </c>
      <c r="B7" t="inlineStr">
        <is>
          <t>IR : 41 % × 1,25</t>
        </is>
      </c>
      <c r="C7" s="3">
        <f>0.41*1.25</f>
        <v/>
      </c>
    </row>
    <row r="8">
      <c r="A8" t="inlineStr">
        <is>
          <t>+ prélèvements sociaux 2023-2024 (17,2 %)</t>
        </is>
      </c>
      <c r="C8" s="3">
        <f>C7+0.172</f>
        <v/>
      </c>
    </row>
    <row r="9">
      <c r="A9" t="inlineStr">
        <is>
          <t>+ prélèvements sociaux 2025 (18,6 %)</t>
        </is>
      </c>
      <c r="C9" s="3">
        <f>C7+0.186</f>
        <v/>
      </c>
    </row>
    <row r="10">
      <c r="A10" t="inlineStr">
        <is>
          <t>Repère : taux marginaux jugés conformes par le Conseil constitutionnel (QPC 2019-793, cons. 10-11)</t>
        </is>
      </c>
      <c r="C10" t="inlineStr">
        <is>
          <t>68,9 % et 73,6 %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MÉTHODE</t>
        </is>
      </c>
    </row>
    <row r="3">
      <c r="A3" t="inlineStr">
        <is>
          <t>1. Sources : propositions personnelles du 19/10/2026 (PASTEUR 222 p., BEHEM 254 p.), pages 59-84 : texte (p. 59-65) et avis correctifs (« conséquences financières » et « détail imposition »).</t>
        </is>
      </c>
    </row>
    <row r="4">
      <c r="A4" t="inlineStr">
        <is>
          <t>2. Base réellement liquidée = (revenu net imposable après − avant) ÷ 1,25. Elle est comparée à la base annoncée dans le texte (p. 62-63).</t>
        </is>
      </c>
    </row>
    <row r="5">
      <c r="A5" t="inlineStr">
        <is>
          <t>3. IR reproduit : barème de l'année (onglet Bareme), quotient familial et plafonnement (PASTEUR, 1,5 part). Reproduction à l'euro sur 5 années sur 6, 2024 BEHEM à l'euro aussi (25 720).</t>
        </is>
      </c>
    </row>
    <row r="6">
      <c r="A6" t="inlineStr">
        <is>
          <t>4. Assiette sociale : ligne « Revenus de capitaux mobiliers (44) » de chaque avis, contrôlée par CSG-CRDS notifiée ÷ taux. Rapport à la base IR non majorée = 1,00 : le 1,25 n'y est pas.</t>
        </is>
      </c>
    </row>
    <row r="7">
      <c r="A7" t="inlineStr">
        <is>
          <t>5. Coût du 1,25 (onglet Liquidation, col. K-L) : IR au même barème sur le revenu non majoré ; différence = part de l'IR due au seul coefficient ; majoration 40 % assise dessus. Enjeu, pas demande autonome.</t>
        </is>
      </c>
    </row>
    <row r="8">
      <c r="A8" t="inlineStr">
        <is>
          <t>6. Taux effectifs : valeurs CANON (supplément notifié ÷ 235 913 €) ; taux marginal 41 % × 1,25 + PS.</t>
        </is>
      </c>
    </row>
    <row r="9">
      <c r="A9" t="inlineStr">
        <is>
          <t>Droit : art. 158-7-2° CGI (LF 2021 art. 39) ; art. 200 A ; art. L. 136-6 CSS ; CC 2016-610 QPC (10/02/2017), 2017-643/650 QPC (07/07/2017), 2019-793 QPC (28/06/2019) ; CE 05/04/2024 n° 490411 ; BOI-RPPM-RCM-20-10-20-10 § 120-160 ; LFSS 2026 art. 12.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2026-10-27T09:29:07Z</dcterms:created>
  <dcterms:modified xmlns:dcterms="http://purl.org/dc/terms/" xmlns:xsi="http://www.w3.org/2001/XMLSchema-instance" xsi:type="dcterms:W3CDTF">2026-10-27T09:29:07Z</dcterms:modified>
</cp:coreProperties>
</file>