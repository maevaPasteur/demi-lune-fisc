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Mé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SOURCES : chiffres du service, lus sur les propositions (aucun n'est calculé ici)</t>
        </is>
      </c>
    </row>
    <row r="3">
      <c r="A3" s="1" t="inlineStr">
        <is>
          <t>Exercice</t>
        </is>
      </c>
      <c r="B3" t="inlineStr">
        <is>
          <t>Discordance TTC (p. 52 du 18/05/2026 ; p. 59 du 19/10/2026)</t>
        </is>
      </c>
      <c r="C3" t="inlineStr">
        <is>
          <t>Minoration TVA (p. 57 du 19/10/2026)</t>
        </is>
      </c>
      <c r="D3" t="inlineStr">
        <is>
          <t>Minoration CA HT (p. 57 du 19/10/2026)</t>
        </is>
      </c>
      <c r="E3" t="inlineStr">
        <is>
          <t>Résultat déclaré (p. 58)</t>
        </is>
      </c>
      <c r="F3" t="inlineStr">
        <is>
          <t>Résultat avant cascade (p. 58)</t>
        </is>
      </c>
      <c r="G3" t="inlineStr">
        <is>
          <t>Résultat imposable rectifié (p. 58)</t>
        </is>
      </c>
    </row>
    <row r="4">
      <c r="A4" t="inlineStr">
        <is>
          <t>2023</t>
        </is>
      </c>
      <c r="B4" t="n">
        <v>193234.55</v>
      </c>
      <c r="C4" t="n">
        <v>20421.1</v>
      </c>
      <c r="D4" t="n">
        <v>172813.45</v>
      </c>
      <c r="E4" t="n">
        <v>39543</v>
      </c>
      <c r="F4" t="n">
        <v>232397</v>
      </c>
      <c r="G4" t="n">
        <v>212356</v>
      </c>
    </row>
    <row r="5">
      <c r="A5" t="inlineStr">
        <is>
          <t>2024</t>
        </is>
      </c>
      <c r="B5" t="n">
        <v>138863.57</v>
      </c>
      <c r="C5" t="n">
        <v>14854.01</v>
      </c>
      <c r="D5" t="n">
        <v>124009.56</v>
      </c>
      <c r="E5" t="n">
        <v>3675</v>
      </c>
      <c r="F5" t="n">
        <v>142539</v>
      </c>
      <c r="G5" t="n">
        <v>127685</v>
      </c>
    </row>
    <row r="6">
      <c r="A6" t="inlineStr">
        <is>
          <t>2025</t>
        </is>
      </c>
      <c r="B6" t="n">
        <v>139727.76</v>
      </c>
      <c r="C6" t="n">
        <v>14651.59</v>
      </c>
      <c r="D6" t="n">
        <v>125076.16</v>
      </c>
      <c r="E6" t="n">
        <v>4628</v>
      </c>
      <c r="F6" t="n">
        <v>144356</v>
      </c>
      <c r="G6" t="n">
        <v>129704</v>
      </c>
    </row>
    <row r="7">
      <c r="A7" s="1" t="inlineStr">
        <is>
          <t>Total</t>
        </is>
      </c>
      <c r="B7">
        <f>SUM(B4:B6)</f>
        <v/>
      </c>
      <c r="C7">
        <f>SUM(C4:C6)</f>
        <v/>
      </c>
      <c r="D7">
        <f>SUM(D4:D6)</f>
        <v/>
      </c>
      <c r="E7">
        <f>SUM(E4:E6)</f>
        <v/>
      </c>
      <c r="F7">
        <f>SUM(F4:F6)</f>
        <v/>
      </c>
      <c r="G7">
        <f>SUM(G4:G6)</f>
        <v/>
      </c>
    </row>
    <row r="9">
      <c r="A9" s="1" t="inlineStr">
        <is>
          <t>Montants NOTIFIÉS par foyer (p. 59, 60, 62, 63 du 19/10/2026)</t>
        </is>
      </c>
    </row>
    <row r="10">
      <c r="A10" s="1" t="inlineStr">
        <is>
          <t>Exercice</t>
        </is>
      </c>
      <c r="B10" t="inlineStr">
        <is>
          <t>Part HT par co-gérant (p. 59)</t>
        </is>
      </c>
      <c r="C10" t="inlineStr">
        <is>
          <t>Part TVA par co-gérant (p. 60)</t>
        </is>
      </c>
      <c r="D10" t="inlineStr">
        <is>
          <t>Base RCM par foyer (p. 62)</t>
        </is>
      </c>
      <c r="E10" t="inlineStr">
        <is>
          <t>Assiette × 1,25 (p. 63)</t>
        </is>
      </c>
      <c r="F10" t="inlineStr">
        <is>
          <t>Supplément notifié PASTEUR</t>
        </is>
      </c>
      <c r="G10" t="inlineStr">
        <is>
          <t>Supplément notifié BEHEM</t>
        </is>
      </c>
      <c r="H10" t="inlineStr">
        <is>
          <t>dont majoration 40 % PASTEUR</t>
        </is>
      </c>
      <c r="I10" t="inlineStr">
        <is>
          <t>dont majoration 40 % BEHEM</t>
        </is>
      </c>
    </row>
    <row r="11">
      <c r="A11" t="inlineStr">
        <is>
          <t>2023</t>
        </is>
      </c>
      <c r="B11" t="n">
        <v>86407</v>
      </c>
      <c r="C11" t="n">
        <v>10210</v>
      </c>
      <c r="D11" t="n">
        <v>96617</v>
      </c>
      <c r="E11" t="n">
        <v>120771</v>
      </c>
      <c r="F11" t="n">
        <v>83391</v>
      </c>
      <c r="G11" t="n">
        <v>73859</v>
      </c>
      <c r="H11" t="n">
        <v>16277</v>
      </c>
      <c r="I11" t="n">
        <v>14356</v>
      </c>
    </row>
    <row r="12">
      <c r="A12" t="inlineStr">
        <is>
          <t>2024</t>
        </is>
      </c>
      <c r="B12" t="n">
        <v>62005</v>
      </c>
      <c r="C12" t="n">
        <v>7427</v>
      </c>
      <c r="D12" t="n">
        <v>69432</v>
      </c>
      <c r="E12" t="n">
        <v>86790</v>
      </c>
      <c r="F12" t="n">
        <v>56724</v>
      </c>
      <c r="G12" t="n">
        <v>48124</v>
      </c>
      <c r="H12" t="n">
        <v>11068</v>
      </c>
      <c r="I12" t="n">
        <v>9820</v>
      </c>
    </row>
    <row r="13">
      <c r="A13" t="inlineStr">
        <is>
          <t>2025</t>
        </is>
      </c>
      <c r="B13" t="n">
        <v>62538</v>
      </c>
      <c r="C13" t="n">
        <v>7326</v>
      </c>
      <c r="D13" t="n">
        <v>69864</v>
      </c>
      <c r="E13" t="n">
        <v>87330</v>
      </c>
      <c r="F13" t="n">
        <v>56830</v>
      </c>
      <c r="G13" t="n">
        <v>50720</v>
      </c>
      <c r="H13" t="n">
        <v>10947</v>
      </c>
      <c r="I13" t="n">
        <v>9756</v>
      </c>
    </row>
    <row r="14">
      <c r="A14" s="1" t="inlineStr">
        <is>
          <t>Total</t>
        </is>
      </c>
      <c r="B14">
        <f>SUM(B11:B13)</f>
        <v/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 : chaque résultat est une FORMULE chaînée à l'onglet Sources</t>
        </is>
      </c>
    </row>
    <row r="3">
      <c r="A3" s="1" t="inlineStr">
        <is>
          <t>1. La base distribuée est le décalque de la reconstitution (TTC = HT + TVA ; base par foyer = TTC ÷ 2)</t>
        </is>
      </c>
    </row>
    <row r="4">
      <c r="A4" t="inlineStr">
        <is>
          <t>Exercice</t>
        </is>
      </c>
      <c r="B4" t="inlineStr">
        <is>
          <t>HT + TVA (recalculé)</t>
        </is>
      </c>
      <c r="C4" t="inlineStr">
        <is>
          <t>Écart vs TTC du service</t>
        </is>
      </c>
      <c r="D4" t="inlineStr">
        <is>
          <t>TTC ÷ 2 (recalculé)</t>
        </is>
      </c>
      <c r="E4" t="inlineStr">
        <is>
          <t>Écart vs base RCM notifiée</t>
        </is>
      </c>
      <c r="F4" t="inlineStr">
        <is>
          <t>HT ÷ 2</t>
        </is>
      </c>
      <c r="G4" t="inlineStr">
        <is>
          <t>Écart vs part HT notifiée</t>
        </is>
      </c>
      <c r="H4" t="inlineStr">
        <is>
          <t>TVA ÷ 2</t>
        </is>
      </c>
      <c r="I4" t="inlineStr">
        <is>
          <t>Écart vs part TVA notifiée (troncature)</t>
        </is>
      </c>
    </row>
    <row r="5">
      <c r="A5" t="inlineStr">
        <is>
          <t>2023</t>
        </is>
      </c>
      <c r="B5">
        <f>Sources!D4+Sources!C4</f>
        <v/>
      </c>
      <c r="C5">
        <f>ROUND(B5-Sources!B4,2)</f>
        <v/>
      </c>
      <c r="D5">
        <f>ROUND(Sources!B4/2,0)</f>
        <v/>
      </c>
      <c r="E5">
        <f>D5-Sources!D11</f>
        <v/>
      </c>
      <c r="F5">
        <f>Sources!D4/2</f>
        <v/>
      </c>
      <c r="G5">
        <f>ROUND(F5-Sources!B11,2)</f>
        <v/>
      </c>
      <c r="H5">
        <f>Sources!C4/2</f>
        <v/>
      </c>
      <c r="I5">
        <f>ROUND(H5-Sources!C11,2)</f>
        <v/>
      </c>
    </row>
    <row r="6">
      <c r="A6" t="inlineStr">
        <is>
          <t>2024</t>
        </is>
      </c>
      <c r="B6">
        <f>Sources!D5+Sources!C5</f>
        <v/>
      </c>
      <c r="C6">
        <f>ROUND(B6-Sources!B5,2)</f>
        <v/>
      </c>
      <c r="D6">
        <f>ROUND(Sources!B5/2,0)</f>
        <v/>
      </c>
      <c r="E6">
        <f>D6-Sources!D12</f>
        <v/>
      </c>
      <c r="F6">
        <f>Sources!D5/2</f>
        <v/>
      </c>
      <c r="G6">
        <f>ROUND(F6-Sources!B12,2)</f>
        <v/>
      </c>
      <c r="H6">
        <f>Sources!C5/2</f>
        <v/>
      </c>
      <c r="I6">
        <f>ROUND(H6-Sources!C12,2)</f>
        <v/>
      </c>
    </row>
    <row r="7">
      <c r="A7" t="inlineStr">
        <is>
          <t>2025</t>
        </is>
      </c>
      <c r="B7">
        <f>Sources!D6+Sources!C6</f>
        <v/>
      </c>
      <c r="C7">
        <f>ROUND(B7-Sources!B6,2)</f>
        <v/>
      </c>
      <c r="D7">
        <f>ROUND(Sources!B6/2,0)</f>
        <v/>
      </c>
      <c r="E7">
        <f>D7-Sources!D13</f>
        <v/>
      </c>
      <c r="F7">
        <f>Sources!D6/2</f>
        <v/>
      </c>
      <c r="G7">
        <f>ROUND(F7-Sources!B13,2)</f>
        <v/>
      </c>
      <c r="H7">
        <f>Sources!C6/2</f>
        <v/>
      </c>
      <c r="I7">
        <f>ROUND(H7-Sources!C13,2)</f>
        <v/>
      </c>
    </row>
    <row r="8">
      <c r="A8" t="inlineStr">
        <is>
          <t>Total</t>
        </is>
      </c>
      <c r="B8">
        <f>SUM(B5:B7)</f>
        <v/>
      </c>
      <c r="C8" t="inlineStr"/>
      <c r="D8">
        <f>SUM(D5:D7)</f>
        <v/>
      </c>
      <c r="E8">
        <f>D8-Sources!D14</f>
        <v/>
      </c>
      <c r="F8">
        <f>SUM(F5:F7)</f>
        <v/>
      </c>
      <c r="G8" t="inlineStr"/>
      <c r="H8">
        <f>SUM(H5:H7)</f>
        <v/>
      </c>
      <c r="I8" t="inlineStr"/>
    </row>
    <row r="10">
      <c r="A10" s="1" t="inlineStr">
        <is>
          <t>2. Le rehaussement de BÉNÉFICE (art. 109-1-1° et 110 du CGI) = résultat rectifié − résultat déclaré = minoration HT : la TVA n'en fait pas partie (cascade L. 77 appliquée)</t>
        </is>
      </c>
    </row>
    <row r="11">
      <c r="A11" t="inlineStr">
        <is>
          <t>Exercice</t>
        </is>
      </c>
      <c r="B11" t="inlineStr">
        <is>
          <t>Rehaussement de bénéfice (rectifié − déclaré)</t>
        </is>
      </c>
      <c r="C11" t="inlineStr">
        <is>
          <t>Écart vs minoration HT arrondie</t>
        </is>
      </c>
      <c r="D11" t="inlineStr">
        <is>
          <t>Cascade déduite (avant cascade − rectifié)</t>
        </is>
      </c>
      <c r="E11" t="inlineStr">
        <is>
          <t>Écart cascade vs TVA rappelée</t>
        </is>
      </c>
    </row>
    <row r="12">
      <c r="A12" t="inlineStr">
        <is>
          <t>2023</t>
        </is>
      </c>
      <c r="B12">
        <f>Sources!G4-Sources!E4</f>
        <v/>
      </c>
      <c r="C12">
        <f>B12-ROUND(Sources!D4,0)</f>
        <v/>
      </c>
      <c r="D12">
        <f>Sources!F4-Sources!G4</f>
        <v/>
      </c>
      <c r="E12">
        <f>D12-ROUND(Sources!C4,0)</f>
        <v/>
      </c>
    </row>
    <row r="13">
      <c r="A13" t="inlineStr">
        <is>
          <t>2024</t>
        </is>
      </c>
      <c r="B13">
        <f>Sources!G5-Sources!E5</f>
        <v/>
      </c>
      <c r="C13">
        <f>B13-ROUND(Sources!D5,0)</f>
        <v/>
      </c>
      <c r="D13">
        <f>Sources!F5-Sources!G5</f>
        <v/>
      </c>
      <c r="E13">
        <f>D13-ROUND(Sources!C5,0)</f>
        <v/>
      </c>
    </row>
    <row r="14">
      <c r="A14" t="inlineStr">
        <is>
          <t>2025</t>
        </is>
      </c>
      <c r="B14">
        <f>Sources!G6-Sources!E6</f>
        <v/>
      </c>
      <c r="C14">
        <f>B14-ROUND(Sources!D6,0)</f>
        <v/>
      </c>
      <c r="D14">
        <f>Sources!F6-Sources!G6</f>
        <v/>
      </c>
      <c r="E14">
        <f>D14-ROUND(Sources!C6,0)</f>
        <v/>
      </c>
    </row>
    <row r="15">
      <c r="A15" t="inlineStr">
        <is>
          <t>Total</t>
        </is>
      </c>
      <c r="B15">
        <f>SUM(B12:B14)</f>
        <v/>
      </c>
      <c r="C15" t="inlineStr"/>
      <c r="D15">
        <f>SUM(D12:D14)</f>
        <v/>
      </c>
      <c r="E15" t="inlineStr"/>
    </row>
    <row r="17">
      <c r="A17" s="1" t="inlineStr">
        <is>
          <t>3. Part de TVA imposée comme distribution (art. 109-1-2° invoqué p. 62) : enjeu par foyer et pour les deux foyers</t>
        </is>
      </c>
    </row>
    <row r="18">
      <c r="A18" t="inlineStr">
        <is>
          <t>Grandeur</t>
        </is>
      </c>
      <c r="B18" t="inlineStr">
        <is>
          <t>Montant</t>
        </is>
      </c>
    </row>
    <row r="19">
      <c r="A19" t="inlineStr">
        <is>
          <t>Part TVA par foyer, 3 ans (notifié)</t>
        </is>
      </c>
      <c r="B19">
        <f>Sources!C14</f>
        <v/>
      </c>
    </row>
    <row r="20">
      <c r="A20" t="inlineStr">
        <is>
          <t>Assiette correspondante × 1,25</t>
        </is>
      </c>
      <c r="B20">
        <f>ROUND(B19*1.25,0)</f>
        <v/>
      </c>
    </row>
    <row r="21">
      <c r="A21" t="inlineStr">
        <is>
          <t>Part TVA, deux foyers</t>
        </is>
      </c>
      <c r="B21">
        <f>2*B19</f>
        <v/>
      </c>
    </row>
    <row r="22">
      <c r="A22" t="inlineStr">
        <is>
          <t>Part HT par foyer, 3 ans (notifié)</t>
        </is>
      </c>
      <c r="B22">
        <f>Sources!B14</f>
        <v/>
      </c>
    </row>
    <row r="23">
      <c r="A23" t="inlineStr">
        <is>
          <t>Base RCM par foyer, 3 ans (notifié)</t>
        </is>
      </c>
      <c r="B23">
        <f>Sources!D14</f>
        <v/>
      </c>
    </row>
    <row r="24">
      <c r="A24" t="inlineStr">
        <is>
          <t>Contrôle : HT + TVA = base</t>
        </is>
      </c>
      <c r="B24">
        <f>B22+B19-B23</f>
        <v/>
      </c>
    </row>
    <row r="26">
      <c r="A26" s="1" t="inlineStr">
        <is>
          <t>4. Moyen subsidiaire : base distribuée par foyer et assiette × 1,25 selon la réduction de la reconstitution</t>
        </is>
      </c>
    </row>
    <row r="27">
      <c r="A27" t="inlineStr">
        <is>
          <t>Réduction</t>
        </is>
      </c>
      <c r="B27" t="inlineStr">
        <is>
          <t>Base / foyer</t>
        </is>
      </c>
      <c r="C27" t="inlineStr">
        <is>
          <t>Assiette × 1,25</t>
        </is>
      </c>
    </row>
    <row r="28">
      <c r="A28" t="inlineStr">
        <is>
          <t>0 %</t>
        </is>
      </c>
      <c r="B28">
        <f>ROUND(Sources!D14*(1-0),0)</f>
        <v/>
      </c>
      <c r="C28">
        <f>ROUND(Sources!E14*(1-0),0)</f>
        <v/>
      </c>
    </row>
    <row r="29">
      <c r="A29" t="inlineStr">
        <is>
          <t>25 %</t>
        </is>
      </c>
      <c r="B29">
        <f>ROUND(Sources!D14*(1-0.25),0)</f>
        <v/>
      </c>
      <c r="C29">
        <f>ROUND(Sources!E14*(1-0.25),0)</f>
        <v/>
      </c>
    </row>
    <row r="30">
      <c r="A30" t="inlineStr">
        <is>
          <t>50 %</t>
        </is>
      </c>
      <c r="B30">
        <f>ROUND(Sources!D14*(1-0.5),0)</f>
        <v/>
      </c>
      <c r="C30">
        <f>ROUND(Sources!E14*(1-0.5),0)</f>
        <v/>
      </c>
    </row>
    <row r="31">
      <c r="A31" t="inlineStr">
        <is>
          <t>75 %</t>
        </is>
      </c>
      <c r="B31">
        <f>ROUND(Sources!D14*(1-0.75),0)</f>
        <v/>
      </c>
      <c r="C31">
        <f>ROUND(Sources!E14*(1-0.75),0)</f>
        <v/>
      </c>
    </row>
    <row r="32">
      <c r="A32" t="inlineStr">
        <is>
          <t>100 %</t>
        </is>
      </c>
      <c r="B32">
        <f>ROUND(Sources!D14*(1-1),0)</f>
        <v/>
      </c>
      <c r="C32">
        <f>ROUND(Sources!E14*(1-1),0)</f>
        <v/>
      </c>
    </row>
    <row r="34">
      <c r="A34" s="1" t="inlineStr">
        <is>
          <t>5. Taux effectif du prélèvement personnel (supplément notifié ÷ base distribuée)</t>
        </is>
      </c>
    </row>
    <row r="35">
      <c r="A35" t="inlineStr">
        <is>
          <t>Foyer</t>
        </is>
      </c>
      <c r="B35" t="inlineStr">
        <is>
          <t>Supplément notifié</t>
        </is>
      </c>
      <c r="C35" t="inlineStr">
        <is>
          <t>Base RCM</t>
        </is>
      </c>
      <c r="D35" t="inlineStr">
        <is>
          <t>Taux effectif</t>
        </is>
      </c>
      <c r="E35" t="inlineStr">
        <is>
          <t>Majoration 40 %</t>
        </is>
      </c>
      <c r="F35" t="inlineStr">
        <is>
          <t>Taux hors majoration</t>
        </is>
      </c>
    </row>
    <row r="36">
      <c r="A36" t="inlineStr">
        <is>
          <t>PASTEUR</t>
        </is>
      </c>
      <c r="B36">
        <f>Sources!F14</f>
        <v/>
      </c>
      <c r="C36">
        <f>Sources!D14</f>
        <v/>
      </c>
      <c r="D36">
        <f>B36/C36</f>
        <v/>
      </c>
      <c r="E36">
        <f>Sources!H14</f>
        <v/>
      </c>
      <c r="F36">
        <f>(B36-E36)/C36</f>
        <v/>
      </c>
    </row>
    <row r="37">
      <c r="A37" t="inlineStr">
        <is>
          <t>BEHEM</t>
        </is>
      </c>
      <c r="B37">
        <f>Sources!G14</f>
        <v/>
      </c>
      <c r="C37">
        <f>Sources!D14</f>
        <v/>
      </c>
      <c r="D37">
        <f>B37/C37</f>
        <v/>
      </c>
      <c r="E37">
        <f>Sources!I14</f>
        <v/>
      </c>
      <c r="F37">
        <f>(B37-E37)/C37</f>
        <v/>
      </c>
    </row>
    <row r="38">
      <c r="A38" t="inlineStr">
        <is>
          <t>Deux foyers</t>
        </is>
      </c>
      <c r="B38">
        <f>B36+B37</f>
        <v/>
      </c>
      <c r="C38">
        <f>C36+C37</f>
        <v/>
      </c>
      <c r="D38">
        <f>B38/C38</f>
        <v/>
      </c>
      <c r="E38">
        <f>E36+E37</f>
        <v/>
      </c>
      <c r="F38">
        <f>(B38-E38)/C38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 : d'où vient chaque chiffre</t>
        </is>
      </c>
    </row>
    <row r="2">
      <c r="A2" t="inlineStr">
        <is>
          <t>1. Discordances TTC, minorations HT et TVA, résultats déclarés / avant cascade / rectifiés : lus sur les propositions personnelles du 19/10/2026 (p. 52 du 18/05 reprise ; p. 57, 58, 59, 60, 62, 63). Aucun n'est recalculé dans l'onglet Sources.</t>
        </is>
      </c>
    </row>
    <row r="3">
      <c r="A3" t="inlineStr">
        <is>
          <t>2. Onglet Calcul § 1 : HT + TVA redonne le TTC du service (écart 0,00 €) ; TTC ÷ 2 redonne la base RCM notifiée par foyer (écart 0 €) ; HT ÷ 2 et TVA ÷ 2 redonnent les parts notifiées (la part TVA 2023 est tronquée par le service : 10 210,55 → 10 210).</t>
        </is>
      </c>
    </row>
    <row r="4">
      <c r="A4" t="inlineStr">
        <is>
          <t>3. Onglet Calcul § 2 : le rehaussement de bénéfice retenu pour l'IS (résultat rectifié − résultat déclaré) est égal à la minoration HT, parce que la TVA rappelée est déduite en cascade (art. L. 77 du LPF). Le bénéfice réputé distribué au sens des art. 109-1-1° et 110 du CGI ne peut donc pas contenir la TVA (CE 9e-10e ch., 19/07/2024, n° 491690). Nota : la cascade 2023 ressort à 20 041 € contre 20 421 € de TVA rappelée (écart 380 €), à vérifier sur l'original.</t>
        </is>
      </c>
    </row>
    <row r="5">
      <c r="A5" t="inlineStr">
        <is>
          <t>4. Onglet Calcul § 3 : enjeu de la part de TVA imposée au titre de l'art. 109-1-2° : 24 963 € de base par foyer (31 204 € d'assiette après × 1,25), 49 926 € pour les deux foyers.</t>
        </is>
      </c>
    </row>
    <row r="6">
      <c r="A6" t="inlineStr">
        <is>
          <t>5. Onglet Calcul § 4 : moyen subsidiaire, base par foyer = 235 913 € × (1 − taux de réduction). Les arrondis suivent ROUND( ;0).</t>
        </is>
      </c>
    </row>
    <row r="7">
      <c r="A7" t="inlineStr">
        <is>
          <t>6. Onglet Calcul § 5 : taux effectifs = suppléments notifiés (PDF scannés, non recalculés : l'IR au barème dépend du revenu propre de chaque foyer) ÷ base distribuée.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2026-10-27T09:26:11Z</dcterms:created>
  <dcterms:modified xmlns:dcterms="http://purl.org/dc/terms/" xmlns:xsi="http://www.w3.org/2001/XMLSchema-instance" xsi:type="dcterms:W3CDTF">2026-10-27T09:26:11Z</dcterms:modified>
</cp:coreProperties>
</file>