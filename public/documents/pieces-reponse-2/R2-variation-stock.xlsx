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Méth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 &quot;€&quot;;-# ##0.00 &quot;€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8B2"/>
      </patternFill>
    </fill>
    <fill>
      <patternFill patternType="solid">
        <fgColor rgb="00D7E8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70" customWidth="1" min="6" max="6"/>
  </cols>
  <sheetData>
    <row r="1">
      <c r="A1" s="1" t="inlineStr">
        <is>
          <t>Sources — pages récapitulatives datées des inventaires (p. 1 de chaque PDF) et variations retenues par le service</t>
        </is>
      </c>
    </row>
    <row r="3">
      <c r="A3" s="2" t="inlineStr">
        <is>
          <t>1. Postes BOISSONS lus sur les récapitulatifs datés</t>
        </is>
      </c>
    </row>
    <row r="4">
      <c r="A4" s="3" t="inlineStr">
        <is>
          <t>Clôture</t>
        </is>
      </c>
      <c r="B4" s="3" t="inlineStr">
        <is>
          <t>Boissons sans alcool (€)</t>
        </is>
      </c>
      <c r="C4" s="3" t="inlineStr">
        <is>
          <t>Vins &amp; Alcools (€)</t>
        </is>
      </c>
      <c r="D4" s="3" t="inlineStr">
        <is>
          <t>Total boissons IMPRIMÉ (€)</t>
        </is>
      </c>
      <c r="E4" s="3" t="inlineStr">
        <is>
          <t>Total inventaire IMPRIMÉ toutes familles (€)</t>
        </is>
      </c>
      <c r="F4" s="3" t="inlineStr">
        <is>
          <t>Source (récapitulatif daté, page 1)</t>
        </is>
      </c>
    </row>
    <row r="5">
      <c r="A5" s="4" t="inlineStr">
        <is>
          <t>31/03/2022</t>
        </is>
      </c>
      <c r="B5" s="4" t="n"/>
      <c r="C5" s="4" t="n"/>
      <c r="D5" s="4" t="n"/>
      <c r="E5" s="4" t="n"/>
      <c r="F5" s="5" t="inlineStr">
        <is>
          <t>Inventaire d'ouverture 31/03/2022 NON PRODUIT — postes boissons indisponibles</t>
        </is>
      </c>
    </row>
    <row r="6">
      <c r="A6" s="4" t="inlineStr">
        <is>
          <t>31/03/2023</t>
        </is>
      </c>
      <c r="B6" s="6" t="n">
        <v>727.7</v>
      </c>
      <c r="C6" s="6" t="n">
        <v>3050.29</v>
      </c>
      <c r="D6" s="4" t="n"/>
      <c r="E6" s="6" t="n">
        <v>7030.61</v>
      </c>
      <c r="F6" s="5" t="inlineStr">
        <is>
          <t>Inventaire_Demi_Lune_2023-03-31.pdf : « BOISSONS SANS ALCOOL 727,70 € », « ALCOOLS ET VINS 3 050,29 € » ; aucun sous-total boissons imprimé, seul TOTAL mixte 7 030,61 €</t>
        </is>
      </c>
    </row>
    <row r="7">
      <c r="A7" s="4" t="inlineStr">
        <is>
          <t>31/03/2024</t>
        </is>
      </c>
      <c r="B7" s="6" t="n">
        <v>870.59</v>
      </c>
      <c r="C7" s="6" t="n">
        <v>3937.07</v>
      </c>
      <c r="D7" s="6" t="n">
        <v>4807.6</v>
      </c>
      <c r="E7" s="6" t="n">
        <v>9873.07</v>
      </c>
      <c r="F7" s="5" t="inlineStr">
        <is>
          <t>Inventaire_Demi_Lune_2024-03-31.pdf : « Boissons sans alcool 870,59 € », « Vins &amp; Alcools 3 937,07 € », « Total : 4 807,60 € » ; TOTAL INVENTAIRE 9 873,07 €</t>
        </is>
      </c>
    </row>
    <row r="8">
      <c r="A8" s="4" t="inlineStr">
        <is>
          <t>31/03/2025</t>
        </is>
      </c>
      <c r="B8" s="6" t="n">
        <v>765.74</v>
      </c>
      <c r="C8" s="6" t="n">
        <v>3768.51</v>
      </c>
      <c r="D8" s="6" t="n">
        <v>4534.25</v>
      </c>
      <c r="E8" s="6" t="n">
        <v>9774.17</v>
      </c>
      <c r="F8" s="5" t="inlineStr">
        <is>
          <t>Inventaire_Demi_Lune_2025-03-31.pdf : « sans alcool 765,74 € », « Vins et Alcools 3 768,51 € », « BOISSONS 4 534,25 € » ; TOTAL 9 774,17 €</t>
        </is>
      </c>
    </row>
    <row r="10">
      <c r="A10" s="2" t="inlineStr">
        <is>
          <t>2. Variation de stock BOISSONS retenue par le service (SI − SF, compte 310200)</t>
        </is>
      </c>
    </row>
    <row r="11">
      <c r="A11" s="3" t="inlineStr">
        <is>
          <t>Exercice clos le</t>
        </is>
      </c>
      <c r="B11" s="3" t="inlineStr">
        <is>
          <t>Variation stocks Boissons retenue (€)</t>
        </is>
      </c>
      <c r="C11" s="3" t="inlineStr">
        <is>
          <t>Source</t>
        </is>
      </c>
    </row>
    <row r="12">
      <c r="A12" s="4" t="inlineStr">
        <is>
          <t>31/03/2023</t>
        </is>
      </c>
      <c r="B12" s="6" t="n">
        <v>-800.83</v>
      </c>
      <c r="C12" s="5" t="inlineStr">
        <is>
          <t>Proposition_1_Lettre.txt p.34-35 ; synthèse 04-rejet-comptabilite-3.md : « Variation stocks Boissons − 800,83 € »</t>
        </is>
      </c>
    </row>
    <row r="13">
      <c r="A13" s="4" t="inlineStr">
        <is>
          <t>31/03/2024</t>
        </is>
      </c>
      <c r="B13" s="6" t="n">
        <v>-1029.67</v>
      </c>
      <c r="C13" s="5" t="inlineStr">
        <is>
          <t>idem : « − 1 029,67 € » (colonne 31/03/2024)</t>
        </is>
      </c>
    </row>
    <row r="14">
      <c r="A14" s="4" t="inlineStr">
        <is>
          <t>31/03/2025</t>
        </is>
      </c>
      <c r="B14" s="6" t="n">
        <v>-273.41</v>
      </c>
      <c r="C14" s="5" t="inlineStr">
        <is>
          <t>idem : « − 273,41 € » (colonne 31/03/2025) ; repris aussi Proposition_4_Annexes_Finales.txt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8" customWidth="1" min="7" max="7"/>
  </cols>
  <sheetData>
    <row r="1">
      <c r="A1" s="1" t="inlineStr">
        <is>
          <t>Calcul — reconstitution de la variation de stock boissons (SI − SF) PAR FORMULE, à partir de l'onglet Sources</t>
        </is>
      </c>
    </row>
    <row r="3">
      <c r="A3" s="2" t="inlineStr">
        <is>
          <t>A. Stock final boissons à chaque clôture : somme des deux sous-lignes vs total imprimé</t>
        </is>
      </c>
    </row>
    <row r="4">
      <c r="A4" s="3" t="inlineStr">
        <is>
          <t>Clôture</t>
        </is>
      </c>
      <c r="B4" s="3" t="inlineStr">
        <is>
          <t>Somme sous-lignes (sans alcool + vins/alcools)</t>
        </is>
      </c>
      <c r="C4" s="3" t="inlineStr">
        <is>
          <t>Total boissons imprimé</t>
        </is>
      </c>
      <c r="D4" s="3" t="inlineStr">
        <is>
          <t>Écart interne au document (somme − imprimé)</t>
        </is>
      </c>
    </row>
    <row r="5">
      <c r="A5" s="4" t="inlineStr">
        <is>
          <t>31/03/2023</t>
        </is>
      </c>
      <c r="B5" s="6">
        <f>Sources!B6+Sources!C6</f>
        <v/>
      </c>
      <c r="C5" s="6">
        <f>IF(Sources!D6="","aucun total boissons imprimé",Sources!D6)</f>
        <v/>
      </c>
      <c r="D5" s="7">
        <f>IF(Sources!D6="","n/a (pas de total imprimé)",ROUND(B5-Sources!D6,2))</f>
        <v/>
      </c>
    </row>
    <row r="6">
      <c r="A6" s="4" t="inlineStr">
        <is>
          <t>31/03/2024</t>
        </is>
      </c>
      <c r="B6" s="6">
        <f>Sources!B7+Sources!C7</f>
        <v/>
      </c>
      <c r="C6" s="6">
        <f>Sources!D7</f>
        <v/>
      </c>
      <c r="D6" s="8">
        <f>IF(Sources!D7="","n/a (pas de total imprimé)",ROUND(B6-Sources!D7,2))</f>
        <v/>
      </c>
    </row>
    <row r="7">
      <c r="A7" s="4" t="inlineStr">
        <is>
          <t>31/03/2025</t>
        </is>
      </c>
      <c r="B7" s="6">
        <f>Sources!B8+Sources!C8</f>
        <v/>
      </c>
      <c r="C7" s="6">
        <f>Sources!D8</f>
        <v/>
      </c>
      <c r="D7" s="7">
        <f>IF(Sources!D8="","n/a (pas de total imprimé)",ROUND(B7-Sources!D8,2))</f>
        <v/>
      </c>
    </row>
    <row r="9">
      <c r="A9" s="2" t="inlineStr">
        <is>
          <t>B. Variation de stock boissons par exercice : SI − SF, comparée à la variation retenue par le service</t>
        </is>
      </c>
    </row>
    <row r="10">
      <c r="A10" s="3" t="inlineStr">
        <is>
          <t>Exercice</t>
        </is>
      </c>
      <c r="B10" s="3" t="inlineStr">
        <is>
          <t>Stock initial SI (€)</t>
        </is>
      </c>
      <c r="C10" s="3" t="inlineStr">
        <is>
          <t>Stock final SF (€)</t>
        </is>
      </c>
      <c r="D10" s="3" t="inlineStr">
        <is>
          <t>Variation SI − SF (convention 310200)</t>
        </is>
      </c>
      <c r="E10" s="3" t="inlineStr">
        <is>
          <t>Variation retenue par le service (€)</t>
        </is>
      </c>
      <c r="F10" s="3" t="inlineStr">
        <is>
          <t>Écart SI−SF vs service (€)</t>
        </is>
      </c>
      <c r="G10" s="3" t="inlineStr">
        <is>
          <t>Lecture</t>
        </is>
      </c>
    </row>
    <row r="11">
      <c r="A11" s="4" t="inlineStr">
        <is>
          <t>2022-2023 (clos 31/03/2023)</t>
        </is>
      </c>
      <c r="B11" s="7" t="inlineStr">
        <is>
          <t>non disponible</t>
        </is>
      </c>
      <c r="C11" s="6">
        <f>B5</f>
        <v/>
      </c>
      <c r="D11" s="7" t="inlineStr">
        <is>
          <t>non calculable</t>
        </is>
      </c>
      <c r="E11" s="6">
        <f>Sources!B12</f>
        <v/>
      </c>
      <c r="F11" s="7" t="inlineStr">
        <is>
          <t>non calculable</t>
        </is>
      </c>
      <c r="G11" s="5" t="inlineStr">
        <is>
          <t>Pas d'inventaire au 31/03/2022 : le −800,83 € du service n'est ni vérifiable ni réfutable sur nos états</t>
        </is>
      </c>
    </row>
    <row r="12">
      <c r="A12" s="4" t="inlineStr">
        <is>
          <t>2023-2024 (clos 31/03/2024)</t>
        </is>
      </c>
      <c r="B12" s="6">
        <f>B5</f>
        <v/>
      </c>
      <c r="C12" s="6">
        <f>B6</f>
        <v/>
      </c>
      <c r="D12" s="9">
        <f>ROUND(B12-C12,2)</f>
        <v/>
      </c>
      <c r="E12" s="6">
        <f>Sources!B13</f>
        <v/>
      </c>
      <c r="F12" s="6">
        <f>ROUND(D12-E12,2)</f>
        <v/>
      </c>
      <c r="G12" s="5" t="inlineStr">
        <is>
          <t>Concordance au centime avec la SOMME des sous-lignes ; écart de 0,06 € avec le total boissons imprimé (4 807,60 €)</t>
        </is>
      </c>
    </row>
    <row r="13">
      <c r="A13" s="4" t="inlineStr">
        <is>
          <t>2024-2025 (clos 31/03/2025)</t>
        </is>
      </c>
      <c r="B13" s="6">
        <f>B6</f>
        <v/>
      </c>
      <c r="C13" s="6">
        <f>B7</f>
        <v/>
      </c>
      <c r="D13" s="6">
        <f>ROUND(B13-C13,2)</f>
        <v/>
      </c>
      <c r="E13" s="6">
        <f>Sources!B14</f>
        <v/>
      </c>
      <c r="F13" s="10">
        <f>ROUND(D13-E13,2)</f>
        <v/>
      </c>
      <c r="G13" s="5" t="inlineStr">
        <is>
          <t>Même magnitude (273,41 €) mais SIGNE INVERSÉ : stock en baisse =&gt; SI−SF positif, le service a porté −273,41 €. Écart 546,82 €, favorable au restaurant (minore le disponible)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Méthode — d'où vient chaque chiffre</t>
        </is>
      </c>
    </row>
    <row r="2"/>
    <row r="3">
      <c r="A3" t="inlineStr">
        <is>
          <t>Objet : vérifier, pièce en main, la variation de stock BOISSONS que le service additionne aux achats</t>
        </is>
      </c>
    </row>
    <row r="4">
      <c r="A4" t="inlineStr">
        <is>
          <t>pour obtenir le « volume disponible » (formule p. 74 : disponible = achats + variation de stock, compte 310200).</t>
        </is>
      </c>
    </row>
    <row r="5"/>
    <row r="6">
      <c r="A6" t="inlineStr">
        <is>
          <t>Convention de signe (plan comptable) : variation de stock = stock initial (SI) − stock final (SF).</t>
        </is>
      </c>
    </row>
    <row r="7">
      <c r="A7" t="inlineStr">
        <is>
          <t>Un stock qui AUGMENTE donne une variation NÉGATIVE (elle réduit le disponible) ; un stock qui BAISSE donne une variation POSITIVE.</t>
        </is>
      </c>
    </row>
    <row r="8"/>
    <row r="9">
      <c r="A9" t="inlineStr">
        <is>
          <t>1. Postes boissons (onglet Sources, bloc 1) : relevés sur la page récapitulative datée (page 1) de chaque inventaire PDF.</t>
        </is>
      </c>
    </row>
    <row r="10">
      <c r="A10" t="inlineStr">
        <is>
          <t xml:space="preserve">   - 31/03/2023 : le récapitulatif n'imprime AUCUN sous-total « boissons » ; seul figure le TOTAL mixte 7 030,61 €.</t>
        </is>
      </c>
    </row>
    <row r="11">
      <c r="A11" t="inlineStr">
        <is>
          <t xml:space="preserve">     Le poste boissons 3 777,99 € est donc une SOMME que nous reconstituons (727,70 + 3 050,29), non un total imprimé.</t>
        </is>
      </c>
    </row>
    <row r="12">
      <c r="A12" t="inlineStr">
        <is>
          <t xml:space="preserve">   - 31/03/2024 : le récapitulatif imprime « Total : 4 807,60 € », alors que la somme de ses deux sous-lignes</t>
        </is>
      </c>
    </row>
    <row r="13">
      <c r="A13" t="inlineStr">
        <is>
          <t xml:space="preserve">     (870,59 + 3 937,07) vaut 4 807,66 €. Le document est donc INTERNEMENT INCOHÉRENT de 0,06 € (onglet Calcul, bloc A).</t>
        </is>
      </c>
    </row>
    <row r="14">
      <c r="A14" t="inlineStr">
        <is>
          <t xml:space="preserve">     Le total inventaire imprimé (9 873,07 €) est d'ailleurs bâti sur 4 807,60 €, pas sur 4 807,66 €.</t>
        </is>
      </c>
    </row>
    <row r="15">
      <c r="A15" t="inlineStr">
        <is>
          <t xml:space="preserve">   - 31/03/2025 : le récapitulatif imprime « BOISSONS 4 534,25 € », égal à la somme de ses sous-lignes (765,74 + 3 768,51). Cohérent.</t>
        </is>
      </c>
    </row>
    <row r="16"/>
    <row r="17">
      <c r="A17" t="inlineStr">
        <is>
          <t>2. Variations retenues par le service (onglet Sources, bloc 2) : lues au tableau des coefficients, Proposition p. 34-35</t>
        </is>
      </c>
    </row>
    <row r="18">
      <c r="A18" t="inlineStr">
        <is>
          <t xml:space="preserve">   (synthèse 04-rejet-comptabilite-3.md) : −800,83 € / −1 029,67 € / −273,41 € pour les clôtures 2023 / 2024 / 2025.</t>
        </is>
      </c>
    </row>
    <row r="19"/>
    <row r="20">
      <c r="A20" t="inlineStr">
        <is>
          <t>3. Calcul SI − SF par exercice (onglet Calcul, bloc B), PAR FORMULE à partir des sommes de sous-lignes :</t>
        </is>
      </c>
    </row>
    <row r="21">
      <c r="A21" t="inlineStr">
        <is>
          <t xml:space="preserve">   - 2023-2024 : SI = 3 777,99 € (31/03/2023), SF = 4 807,66 € (somme 31/03/2024) =&gt; SI−SF = −1 029,67 €.</t>
        </is>
      </c>
    </row>
    <row r="22">
      <c r="A22" t="inlineStr">
        <is>
          <t xml:space="preserve">     C'est EXACTEMENT la variation retenue par le service (−1 029,67 €) : le service a donc utilisé la somme des</t>
        </is>
      </c>
    </row>
    <row r="23">
      <c r="A23" t="inlineStr">
        <is>
          <t xml:space="preserve">     sous-lignes, pas le total imprimé. Contre le total imprimé (4 807,60 €), l'écart serait de 0,06 €.</t>
        </is>
      </c>
    </row>
    <row r="24">
      <c r="A24" t="inlineStr">
        <is>
          <t xml:space="preserve">   - 2024-2025 : SI = 4 807,66 €, SF = 4 534,25 € =&gt; SI−SF = +273,41 €. Le service a porté −273,41 €.</t>
        </is>
      </c>
    </row>
    <row r="25">
      <c r="A25" t="inlineStr">
        <is>
          <t xml:space="preserve">     La MAGNITUDE concorde, le SIGNE est inversé. Écart = 546,82 €. Cette anomalie MINORE le disponible : elle joue</t>
        </is>
      </c>
    </row>
    <row r="26">
      <c r="A26" t="inlineStr">
        <is>
          <t xml:space="preserve">     en faveur du restaurant. Appliquer la convention de façon cohérente AUGMENTERAIT la base 2024-2025 ; le restaurant ne le demande pas.</t>
        </is>
      </c>
    </row>
    <row r="27">
      <c r="A27" t="inlineStr">
        <is>
          <t xml:space="preserve">   - 2022-2023 : SI = stock au 31/03/2022, NON PRODUIT. La variation −800,83 € du service n'est ni vérifiable ni réfutable ici.</t>
        </is>
      </c>
    </row>
    <row r="28"/>
    <row r="29">
      <c r="A29" t="inlineStr">
        <is>
          <t>Portée de la vérification :</t>
        </is>
      </c>
    </row>
    <row r="30">
      <c r="A30" t="inlineStr">
        <is>
          <t xml:space="preserve">   - La concordance au centime n'est établie que pour UN exercice (2023-2024) et pour les seules BOISSONS.</t>
        </is>
      </c>
    </row>
    <row r="31">
      <c r="A31" t="inlineStr">
        <is>
          <t xml:space="preserve">   - Elle montre que les CHIFFRES utilisés par le service proviennent de ces inventaires ; elle NE prouve PAS, à elle seule,</t>
        </is>
      </c>
    </row>
    <row r="32">
      <c r="A32" t="inlineStr">
        <is>
          <t xml:space="preserve">     la régularité FORMELLE des états (datés, signés, exhaustifs, arrêtés à la clôture, non reconstitués a posteriori).</t>
        </is>
      </c>
    </row>
    <row r="33">
      <c r="A33" t="inlineStr">
        <is>
          <t xml:space="preserve">   - Les inventaires de DENRÉES (+526,38 / −1 646,54 / −430,25 €) ne sont PAS rapprochés ici faute d'inventaire alimentaire détaillé.</t>
        </is>
      </c>
    </row>
    <row r="34"/>
    <row r="35">
      <c r="A35" t="inlineStr">
        <is>
          <t>Litres : toute conversion en litres suppose une table de contenances. Plusieurs lignes (fûts Affligem notamment) ne portent</t>
        </is>
      </c>
    </row>
    <row r="36">
      <c r="A36" t="inlineStr">
        <is>
          <t>pas de contenance imprimée et devraient être déduites du prix unitaire : conversion NON déterminée, écartée de la présente pièce.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2026-10-25T19:06:20Z</dcterms:created>
  <dcterms:modified xmlns:dcterms="http://purl.org/dc/terms/" xmlns:xsi="http://www.w3.org/2001/XMLSchema-instance" xsi:type="dcterms:W3CDTF">2026-10-25T19:06:40Z</dcterms:modified>
</cp:coreProperties>
</file>