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ources" sheetId="1" state="visible" r:id="rId1"/>
    <sheet xmlns:r="http://schemas.openxmlformats.org/officeDocument/2006/relationships" name="Calcul" sheetId="2" state="visible" r:id="rId2"/>
    <sheet xmlns:r="http://schemas.openxmlformats.org/officeDocument/2006/relationships" name="Methode" sheetId="3" state="visible" r:id="rId3"/>
    <sheet xmlns:r="http://schemas.openxmlformats.org/officeDocument/2006/relationships" name="Controle p34"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 ##0.00&quot; €&quot;;\-#\ ##0.00&quot; €&quot;"/>
    <numFmt numFmtId="165" formatCode="0.00&quot; %&quot;"/>
  </numFmts>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3"/>
    </font>
    <font>
      <name val="Cambria"/>
      <charset val="1"/>
      <family val="0"/>
      <i val="1"/>
      <color rgb="FF555555"/>
      <sz val="9"/>
    </font>
    <font>
      <name val="Cambria"/>
      <charset val="1"/>
      <family val="0"/>
      <b val="1"/>
      <sz val="11"/>
    </font>
    <font>
      <b val="1"/>
    </font>
  </fonts>
  <fills count="4">
    <fill>
      <patternFill/>
    </fill>
    <fill>
      <patternFill patternType="gray125"/>
    </fill>
    <fill>
      <patternFill patternType="solid">
        <fgColor rgb="FFE8EEF4"/>
        <bgColor rgb="FFE3F2E7"/>
      </patternFill>
    </fill>
    <fill>
      <patternFill patternType="solid">
        <fgColor rgb="FFE3F2E7"/>
        <bgColor rgb="FFE8EEF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2" borderId="1" applyAlignment="1" pivotButton="0" quotePrefix="0" xfId="0">
      <alignment horizontal="general" vertical="center" wrapText="1"/>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6" fillId="0" borderId="0" applyAlignment="1" pivotButton="0" quotePrefix="0" xfId="0">
      <alignment horizontal="general" vertical="bottom"/>
    </xf>
    <xf numFmtId="165" fontId="0" fillId="0" borderId="1" applyAlignment="1" pivotButton="0" quotePrefix="0" xfId="0">
      <alignment horizontal="general" vertical="bottom"/>
    </xf>
    <xf numFmtId="0" fontId="6" fillId="3" borderId="1" applyAlignment="1" pivotButton="0" quotePrefix="0" xfId="0">
      <alignment horizontal="general" vertical="bottom"/>
    </xf>
    <xf numFmtId="164" fontId="6" fillId="3" borderId="1" applyAlignment="1" pivotButton="0" quotePrefix="0" xfId="0">
      <alignment horizontal="general" vertical="bottom"/>
    </xf>
    <xf numFmtId="165" fontId="6" fillId="3" borderId="1" applyAlignment="1" pivotButton="0" quotePrefix="0" xfId="0">
      <alignment horizontal="general" vertical="bottom"/>
    </xf>
    <xf numFmtId="0" fontId="0" fillId="0" borderId="0" applyAlignment="1" pivotButton="0" quotePrefix="0" xfId="0">
      <alignment horizontal="general" vertical="bottom" wrapText="1"/>
    </xf>
    <xf numFmtId="0" fontId="6"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2" borderId="1" applyAlignment="1" pivotButton="0" quotePrefix="0" xfId="0">
      <alignment horizontal="general" vertical="center" wrapText="1"/>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6" fillId="0" borderId="0" applyAlignment="1" pivotButton="0" quotePrefix="0" xfId="0">
      <alignment horizontal="general" vertical="bottom"/>
    </xf>
    <xf numFmtId="165" fontId="0" fillId="0" borderId="1" applyAlignment="1" pivotButton="0" quotePrefix="0" xfId="0">
      <alignment horizontal="general" vertical="bottom"/>
    </xf>
    <xf numFmtId="0" fontId="6" fillId="3" borderId="1" applyAlignment="1" pivotButton="0" quotePrefix="0" xfId="0">
      <alignment horizontal="general" vertical="bottom"/>
    </xf>
    <xf numFmtId="164" fontId="6" fillId="3" borderId="1" applyAlignment="1" pivotButton="0" quotePrefix="0" xfId="0">
      <alignment horizontal="general" vertical="bottom"/>
    </xf>
    <xf numFmtId="165" fontId="6" fillId="3" borderId="1" applyAlignment="1" pivotButton="0" quotePrefix="0" xfId="0">
      <alignment horizontal="general" vertical="bottom"/>
    </xf>
    <xf numFmtId="0" fontId="0" fillId="0" borderId="0" applyAlignment="1" pivotButton="0" quotePrefix="0" xfId="0">
      <alignment horizontal="general" vertical="bottom" wrapText="1"/>
    </xf>
    <xf numFmtId="0" fontId="6" fillId="0" borderId="0" applyAlignment="1" pivotButton="0" quotePrefix="0" xfId="0">
      <alignment horizontal="general" vertical="bottom" wrapText="1"/>
    </xf>
    <xf numFmtId="0" fontId="7"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EF4"/>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E3F2E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20" customWidth="1" style="13" min="2" max="2"/>
    <col width="24" customWidth="1" style="13" min="3" max="3"/>
    <col width="26" customWidth="1" style="13" min="4" max="4"/>
    <col width="24" customWidth="1" style="13" min="5" max="5"/>
    <col width="52" customWidth="1" style="13" min="6" max="6"/>
  </cols>
  <sheetData>
    <row r="1" ht="16.15" customHeight="1" s="14">
      <c r="A1" s="15" t="inlineStr">
        <is>
          <t>R2 - Variation de stock boissons (compte 310200) : sources</t>
        </is>
      </c>
    </row>
    <row r="2" ht="42" customHeight="1" s="14">
      <c r="A2" s="16" t="inlineStr">
        <is>
          <t>Chiffres relevés sur la proposition de rectification, tableau « XVII - COMPTABILITÉ NON SINCÈRE / COEFFICIENTS », p. 34 (comptabilité) et p. 35 (post-reconstitution), identiques. Stocks boissons relevés sur les pages récapitulatives datées des trois inventaires (PDF joints).</t>
        </is>
      </c>
    </row>
    <row r="4" ht="28.35" customHeight="1" s="14">
      <c r="A4" s="17" t="inlineStr">
        <is>
          <t>Exercice clos</t>
        </is>
      </c>
      <c r="B4" s="17" t="inlineStr">
        <is>
          <t>Achats Boissons 601200 (€)</t>
        </is>
      </c>
      <c r="C4" s="17" t="inlineStr">
        <is>
          <t>Variation stock 310200 (€, signe du service)</t>
        </is>
      </c>
      <c r="D4" s="17" t="inlineStr">
        <is>
          <t>Stock boissons initial, page datée (€)</t>
        </is>
      </c>
      <c r="E4" s="17" t="inlineStr">
        <is>
          <t>Stock boissons final, page datée (€)</t>
        </is>
      </c>
      <c r="F4" s="17" t="inlineStr">
        <is>
          <t>Source</t>
        </is>
      </c>
    </row>
    <row r="5" ht="15" customHeight="1" s="14">
      <c r="A5" s="18" t="inlineStr">
        <is>
          <t>31/03/2023</t>
        </is>
      </c>
      <c r="B5" s="19" t="n">
        <v>48237.09</v>
      </c>
      <c r="C5" s="19" t="n">
        <v>-800.83</v>
      </c>
      <c r="D5" s="18" t="inlineStr">
        <is>
          <t>stock au 31/03/2022 non détenu</t>
        </is>
      </c>
      <c r="E5" s="19" t="n">
        <v>3777.99</v>
      </c>
      <c r="F5" s="18" t="inlineStr">
        <is>
          <t>p.34-35 ; SF = recap 31/03/2023 (727,70 + 3 050,29)</t>
        </is>
      </c>
    </row>
    <row r="6" ht="15" customHeight="1" s="14">
      <c r="A6" s="18" t="inlineStr">
        <is>
          <t>31/03/2024</t>
        </is>
      </c>
      <c r="B6" s="19" t="n">
        <v>46384.45</v>
      </c>
      <c r="C6" s="19" t="n">
        <v>-1029.67</v>
      </c>
      <c r="D6" s="19" t="n">
        <v>3777.99</v>
      </c>
      <c r="E6" s="19" t="n">
        <v>4807.66</v>
      </c>
      <c r="F6" s="18" t="inlineStr">
        <is>
          <t>p.34-35 ; SF = recap 31/03/2024 (870,59 + 3 937,07 ; imprimé 4 807,60)</t>
        </is>
      </c>
    </row>
    <row r="7" ht="15" customHeight="1" s="14">
      <c r="A7" s="18" t="inlineStr">
        <is>
          <t>31/03/2025</t>
        </is>
      </c>
      <c r="B7" s="19" t="n">
        <v>47098.84</v>
      </c>
      <c r="C7" s="19" t="n">
        <v>-273.41</v>
      </c>
      <c r="D7" s="19" t="n">
        <v>4807.66</v>
      </c>
      <c r="E7" s="19" t="n">
        <v>4534.25</v>
      </c>
      <c r="F7" s="18" t="inlineStr">
        <is>
          <t>p.34-35 ; SF = recap 31/03/2025 (765,74 + 3 768,51)</t>
        </is>
      </c>
    </row>
  </sheetData>
  <mergeCells count="1">
    <mergeCell ref="A2:F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3" min="1" max="3"/>
    <col width="28" customWidth="1" style="13" min="4" max="4"/>
    <col width="30" customWidth="1" style="13" min="5" max="5"/>
    <col width="16" customWidth="1" style="13" min="6" max="6"/>
  </cols>
  <sheetData>
    <row r="1" ht="16.15" customHeight="1" s="14">
      <c r="A1" s="15" t="inlineStr">
        <is>
          <t>R2 - Variation de stock boissons : calcul par formule</t>
        </is>
      </c>
    </row>
    <row r="3" ht="15" customHeight="1" s="14">
      <c r="A3" s="20" t="inlineStr">
        <is>
          <t>1. Le stock est plat : variation cumulée rapportée aux achats (preuve « pas de cave cachée »)</t>
        </is>
      </c>
    </row>
    <row r="5" ht="28.35" customHeight="1" s="14">
      <c r="A5" s="17" t="inlineStr">
        <is>
          <t>Exercice</t>
        </is>
      </c>
      <c r="B5" s="17" t="inlineStr">
        <is>
          <t>Achats 601200 (€)</t>
        </is>
      </c>
      <c r="C5" s="17" t="inlineStr">
        <is>
          <t>Variation 310200 (€)</t>
        </is>
      </c>
      <c r="D5" s="17" t="inlineStr">
        <is>
          <t>|variation| / achats</t>
        </is>
      </c>
      <c r="E5" s="17" t="inlineStr">
        <is>
          <t>Consommation = achats + variation (€)</t>
        </is>
      </c>
      <c r="F5" s="17" t="inlineStr">
        <is>
          <t>Conso / achats</t>
        </is>
      </c>
    </row>
    <row r="6" ht="15" customHeight="1" s="14">
      <c r="A6" s="18">
        <f>Sources!A5</f>
        <v/>
      </c>
      <c r="B6" s="19">
        <f>Sources!B5</f>
        <v/>
      </c>
      <c r="C6" s="19">
        <f>Sources!C5</f>
        <v/>
      </c>
      <c r="D6" s="21">
        <f>ABS(C6)/B6*100</f>
        <v/>
      </c>
      <c r="E6" s="19">
        <f>B6+C6</f>
        <v/>
      </c>
      <c r="F6" s="21">
        <f>E6/B6*100</f>
        <v/>
      </c>
    </row>
    <row r="7" ht="15" customHeight="1" s="14">
      <c r="A7" s="18">
        <f>Sources!A6</f>
        <v/>
      </c>
      <c r="B7" s="19">
        <f>Sources!B6</f>
        <v/>
      </c>
      <c r="C7" s="19">
        <f>Sources!C6</f>
        <v/>
      </c>
      <c r="D7" s="21">
        <f>ABS(C7)/B7*100</f>
        <v/>
      </c>
      <c r="E7" s="19">
        <f>B7+C7</f>
        <v/>
      </c>
      <c r="F7" s="21">
        <f>E7/B7*100</f>
        <v/>
      </c>
    </row>
    <row r="8" ht="15" customHeight="1" s="14">
      <c r="A8" s="18">
        <f>Sources!A7</f>
        <v/>
      </c>
      <c r="B8" s="19">
        <f>Sources!B7</f>
        <v/>
      </c>
      <c r="C8" s="19">
        <f>Sources!C7</f>
        <v/>
      </c>
      <c r="D8" s="21">
        <f>ABS(C8)/B8*100</f>
        <v/>
      </c>
      <c r="E8" s="19">
        <f>B8+C8</f>
        <v/>
      </c>
      <c r="F8" s="21">
        <f>E8/B8*100</f>
        <v/>
      </c>
    </row>
    <row r="9" ht="15" customHeight="1" s="14">
      <c r="A9" s="22" t="inlineStr">
        <is>
          <t>TOTAL 3 exercices</t>
        </is>
      </c>
      <c r="B9" s="23">
        <f>SUM(B6:B8)</f>
        <v/>
      </c>
      <c r="C9" s="23">
        <f>SUM(C6:C8)</f>
        <v/>
      </c>
      <c r="D9" s="24">
        <f>ABS(C9)/B9*100</f>
        <v/>
      </c>
      <c r="E9" s="23">
        <f>SUM(E6:E8)</f>
        <v/>
      </c>
      <c r="F9" s="24">
        <f>E9/B9*100</f>
        <v/>
      </c>
    </row>
    <row r="11" ht="42" customHeight="1" s="14">
      <c r="A11" s="16" t="inlineStr">
        <is>
          <t>Lecture : variation cumulée de −2 103,91 € sur 141 720,38 € d'achats, soit 1,48 %. Par l'identité « consommation = achats + variation de stock », 98,52 % des achats sont consommés : le stock n'absorbe rien, aucune bouteille n'est mise en réserve.</t>
        </is>
      </c>
    </row>
    <row r="14" ht="15" customHeight="1" s="14">
      <c r="A14" s="20" t="inlineStr">
        <is>
          <t>2. La variation du service est, au centime, la différence des inventaires datés (SI − SF)</t>
        </is>
      </c>
    </row>
    <row r="16" ht="28.35" customHeight="1" s="14">
      <c r="A16" s="17" t="inlineStr">
        <is>
          <t>Exercice</t>
        </is>
      </c>
      <c r="B16" s="17" t="inlineStr">
        <is>
          <t>Stock initial (€)</t>
        </is>
      </c>
      <c r="C16" s="17" t="inlineStr">
        <is>
          <t>Stock final (€)</t>
        </is>
      </c>
      <c r="D16" s="17" t="inlineStr">
        <is>
          <t>SI − SF (convention PCG) (€)</t>
        </is>
      </c>
      <c r="E16" s="17" t="inlineStr">
        <is>
          <t>Variation retenue par le service (€)</t>
        </is>
      </c>
      <c r="F16" s="17" t="inlineStr">
        <is>
          <t>Écart</t>
        </is>
      </c>
    </row>
    <row r="17" ht="15" customHeight="1" s="14">
      <c r="A17" s="18">
        <f>Sources!A5</f>
        <v/>
      </c>
      <c r="B17" s="18" t="inlineStr">
        <is>
          <t>stock 31/03/2022 non détenu</t>
        </is>
      </c>
      <c r="C17" s="19">
        <f>Sources!E5</f>
        <v/>
      </c>
      <c r="D17" s="18" t="inlineStr">
        <is>
          <t>non calculable</t>
        </is>
      </c>
      <c r="E17" s="19">
        <f>Sources!C5</f>
        <v/>
      </c>
      <c r="F17" s="18" t="inlineStr">
        <is>
          <t>non vérifiable</t>
        </is>
      </c>
    </row>
    <row r="18" ht="15" customHeight="1" s="14">
      <c r="A18" s="18">
        <f>Sources!A6</f>
        <v/>
      </c>
      <c r="B18" s="19">
        <f>Sources!D6</f>
        <v/>
      </c>
      <c r="C18" s="19">
        <f>Sources!E6</f>
        <v/>
      </c>
      <c r="D18" s="19">
        <f>B18-C18</f>
        <v/>
      </c>
      <c r="E18" s="19">
        <f>Sources!C6</f>
        <v/>
      </c>
      <c r="F18" s="19">
        <f>D18-E18</f>
        <v/>
      </c>
    </row>
    <row r="19" ht="15" customHeight="1" s="14">
      <c r="A19" s="18">
        <f>Sources!A7</f>
        <v/>
      </c>
      <c r="B19" s="19">
        <f>Sources!D7</f>
        <v/>
      </c>
      <c r="C19" s="19">
        <f>Sources!E7</f>
        <v/>
      </c>
      <c r="D19" s="19">
        <f>B19-C19</f>
        <v/>
      </c>
      <c r="E19" s="19">
        <f>Sources!C7</f>
        <v/>
      </c>
      <c r="F19" s="19">
        <f>D19-E19</f>
        <v/>
      </c>
    </row>
    <row r="20" ht="42" customHeight="1" s="14">
      <c r="A20" s="16" t="inlineStr">
        <is>
          <t>2023-2024 : SI − SF = 3 777,99 − 4 807,66 = −1 029,67 €, égal au service (écart 0,00 €). 2024-2025 : SI − SF = +273,41 € ; le service a porté −273,41 € (montant égal, signe inversé en sa défaveur de 546,82 €, non revendiqué).</t>
        </is>
      </c>
    </row>
  </sheetData>
  <mergeCells count="2">
    <mergeCell ref="A20:F20"/>
    <mergeCell ref="A11:F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13" min="1" max="1"/>
  </cols>
  <sheetData>
    <row r="1" ht="16.15" customHeight="1" s="14">
      <c r="A1" s="15" t="inlineStr">
        <is>
          <t>R2 - Variation de stock 310200 : méthode et sources</t>
        </is>
      </c>
    </row>
    <row r="3" ht="28.35" customHeight="1" s="14">
      <c r="A3" s="25" t="inlineStr">
        <is>
          <t>Objet : établir que, sur les trois exercices vérifiés, le stock de boissons est plat, et que la variation de stock retenue par le service procède, au centime, des inventaires datés de la société.</t>
        </is>
      </c>
    </row>
    <row r="4" ht="15" customHeight="1" s="14">
      <c r="A4" s="25" t="n"/>
    </row>
    <row r="5" ht="15" customHeight="1" s="14">
      <c r="A5" s="26" t="inlineStr">
        <is>
          <t>Sources chiffrées (aucun chiffre reconstitué) :</t>
        </is>
      </c>
    </row>
    <row r="6" ht="28.35" customHeight="1" s="14">
      <c r="A6" s="25" t="inlineStr">
        <is>
          <t>- Achats Boissons (compte 601 200) et Variation stocks Boissons (compte 310 200) : proposition de rectification, p. 34 (tableau comptabilité) et p. 35 (post-reconstitution), valeurs identiques.</t>
        </is>
      </c>
    </row>
    <row r="7" ht="15" customHeight="1" s="14">
      <c r="A7" s="25" t="inlineStr">
        <is>
          <t>- Stock boissons de clôture : pages récapitulatives datées des inventaires au 31/03/2023, 31/03/2024 et 31/03/2025 (PDF joints au dossier).</t>
        </is>
      </c>
    </row>
    <row r="8" ht="15" customHeight="1" s="14">
      <c r="A8" s="25" t="n"/>
    </row>
    <row r="9" ht="28.35" customHeight="1" s="14">
      <c r="A9" s="25" t="inlineStr">
        <is>
          <t>Convention : la variation de stock additionnée aux achats est, par le plan comptable, le stock initial diminué du stock final (SI − SF). Un stock qui augmente donne une variation négative, qui réduit la consommation.</t>
        </is>
      </c>
    </row>
    <row r="10" ht="15" customHeight="1" s="14">
      <c r="A10" s="25" t="n"/>
    </row>
    <row r="11" ht="15" customHeight="1" s="14">
      <c r="A11" s="26" t="inlineStr">
        <is>
          <t>Résultats verrouillés :</t>
        </is>
      </c>
    </row>
    <row r="12" ht="15" customHeight="1" s="14">
      <c r="A12" s="25" t="inlineStr">
        <is>
          <t>- Achats boissons 3 ans = 141 720,38 € ; variation cumulée = −2 103,91 € ; |variation|/achats = 1,48 %.</t>
        </is>
      </c>
    </row>
    <row r="13" ht="15" customHeight="1" s="14">
      <c r="A13" s="25" t="inlineStr">
        <is>
          <t>- Consommation = achats + variation = 139 616,47 €, soit 98,52 % des achats consommés.</t>
        </is>
      </c>
    </row>
    <row r="14" ht="15" customHeight="1" s="14">
      <c r="A14" s="25" t="inlineStr">
        <is>
          <t>- 2023-2024 : SI − SF = 3 777,99 − 4 807,66 = −1 029,67 €, identique au service.</t>
        </is>
      </c>
    </row>
    <row r="15" ht="15" customHeight="1" s="14">
      <c r="A15" s="25" t="inlineStr">
        <is>
          <t>- 2024-2025 : SI − SF = +273,41 € ; service −273,41 € (signe inversé, 546,82 € en faveur du restaurant, non revendiqué).</t>
        </is>
      </c>
    </row>
    <row r="16" ht="15" customHeight="1" s="14">
      <c r="A16" s="25" t="inlineStr">
        <is>
          <t>- 2022-2023 : stock d'ouverture au 31/03/2022 non détenu ; le −800,83 € du service n'est pas vérifiable par la chaîne.</t>
        </is>
      </c>
    </row>
    <row r="17" ht="15" customHeight="1" s="14">
      <c r="A17" s="25" t="n"/>
    </row>
    <row r="18" ht="28.35" customHeight="1" s="14">
      <c r="A18" s="25" t="inlineStr">
        <is>
          <t>Portée : ces chiffres prouvent l'absence de stock caché (stock plat) et que le service a exploité les inventaires de la société. Ils ne valent pas, à eux seuls, preuve de la régularité formelle des états (date, signature, exhaustivité).</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62" customWidth="1" style="14" min="1" max="1"/>
    <col width="22" customWidth="1" style="14" min="2" max="2"/>
    <col width="22" customWidth="1" style="14" min="3" max="3"/>
    <col width="22" customWidth="1" style="14" min="4" max="4"/>
    <col width="18" customWidth="1" style="14" min="5" max="5"/>
  </cols>
  <sheetData>
    <row r="1">
      <c r="A1" s="27" t="inlineStr">
        <is>
          <t>R2 - Contrôle du tableau « XVII - COMPTABILITÉ NON SINCÈRE / COEFFICIENTS » (proposition du 18/05/2026, p. 34, repris p. 35)</t>
        </is>
      </c>
    </row>
    <row r="2">
      <c r="A2" t="inlineStr">
        <is>
          <t>Les cinq lignes du tableau sont recopiées telles qu'imprimées (vérifiées sur le scan de la p. 34). La ligne « Coût d'achats des matières des produits vendus » est ensuite recalculée par formule : achats denrées + achats boissons + variation denrées + variation boissons (identité achats + variation = consommation).</t>
        </is>
      </c>
    </row>
    <row r="4">
      <c r="A4" s="27" t="inlineStr">
        <is>
          <t>Ligne du tableau (p. 34)</t>
        </is>
      </c>
      <c r="B4" s="27" t="inlineStr">
        <is>
          <t>Exercice clos 31/03/2023</t>
        </is>
      </c>
      <c r="C4" s="27" t="inlineStr">
        <is>
          <t>Exercice clos 31/03/2024</t>
        </is>
      </c>
      <c r="D4" s="27" t="inlineStr">
        <is>
          <t>Exercice clos 31/03/2025</t>
        </is>
      </c>
      <c r="E4" s="27" t="inlineStr">
        <is>
          <t>Source</t>
        </is>
      </c>
    </row>
    <row r="5">
      <c r="A5" t="inlineStr">
        <is>
          <t>TOTAL CHIFFRE D'AFFAIRES TTC (inclus 706 800 Pourboire)</t>
        </is>
      </c>
      <c r="B5" t="n">
        <v>404030.87</v>
      </c>
      <c r="C5" t="n">
        <v>438658.43</v>
      </c>
      <c r="D5" t="n">
        <v>435524.92</v>
      </c>
      <c r="E5" t="inlineStr">
        <is>
          <t>p. 34, imprimé</t>
        </is>
      </c>
    </row>
    <row r="6">
      <c r="A6" t="inlineStr">
        <is>
          <t>Compte 601 100 - Achats denrées</t>
        </is>
      </c>
      <c r="B6" t="n">
        <v>127473.87</v>
      </c>
      <c r="C6" t="n">
        <v>137971.41</v>
      </c>
      <c r="D6" t="n">
        <v>142129.11</v>
      </c>
      <c r="E6" t="inlineStr">
        <is>
          <t>p. 34, imprimé</t>
        </is>
      </c>
    </row>
    <row r="7">
      <c r="A7" t="inlineStr">
        <is>
          <t>Compte 601 200 - Achats Boissons</t>
        </is>
      </c>
      <c r="B7" t="n">
        <v>48237.09</v>
      </c>
      <c r="C7" t="n">
        <v>46384.45</v>
      </c>
      <c r="D7" t="n">
        <v>47098.84</v>
      </c>
      <c r="E7" t="inlineStr">
        <is>
          <t>p. 34, imprimé</t>
        </is>
      </c>
    </row>
    <row r="8">
      <c r="A8" t="inlineStr">
        <is>
          <t>Variation stocks Denrées</t>
        </is>
      </c>
      <c r="B8" t="n">
        <v>526.38</v>
      </c>
      <c r="C8" t="n">
        <v>-1646.54</v>
      </c>
      <c r="D8" t="n">
        <v>-430.25</v>
      </c>
      <c r="E8" t="inlineStr">
        <is>
          <t>p. 34, imprimé</t>
        </is>
      </c>
    </row>
    <row r="9">
      <c r="A9" t="inlineStr">
        <is>
          <t>Variation stocks Boissons</t>
        </is>
      </c>
      <c r="B9" t="n">
        <v>-800.83</v>
      </c>
      <c r="C9" t="n">
        <v>-1029.67</v>
      </c>
      <c r="D9" t="n">
        <v>-273.41</v>
      </c>
      <c r="E9" t="inlineStr">
        <is>
          <t>p. 34, imprimé</t>
        </is>
      </c>
    </row>
    <row r="10">
      <c r="A10" t="inlineStr">
        <is>
          <t>Coût d'achats des matières des produits vendus (IMPRIMÉ)</t>
        </is>
      </c>
      <c r="B10" t="n">
        <v>175436.51</v>
      </c>
      <c r="C10" t="n">
        <v>183679.65</v>
      </c>
      <c r="D10" t="n">
        <v>188544.29</v>
      </c>
      <c r="E10" t="inlineStr">
        <is>
          <t>p. 34, imprimé</t>
        </is>
      </c>
    </row>
    <row r="11">
      <c r="A11" t="inlineStr">
        <is>
          <t>COEFFICIENT DE REVENTE (Comptabilité) (IMPRIMÉ)</t>
        </is>
      </c>
      <c r="B11" t="n">
        <v>2.303</v>
      </c>
      <c r="C11" t="n">
        <v>2.388</v>
      </c>
      <c r="D11" t="n">
        <v>2.31</v>
      </c>
      <c r="E11" t="inlineStr">
        <is>
          <t>p. 34, imprimé</t>
        </is>
      </c>
    </row>
    <row r="13">
      <c r="A13" s="27" t="inlineStr">
        <is>
          <t>Coût d'achats RECALCULÉ = B6+B7+B8+B9</t>
        </is>
      </c>
      <c r="B13">
        <f>ROUND(B6+B7+B8+B9,2)</f>
        <v/>
      </c>
      <c r="C13">
        <f>ROUND(C6+C7+C8+C9,2)</f>
        <v/>
      </c>
      <c r="D13">
        <f>ROUND(D6+D7+D8+D9,2)</f>
        <v/>
      </c>
      <c r="E13" t="inlineStr">
        <is>
          <t>formule</t>
        </is>
      </c>
    </row>
    <row r="14">
      <c r="A14" t="inlineStr">
        <is>
          <t>Écart imprimé − recalculé (€)</t>
        </is>
      </c>
      <c r="B14">
        <f>ROUND(B10-B13,2)</f>
        <v/>
      </c>
      <c r="C14">
        <f>ROUND(C10-C13,2)</f>
        <v/>
      </c>
      <c r="D14">
        <f>ROUND(D10-D13,2)</f>
        <v/>
      </c>
      <c r="E14" t="inlineStr">
        <is>
          <t>formule</t>
        </is>
      </c>
    </row>
    <row r="15">
      <c r="A15" t="inlineStr">
        <is>
          <t>Coefficient RECALCULÉ = CA TTC / coût recalculé</t>
        </is>
      </c>
      <c r="B15">
        <f>ROUND(B5/B13,3)</f>
        <v/>
      </c>
      <c r="C15">
        <f>ROUND(C5/C13,3)</f>
        <v/>
      </c>
      <c r="D15">
        <f>ROUND(D5/D13,3)</f>
        <v/>
      </c>
      <c r="E15" t="inlineStr">
        <is>
          <t>formule</t>
        </is>
      </c>
    </row>
    <row r="16">
      <c r="A16" t="inlineStr">
        <is>
          <t>Coefficient obtenu avec le coût IMPRIMÉ = CA TTC / coût imprimé</t>
        </is>
      </c>
      <c r="B16">
        <f>ROUND(B5/B10,3)</f>
        <v/>
      </c>
      <c r="C16">
        <f>ROUND(C5/C10,3)</f>
        <v/>
      </c>
      <c r="D16">
        <f>ROUND(D5/D10,3)</f>
        <v/>
      </c>
      <c r="E16" t="inlineStr">
        <is>
          <t>formule</t>
        </is>
      </c>
    </row>
    <row r="18">
      <c r="A18" t="inlineStr">
        <is>
          <t>Lecture : 2022-2023 exact (écart 0,00 €). 2023-2024 : la ligne imprimée (183 679,65 €) excède de 2 000,00 € la somme de ses quatre composantes (181 679,65 €) ; le coefficient imprimé 2,388 est bien CA / 183 679,65, le coefficient cohérent avec les lignes imprimées serait 2,414. 2024-2025 : écart de 20,00 € (188 544,29 imprimé contre 188 524,29 recalculé), coefficient 2,310 inchangé à l'arrondi. Sans incidence sur le chiffre d'affaires reconstitué, qui n'est pas bâti sur ce tableau ; le tableau imprimé n'est pas arithmétiquement vérifié par son auteur.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2026-10-25T21:18:44Z</dcterms:created>
  <dcterms:modified xmlns:dcterms="http://purl.org/dc/terms/" xmlns:xsi="http://www.w3.org/2001/XMLSchema-instance" xsi:type="dcterms:W3CDTF">2026-10-27T08:03:38Z</dcterms:modified>
  <cp:revision>0</cp:revision>
</cp:coreProperties>
</file>