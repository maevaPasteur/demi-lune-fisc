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s" sheetId="1" state="visible" r:id="rId3"/>
    <sheet name="Calcul" sheetId="2" state="visible" r:id="rId4"/>
    <sheet name="Method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<sst xmlns="http://schemas.openxmlformats.org/spreadsheetml/2006/main" count="49" uniqueCount="48">
  <si>
    <t xml:space="preserve">R2 - Variation de stock boissons (compte 310200) : sources</t>
  </si>
  <si>
    <t xml:space="preserve">Chiffres relevés sur la proposition de rectification, tableau « XVII - COMPTABILITÉ NON SINCÈRE / COEFFICIENTS », p. 34 (comptabilité) et p. 35 (post-reconstitution), identiques. Stocks boissons relevés sur les pages récapitulatives datées des trois inventaires (PDF joints).</t>
  </si>
  <si>
    <t xml:space="preserve">Exercice clos</t>
  </si>
  <si>
    <t xml:space="preserve">Achats Boissons 601200 (€)</t>
  </si>
  <si>
    <t xml:space="preserve">Variation stock 310200 (€, signe du service)</t>
  </si>
  <si>
    <t xml:space="preserve">Stock boissons initial, page datée (€)</t>
  </si>
  <si>
    <t xml:space="preserve">Stock boissons final, page datée (€)</t>
  </si>
  <si>
    <t xml:space="preserve">Source</t>
  </si>
  <si>
    <t xml:space="preserve">31/03/2023</t>
  </si>
  <si>
    <t xml:space="preserve">stock au 31/03/2022 non détenu</t>
  </si>
  <si>
    <t xml:space="preserve">p.34-35 ; SF = recap 31/03/2023 (727,70 + 3 050,29)</t>
  </si>
  <si>
    <t xml:space="preserve">31/03/2024</t>
  </si>
  <si>
    <t xml:space="preserve">p.34-35 ; SF = recap 31/03/2024 (870,59 + 3 937,07 ; imprimé 4 807,60)</t>
  </si>
  <si>
    <t xml:space="preserve">31/03/2025</t>
  </si>
  <si>
    <t xml:space="preserve">p.34-35 ; SF = recap 31/03/2025 (765,74 + 3 768,51)</t>
  </si>
  <si>
    <t xml:space="preserve">R2 - Variation de stock boissons : calcul par formule</t>
  </si>
  <si>
    <t xml:space="preserve">1. Le stock est plat : variation cumulée rapportée aux achats (preuve « pas de cave cachée »)</t>
  </si>
  <si>
    <t xml:space="preserve">Exercice</t>
  </si>
  <si>
    <t xml:space="preserve">Achats 601200 (€)</t>
  </si>
  <si>
    <t xml:space="preserve">Variation 310200 (€)</t>
  </si>
  <si>
    <t xml:space="preserve">|variation| / achats</t>
  </si>
  <si>
    <t xml:space="preserve">Consommation = achats + variation (€)</t>
  </si>
  <si>
    <t xml:space="preserve">Conso / achats</t>
  </si>
  <si>
    <t xml:space="preserve">TOTAL 3 exercices</t>
  </si>
  <si>
    <t xml:space="preserve">Lecture : variation cumulée de −2 103,91 € sur 141 720,38 € d'achats, soit 1,48 %. Par l'identité « consommation = achats + variation de stock », 98,52 % des achats sont consommés : le stock n'absorbe rien, aucune bouteille n'est mise en réserve.</t>
  </si>
  <si>
    <t xml:space="preserve">2. La variation du service est, au centime, la différence des inventaires datés (SI − SF)</t>
  </si>
  <si>
    <t xml:space="preserve">Stock initial (€)</t>
  </si>
  <si>
    <t xml:space="preserve">Stock final (€)</t>
  </si>
  <si>
    <t xml:space="preserve">SI − SF (convention PCG) (€)</t>
  </si>
  <si>
    <t xml:space="preserve">Variation retenue par le service (€)</t>
  </si>
  <si>
    <t xml:space="preserve">Écart</t>
  </si>
  <si>
    <t xml:space="preserve">stock 31/03/2022 non détenu</t>
  </si>
  <si>
    <t xml:space="preserve">non calculable</t>
  </si>
  <si>
    <t xml:space="preserve">non vérifiable</t>
  </si>
  <si>
    <t xml:space="preserve">2023-2024 : SI − SF = 3 777,99 − 4 807,66 = −1 029,67 €, égal au service (écart 0,00 €). 2024-2025 : SI − SF = +273,41 € ; le service a porté −273,41 € (montant égal, signe inversé en sa défaveur de 546,82 €, non revendiqué).</t>
  </si>
  <si>
    <t xml:space="preserve">R2 - Variation de stock 310200 : méthode et sources</t>
  </si>
  <si>
    <t xml:space="preserve">Objet : établir que, sur les trois exercices vérifiés, le stock de boissons est plat, et que la variation de stock retenue par le service procède, au centime, des inventaires datés de la société.</t>
  </si>
  <si>
    <t xml:space="preserve">Sources chiffrées (aucun chiffre reconstitué) :</t>
  </si>
  <si>
    <t xml:space="preserve">- Achats Boissons (compte 601 200) et Variation stocks Boissons (compte 310 200) : proposition de rectification, p. 34 (tableau comptabilité) et p. 35 (post-reconstitution), valeurs identiques.</t>
  </si>
  <si>
    <t xml:space="preserve">- Stock boissons de clôture : pages récapitulatives datées des inventaires au 31/03/2023, 31/03/2024 et 31/03/2025 (PDF joints au dossier).</t>
  </si>
  <si>
    <t xml:space="preserve">Convention : la variation de stock additionnée aux achats est, par le plan comptable, le stock initial diminué du stock final (SI − SF). Un stock qui augmente donne une variation négative, qui réduit la consommation.</t>
  </si>
  <si>
    <t xml:space="preserve">Résultats verrouillés :</t>
  </si>
  <si>
    <t xml:space="preserve">- Achats boissons 3 ans = 141 720,38 € ; variation cumulée = −2 103,91 € ; |variation|/achats = 1,48 %.</t>
  </si>
  <si>
    <t xml:space="preserve">- Consommation = achats + variation = 139 616,47 €, soit 98,52 % des achats consommés.</t>
  </si>
  <si>
    <t xml:space="preserve">- 2023-2024 : SI − SF = 3 777,99 − 4 807,66 = −1 029,67 €, identique au service.</t>
  </si>
  <si>
    <t xml:space="preserve">- 2024-2025 : SI − SF = +273,41 € ; service −273,41 € (signe inversé, 546,82 € en faveur du restaurant, non revendiqué).</t>
  </si>
  <si>
    <t xml:space="preserve">- 2022-2023 : stock d'ouverture au 31/03/2022 non détenu ; le −800,83 € du service n'est pas vérifiable par la chaîne.</t>
  </si>
  <si>
    <t xml:space="preserve">Portée : ces chiffres prouvent l'absence de stock caché (stock plat) et que le service a exploité les inventaires de la société. Ils ne valent pas, à eux seuls, preuve de la régularité formelle des états (date, signature, exhaustivité).</t>
  </si>
</sst>
</file>

<file path=xl/styles.xml><?xml version="1.0" encoding="utf-8"?>
<styleSheet xmlns="http://schemas.openxmlformats.org/spreadsheetml/2006/main">
  <numFmts count="3">
    <numFmt numFmtId="164" formatCode="General"/>
    <numFmt numFmtId="165" formatCode="#\ ##0.00&quot; €&quot;;\-#\ ##0.00&quot; €&quot;"/>
    <numFmt numFmtId="166" formatCode="0.00&quot; %&quot;"/>
  </numFmts>
  <fonts count="7">
    <font>
      <sz val="11"/>
      <color theme="1"/>
      <name val="Calibri"/>
      <family val="2"/>
      <charset val="1"/>
    </font>
    <font>
      <sz val="10"/>
      <name val="Arial"/>
      <family val="0"/>
    </font>
    <font>
      <sz val="10"/>
      <name val="Arial"/>
      <family val="0"/>
    </font>
    <font>
      <sz val="10"/>
      <name val="Arial"/>
      <family val="0"/>
    </font>
    <font>
      <b val="true"/>
      <sz val="13"/>
      <name val="Cambria"/>
      <family val="0"/>
      <charset val="1"/>
    </font>
    <font>
      <i val="true"/>
      <sz val="9"/>
      <color rgb="FF555555"/>
      <name val="Cambria"/>
      <family val="0"/>
      <charset val="1"/>
    </font>
    <font>
      <b val="true"/>
      <sz val="11"/>
      <name val="Cambria"/>
      <family val="0"/>
      <charset val="1"/>
    </font>
  </fonts>
  <fills count="4">
    <fill>
      <patternFill patternType="none"/>
    </fill>
    <fill>
      <patternFill patternType="gray125"/>
    </fill>
    <fill>
      <patternFill patternType="solid">
        <fgColor rgb="FFE8EEF4"/>
        <bgColor rgb="FFE3F2E7"/>
      </patternFill>
    </fill>
    <fill>
      <patternFill patternType="solid">
        <fgColor rgb="FFE3F2E7"/>
        <bgColor rgb="FFE8EEF4"/>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6" fontId="6" fillId="3"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8EEF4"/>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E3F2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24"/>
    <col collapsed="false" customWidth="true" hidden="false" outlineLevel="0" max="4" min="4" style="0" width="26"/>
    <col collapsed="false" customWidth="true" hidden="false" outlineLevel="0" max="5" min="5" style="0" width="24"/>
    <col collapsed="false" customWidth="true" hidden="false" outlineLevel="0" max="6" min="6" style="0" width="52"/>
  </cols>
  <sheetData>
    <row r="1" customFormat="false" ht="16.15" hidden="false" customHeight="false" outlineLevel="0" collapsed="false">
      <c r="A1" s="1" t="s">
        <v>0</v>
      </c>
    </row>
    <row r="2" customFormat="false" ht="42" hidden="false" customHeight="true" outlineLevel="0" collapsed="false">
      <c r="A2" s="2" t="s">
        <v>1</v>
      </c>
      <c r="B2" s="2"/>
      <c r="C2" s="2"/>
      <c r="D2" s="2"/>
      <c r="E2" s="2"/>
      <c r="F2" s="2"/>
    </row>
    <row r="4" customFormat="false" ht="28.35" hidden="false" customHeight="false" outlineLevel="0" collapsed="false">
      <c r="A4" s="3" t="s">
        <v>2</v>
      </c>
      <c r="B4" s="3" t="s">
        <v>3</v>
      </c>
      <c r="C4" s="3" t="s">
        <v>4</v>
      </c>
      <c r="D4" s="3" t="s">
        <v>5</v>
      </c>
      <c r="E4" s="3" t="s">
        <v>6</v>
      </c>
      <c r="F4" s="3" t="s">
        <v>7</v>
      </c>
    </row>
    <row r="5" customFormat="false" ht="15" hidden="false" customHeight="false" outlineLevel="0" collapsed="false">
      <c r="A5" s="4" t="s">
        <v>8</v>
      </c>
      <c r="B5" s="5" t="n">
        <v>48237.09</v>
      </c>
      <c r="C5" s="5" t="n">
        <v>-800.83</v>
      </c>
      <c r="D5" s="4" t="s">
        <v>9</v>
      </c>
      <c r="E5" s="5" t="n">
        <v>3777.99</v>
      </c>
      <c r="F5" s="4" t="s">
        <v>10</v>
      </c>
    </row>
    <row r="6" customFormat="false" ht="15" hidden="false" customHeight="false" outlineLevel="0" collapsed="false">
      <c r="A6" s="4" t="s">
        <v>11</v>
      </c>
      <c r="B6" s="5" t="n">
        <v>46384.45</v>
      </c>
      <c r="C6" s="5" t="n">
        <v>-1029.67</v>
      </c>
      <c r="D6" s="5" t="n">
        <v>3777.99</v>
      </c>
      <c r="E6" s="5" t="n">
        <v>4807.66</v>
      </c>
      <c r="F6" s="4" t="s">
        <v>12</v>
      </c>
    </row>
    <row r="7" customFormat="false" ht="15" hidden="false" customHeight="false" outlineLevel="0" collapsed="false">
      <c r="A7" s="4" t="s">
        <v>13</v>
      </c>
      <c r="B7" s="5" t="n">
        <v>47098.84</v>
      </c>
      <c r="C7" s="5" t="n">
        <v>-273.41</v>
      </c>
      <c r="D7" s="5" t="n">
        <v>4807.66</v>
      </c>
      <c r="E7" s="5" t="n">
        <v>4534.25</v>
      </c>
      <c r="F7" s="4" t="s">
        <v>14</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22"/>
    <col collapsed="false" customWidth="true" hidden="false" outlineLevel="0" max="4" min="4" style="0" width="28"/>
    <col collapsed="false" customWidth="true" hidden="false" outlineLevel="0" max="5" min="5" style="0" width="30"/>
    <col collapsed="false" customWidth="true" hidden="false" outlineLevel="0" max="6" min="6" style="0" width="16"/>
  </cols>
  <sheetData>
    <row r="1" customFormat="false" ht="16.15" hidden="false" customHeight="false" outlineLevel="0" collapsed="false">
      <c r="A1" s="1" t="s">
        <v>15</v>
      </c>
    </row>
    <row r="3" customFormat="false" ht="15" hidden="false" customHeight="false" outlineLevel="0" collapsed="false">
      <c r="A3" s="6" t="s">
        <v>16</v>
      </c>
    </row>
    <row r="5" customFormat="false" ht="28.35" hidden="false" customHeight="false" outlineLevel="0" collapsed="false">
      <c r="A5" s="3" t="s">
        <v>17</v>
      </c>
      <c r="B5" s="3" t="s">
        <v>18</v>
      </c>
      <c r="C5" s="3" t="s">
        <v>19</v>
      </c>
      <c r="D5" s="3" t="s">
        <v>20</v>
      </c>
      <c r="E5" s="3" t="s">
        <v>21</v>
      </c>
      <c r="F5" s="3" t="s">
        <v>22</v>
      </c>
    </row>
    <row r="6" customFormat="false" ht="15" hidden="false" customHeight="false" outlineLevel="0" collapsed="false">
      <c r="A6" s="4" t="str">
        <f aca="false">Sources!A5</f>
        <v>31/03/2023</v>
      </c>
      <c r="B6" s="5" t="n">
        <f aca="false">Sources!B5</f>
        <v>48237.09</v>
      </c>
      <c r="C6" s="5" t="n">
        <f aca="false">Sources!C5</f>
        <v>-800.83</v>
      </c>
      <c r="D6" s="7" t="n">
        <f aca="false">ABS(C6)/B6*100</f>
        <v>1.66019550516003</v>
      </c>
      <c r="E6" s="5" t="n">
        <f aca="false">B6+C6</f>
        <v>47436.26</v>
      </c>
      <c r="F6" s="7" t="n">
        <f aca="false">E6/B6*100</f>
        <v>98.33980449484</v>
      </c>
    </row>
    <row r="7" customFormat="false" ht="15" hidden="false" customHeight="false" outlineLevel="0" collapsed="false">
      <c r="A7" s="4" t="str">
        <f aca="false">Sources!A6</f>
        <v>31/03/2024</v>
      </c>
      <c r="B7" s="5" t="n">
        <f aca="false">Sources!B6</f>
        <v>46384.45</v>
      </c>
      <c r="C7" s="5" t="n">
        <f aca="false">Sources!C6</f>
        <v>-1029.67</v>
      </c>
      <c r="D7" s="7" t="n">
        <f aca="false">ABS(C7)/B7*100</f>
        <v>2.2198603195683</v>
      </c>
      <c r="E7" s="5" t="n">
        <f aca="false">B7+C7</f>
        <v>45354.78</v>
      </c>
      <c r="F7" s="7" t="n">
        <f aca="false">E7/B7*100</f>
        <v>97.7801396804317</v>
      </c>
    </row>
    <row r="8" customFormat="false" ht="15" hidden="false" customHeight="false" outlineLevel="0" collapsed="false">
      <c r="A8" s="4" t="str">
        <f aca="false">Sources!A7</f>
        <v>31/03/2025</v>
      </c>
      <c r="B8" s="5" t="n">
        <f aca="false">Sources!B7</f>
        <v>47098.84</v>
      </c>
      <c r="C8" s="5" t="n">
        <f aca="false">Sources!C7</f>
        <v>-273.41</v>
      </c>
      <c r="D8" s="7" t="n">
        <f aca="false">ABS(C8)/B8*100</f>
        <v>0.580502619597425</v>
      </c>
      <c r="E8" s="5" t="n">
        <f aca="false">B8+C8</f>
        <v>46825.43</v>
      </c>
      <c r="F8" s="7" t="n">
        <f aca="false">E8/B8*100</f>
        <v>99.4194973804026</v>
      </c>
    </row>
    <row r="9" customFormat="false" ht="15" hidden="false" customHeight="false" outlineLevel="0" collapsed="false">
      <c r="A9" s="8" t="s">
        <v>23</v>
      </c>
      <c r="B9" s="9" t="n">
        <f aca="false">SUM(B6:B8)</f>
        <v>141720.38</v>
      </c>
      <c r="C9" s="9" t="n">
        <f aca="false">SUM(C6:C8)</f>
        <v>-2103.91</v>
      </c>
      <c r="D9" s="10" t="n">
        <f aca="false">ABS(C9)/B9*100</f>
        <v>1.48455006965124</v>
      </c>
      <c r="E9" s="9" t="n">
        <f aca="false">SUM(E6:E8)</f>
        <v>139616.47</v>
      </c>
      <c r="F9" s="10" t="n">
        <f aca="false">E9/B9*100</f>
        <v>98.5154499303487</v>
      </c>
    </row>
    <row r="11" customFormat="false" ht="42" hidden="false" customHeight="true" outlineLevel="0" collapsed="false">
      <c r="A11" s="2" t="s">
        <v>24</v>
      </c>
      <c r="B11" s="2"/>
      <c r="C11" s="2"/>
      <c r="D11" s="2"/>
      <c r="E11" s="2"/>
      <c r="F11" s="2"/>
    </row>
    <row r="14" customFormat="false" ht="15" hidden="false" customHeight="false" outlineLevel="0" collapsed="false">
      <c r="A14" s="6" t="s">
        <v>25</v>
      </c>
    </row>
    <row r="16" customFormat="false" ht="28.35" hidden="false" customHeight="false" outlineLevel="0" collapsed="false">
      <c r="A16" s="3" t="s">
        <v>17</v>
      </c>
      <c r="B16" s="3" t="s">
        <v>26</v>
      </c>
      <c r="C16" s="3" t="s">
        <v>27</v>
      </c>
      <c r="D16" s="3" t="s">
        <v>28</v>
      </c>
      <c r="E16" s="3" t="s">
        <v>29</v>
      </c>
      <c r="F16" s="3" t="s">
        <v>30</v>
      </c>
    </row>
    <row r="17" customFormat="false" ht="15" hidden="false" customHeight="false" outlineLevel="0" collapsed="false">
      <c r="A17" s="4" t="str">
        <f aca="false">Sources!A5</f>
        <v>31/03/2023</v>
      </c>
      <c r="B17" s="4" t="s">
        <v>31</v>
      </c>
      <c r="C17" s="5" t="n">
        <f aca="false">Sources!E5</f>
        <v>3777.99</v>
      </c>
      <c r="D17" s="4" t="s">
        <v>32</v>
      </c>
      <c r="E17" s="5" t="n">
        <f aca="false">Sources!C5</f>
        <v>-800.83</v>
      </c>
      <c r="F17" s="4" t="s">
        <v>33</v>
      </c>
    </row>
    <row r="18" customFormat="false" ht="15" hidden="false" customHeight="false" outlineLevel="0" collapsed="false">
      <c r="A18" s="4" t="str">
        <f aca="false">Sources!A6</f>
        <v>31/03/2024</v>
      </c>
      <c r="B18" s="5" t="n">
        <f aca="false">Sources!D6</f>
        <v>3777.99</v>
      </c>
      <c r="C18" s="5" t="n">
        <f aca="false">Sources!E6</f>
        <v>4807.66</v>
      </c>
      <c r="D18" s="5" t="n">
        <f aca="false">B18-C18</f>
        <v>-1029.67</v>
      </c>
      <c r="E18" s="5" t="n">
        <f aca="false">Sources!C6</f>
        <v>-1029.67</v>
      </c>
      <c r="F18" s="5" t="n">
        <f aca="false">D18-E18</f>
        <v>0</v>
      </c>
    </row>
    <row r="19" customFormat="false" ht="15" hidden="false" customHeight="false" outlineLevel="0" collapsed="false">
      <c r="A19" s="4" t="str">
        <f aca="false">Sources!A7</f>
        <v>31/03/2025</v>
      </c>
      <c r="B19" s="5" t="n">
        <f aca="false">Sources!D7</f>
        <v>4807.66</v>
      </c>
      <c r="C19" s="5" t="n">
        <f aca="false">Sources!E7</f>
        <v>4534.25</v>
      </c>
      <c r="D19" s="5" t="n">
        <f aca="false">B19-C19</f>
        <v>273.41</v>
      </c>
      <c r="E19" s="5" t="n">
        <f aca="false">Sources!C7</f>
        <v>-273.41</v>
      </c>
      <c r="F19" s="5" t="n">
        <f aca="false">D19-E19</f>
        <v>546.82</v>
      </c>
    </row>
    <row r="20" customFormat="false" ht="42" hidden="false" customHeight="true" outlineLevel="0" collapsed="false">
      <c r="A20" s="2" t="s">
        <v>34</v>
      </c>
      <c r="B20" s="2"/>
      <c r="C20" s="2"/>
      <c r="D20" s="2"/>
      <c r="E20" s="2"/>
      <c r="F20" s="2"/>
    </row>
  </sheetData>
  <mergeCells count="2">
    <mergeCell ref="A11:F11"/>
    <mergeCell ref="A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6.15" hidden="false" customHeight="false" outlineLevel="0" collapsed="false">
      <c r="A1" s="1" t="s">
        <v>35</v>
      </c>
    </row>
    <row r="3" customFormat="false" ht="28.35" hidden="false" customHeight="false" outlineLevel="0" collapsed="false">
      <c r="A3" s="11" t="s">
        <v>36</v>
      </c>
    </row>
    <row r="4" customFormat="false" ht="15" hidden="false" customHeight="false" outlineLevel="0" collapsed="false">
      <c r="A4" s="11"/>
    </row>
    <row r="5" customFormat="false" ht="15" hidden="false" customHeight="false" outlineLevel="0" collapsed="false">
      <c r="A5" s="12" t="s">
        <v>37</v>
      </c>
    </row>
    <row r="6" customFormat="false" ht="28.35" hidden="false" customHeight="false" outlineLevel="0" collapsed="false">
      <c r="A6" s="11" t="s">
        <v>38</v>
      </c>
    </row>
    <row r="7" customFormat="false" ht="15" hidden="false" customHeight="false" outlineLevel="0" collapsed="false">
      <c r="A7" s="11" t="s">
        <v>39</v>
      </c>
    </row>
    <row r="8" customFormat="false" ht="15" hidden="false" customHeight="false" outlineLevel="0" collapsed="false">
      <c r="A8" s="11"/>
    </row>
    <row r="9" customFormat="false" ht="28.35" hidden="false" customHeight="false" outlineLevel="0" collapsed="false">
      <c r="A9" s="11" t="s">
        <v>40</v>
      </c>
    </row>
    <row r="10" customFormat="false" ht="15" hidden="false" customHeight="false" outlineLevel="0" collapsed="false">
      <c r="A10" s="11"/>
    </row>
    <row r="11" customFormat="false" ht="15" hidden="false" customHeight="false" outlineLevel="0" collapsed="false">
      <c r="A11" s="12" t="s">
        <v>41</v>
      </c>
    </row>
    <row r="12" customFormat="false" ht="15" hidden="false" customHeight="false" outlineLevel="0" collapsed="false">
      <c r="A12" s="11" t="s">
        <v>42</v>
      </c>
    </row>
    <row r="13" customFormat="false" ht="15" hidden="false" customHeight="false" outlineLevel="0" collapsed="false">
      <c r="A13" s="11" t="s">
        <v>43</v>
      </c>
    </row>
    <row r="14" customFormat="false" ht="15" hidden="false" customHeight="false" outlineLevel="0" collapsed="false">
      <c r="A14" s="11" t="s">
        <v>44</v>
      </c>
    </row>
    <row r="15" customFormat="false" ht="15" hidden="false" customHeight="false" outlineLevel="0" collapsed="false">
      <c r="A15" s="11" t="s">
        <v>45</v>
      </c>
    </row>
    <row r="16" customFormat="false" ht="15" hidden="false" customHeight="false" outlineLevel="0" collapsed="false">
      <c r="A16" s="11" t="s">
        <v>46</v>
      </c>
    </row>
    <row r="17" customFormat="false" ht="15" hidden="false" customHeight="false" outlineLevel="0" collapsed="false">
      <c r="A17" s="11"/>
    </row>
    <row r="18" customFormat="false" ht="28.35" hidden="false" customHeight="false" outlineLevel="0" collapsed="false">
      <c r="A18" s="11"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2026-10-25T21:18:44Z</dcterms:created>
  <dc:creator>openpyxl</dc:creator>
  <dc:description/>
  <dc:language>en-US</dc:language>
  <cp:lastModifiedBy/>
  <dcterms:modified xsi:type="dcterms:W3CDTF">2026-10-25T21:18:44Z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