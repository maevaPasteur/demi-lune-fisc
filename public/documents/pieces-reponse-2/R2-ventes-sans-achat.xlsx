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ources" sheetId="1" state="visible" r:id="rId1"/>
    <sheet xmlns:r="http://schemas.openxmlformats.org/officeDocument/2006/relationships" name="Calcul" sheetId="2" state="visible" r:id="rId2"/>
    <sheet xmlns:r="http://schemas.openxmlformats.org/officeDocument/2006/relationships" name="Méthode" sheetId="3" state="visible" r:id="rId3"/>
  </sheets>
  <definedNames/>
  <calcPr calcId="124519" fullCalcOnLoad="1"/>
</workbook>
</file>

<file path=xl/styles.xml><?xml version="1.0" encoding="utf-8"?>
<styleSheet xmlns="http://schemas.openxmlformats.org/spreadsheetml/2006/main">
  <numFmts count="3">
    <numFmt numFmtId="164" formatCode="0 %"/>
    <numFmt numFmtId="165" formatCode="0.0&quot;×&quot;"/>
    <numFmt numFmtId="166" formatCode="0.00 %"/>
  </numFmts>
  <fonts count="5">
    <font>
      <name val="Calibri"/>
      <family val="2"/>
      <color theme="1"/>
      <sz val="11"/>
      <scheme val="minor"/>
    </font>
    <font>
      <b val="1"/>
      <color rgb="001F3A5F"/>
      <sz val="13"/>
    </font>
    <font>
      <b val="1"/>
      <color rgb="001F3A5F"/>
    </font>
    <font>
      <b val="1"/>
      <color rgb="00FFFFFF"/>
    </font>
    <font>
      <i val="1"/>
      <sz val="9"/>
    </font>
  </fonts>
  <fills count="5">
    <fill>
      <patternFill/>
    </fill>
    <fill>
      <patternFill patternType="gray125"/>
    </fill>
    <fill>
      <patternFill patternType="solid">
        <fgColor rgb="00DCE6F1"/>
      </patternFill>
    </fill>
    <fill>
      <patternFill patternType="solid">
        <fgColor rgb="001F3A5F"/>
      </patternFill>
    </fill>
    <fill>
      <patternFill patternType="solid">
        <fgColor rgb="00F8D7DA"/>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6">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pivotButton="0" quotePrefix="0" xfId="0"/>
    <xf numFmtId="0" fontId="3" fillId="3" borderId="1" applyAlignment="1" pivotButton="0" quotePrefix="0" xfId="0">
      <alignment vertical="center" wrapText="1"/>
    </xf>
    <xf numFmtId="0" fontId="0" fillId="0" borderId="1" applyAlignment="1" pivotButton="0" quotePrefix="0" xfId="0">
      <alignment vertical="top" wrapText="1"/>
    </xf>
    <xf numFmtId="0" fontId="0" fillId="0" borderId="1" pivotButton="0" quotePrefix="0" xfId="0"/>
    <xf numFmtId="0" fontId="0" fillId="0" borderId="1" applyAlignment="1" pivotButton="0" quotePrefix="0" xfId="0">
      <alignment horizontal="right"/>
    </xf>
    <xf numFmtId="164" fontId="0" fillId="0" borderId="1" applyAlignment="1" pivotButton="0" quotePrefix="0" xfId="0">
      <alignment horizontal="right"/>
    </xf>
    <xf numFmtId="2" fontId="0" fillId="0" borderId="1" applyAlignment="1" pivotButton="0" quotePrefix="0" xfId="0">
      <alignment horizontal="right"/>
    </xf>
    <xf numFmtId="165" fontId="0" fillId="0" borderId="1" applyAlignment="1" pivotButton="0" quotePrefix="0" xfId="0">
      <alignment horizontal="right"/>
    </xf>
    <xf numFmtId="0" fontId="0" fillId="4" borderId="1" applyAlignment="1" pivotButton="0" quotePrefix="0" xfId="0">
      <alignment vertical="top" wrapText="1"/>
    </xf>
    <xf numFmtId="0" fontId="0" fillId="4" borderId="1" applyAlignment="1" pivotButton="0" quotePrefix="0" xfId="0">
      <alignment horizontal="right"/>
    </xf>
    <xf numFmtId="166" fontId="0" fillId="0" borderId="1" applyAlignment="1" pivotButton="0" quotePrefix="0" xfId="0">
      <alignment horizontal="right"/>
    </xf>
    <xf numFmtId="0" fontId="4" fillId="0" borderId="0" applyAlignment="1" pivotButton="0" quotePrefix="0" xfId="0">
      <alignment vertical="top" wrapText="1"/>
    </xf>
    <xf numFmtId="0" fontId="2" fillId="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42" customWidth="1" min="1" max="1"/>
    <col width="26" customWidth="1" min="2" max="2"/>
    <col width="13" customWidth="1" min="3" max="3"/>
    <col width="15" customWidth="1" min="4" max="4"/>
    <col width="13" customWidth="1" min="5" max="5"/>
    <col width="12" customWidth="1" min="6" max="6"/>
    <col width="14" customWidth="1" min="7" max="7"/>
    <col width="16" customWidth="1" min="8" max="8"/>
  </cols>
  <sheetData>
    <row r="1">
      <c r="A1" s="1" t="inlineStr">
        <is>
          <t>SOURCES — données brutes utilisées (centilitres sauf mention)</t>
        </is>
      </c>
    </row>
    <row r="2" ht="58" customHeight="1">
      <c r="A2" s="2" t="inlineStr">
        <is>
          <t>Achats : 199 factures du fournisseur Franche-Comté Boissons Services, rattachées par CODE ARTICLE et par date de facture. Ventes : annexes de caisse C/D (format de service × contenance). Stocks : inventaires physiques de clôture (31/03). Prix de vente : ANNEXE-B1 (prix-vente 2022-2023). ⚠ Annexes primaires de caisse disponibles pour 2022-2023 uniquement ; 2023-2024 et 2024-2025 reposent sur l'extraction de la réponse n°1 et appellent la production des annexes C-2/D-2 et C-3/D-3.</t>
        </is>
      </c>
    </row>
    <row r="4">
      <c r="A4" s="3" t="inlineStr">
        <is>
          <t>1. ACHATS FACTURÉS (bouteilles de 75 cl)</t>
        </is>
      </c>
    </row>
    <row r="5">
      <c r="A5" s="4" t="inlineStr">
        <is>
          <t>Référence (code fournisseur)</t>
        </is>
      </c>
      <c r="B5" s="4" t="inlineStr">
        <is>
          <t>Bouton de caisse</t>
        </is>
      </c>
      <c r="C5" s="4" t="inlineStr">
        <is>
          <t>Exercice</t>
        </is>
      </c>
      <c r="D5" s="4" t="inlineStr">
        <is>
          <t>Bouteilles facturées</t>
        </is>
      </c>
      <c r="E5" s="4" t="inlineStr">
        <is>
          <t>Contenance (cl)</t>
        </is>
      </c>
      <c r="F5" s="4" t="inlineStr"/>
      <c r="G5" s="4" t="inlineStr"/>
      <c r="H5" s="4" t="inlineStr"/>
    </row>
    <row r="6">
      <c r="A6" s="5" t="inlineStr">
        <is>
          <t>Bordeaux Supérieur, Château Grand Renom (661236)</t>
        </is>
      </c>
      <c r="B6" s="6" t="inlineStr">
        <is>
          <t>BORD. MOUTON CADET</t>
        </is>
      </c>
      <c r="C6" s="6" t="inlineStr">
        <is>
          <t>2022-2023</t>
        </is>
      </c>
      <c r="D6" s="7" t="n">
        <v>11</v>
      </c>
      <c r="E6" s="7" t="n">
        <v>75</v>
      </c>
    </row>
    <row r="7">
      <c r="A7" s="5" t="inlineStr">
        <is>
          <t>Bordeaux Supérieur, Château Grand Renom (661236)</t>
        </is>
      </c>
      <c r="B7" s="6" t="inlineStr">
        <is>
          <t>BORD. MOUTON CADET</t>
        </is>
      </c>
      <c r="C7" s="6" t="inlineStr">
        <is>
          <t>2023-2024</t>
        </is>
      </c>
      <c r="D7" s="7" t="n">
        <v>0</v>
      </c>
      <c r="E7" s="7" t="n">
        <v>75</v>
      </c>
    </row>
    <row r="8">
      <c r="A8" s="5" t="inlineStr">
        <is>
          <t>Bordeaux Supérieur, Château Grand Renom (661236)</t>
        </is>
      </c>
      <c r="B8" s="6" t="inlineStr">
        <is>
          <t>BORD. MOUTON CADET</t>
        </is>
      </c>
      <c r="C8" s="6" t="inlineStr">
        <is>
          <t>2024-2025</t>
        </is>
      </c>
      <c r="D8" s="7" t="n">
        <v>0</v>
      </c>
      <c r="E8" s="7" t="n">
        <v>75</v>
      </c>
    </row>
    <row r="9">
      <c r="A9" s="5" t="inlineStr">
        <is>
          <t>HC de Nuits blanc, Lupé Cholet 2017 (601416)</t>
        </is>
      </c>
      <c r="B9" s="6" t="inlineStr">
        <is>
          <t>H.COTES DE NUITS</t>
        </is>
      </c>
      <c r="C9" s="6" t="inlineStr">
        <is>
          <t>2022-2023</t>
        </is>
      </c>
      <c r="D9" s="7" t="n">
        <v>24</v>
      </c>
      <c r="E9" s="7" t="n">
        <v>75</v>
      </c>
    </row>
    <row r="10">
      <c r="A10" s="5" t="inlineStr">
        <is>
          <t>HC de Nuits blanc, Lupé Cholet 2017 (601416)</t>
        </is>
      </c>
      <c r="B10" s="6" t="inlineStr">
        <is>
          <t>H.COTES DE NUITS</t>
        </is>
      </c>
      <c r="C10" s="6" t="inlineStr">
        <is>
          <t>2023-2024</t>
        </is>
      </c>
      <c r="D10" s="7" t="n">
        <v>0</v>
      </c>
      <c r="E10" s="7" t="n">
        <v>75</v>
      </c>
    </row>
    <row r="11">
      <c r="A11" s="5" t="inlineStr">
        <is>
          <t>HC de Nuits blanc, Lupé Cholet 2017 (601416)</t>
        </is>
      </c>
      <c r="B11" s="6" t="inlineStr">
        <is>
          <t>H.COTES DE NUITS</t>
        </is>
      </c>
      <c r="C11" s="6" t="inlineStr">
        <is>
          <t>2024-2025</t>
        </is>
      </c>
      <c r="D11" s="7" t="n">
        <v>0</v>
      </c>
      <c r="E11" s="7" t="n">
        <v>75</v>
      </c>
    </row>
    <row r="12">
      <c r="A12" s="5" t="inlineStr">
        <is>
          <t>HC de Beaune blanc, Domaine Germain (600425)</t>
        </is>
      </c>
      <c r="B12" s="6" t="inlineStr">
        <is>
          <t>PICHET C.DE BEAUNE B</t>
        </is>
      </c>
      <c r="C12" s="6" t="inlineStr">
        <is>
          <t>2022-2023</t>
        </is>
      </c>
      <c r="D12" s="7" t="n">
        <v>1</v>
      </c>
      <c r="E12" s="7" t="n">
        <v>75</v>
      </c>
    </row>
    <row r="13">
      <c r="A13" s="5" t="inlineStr">
        <is>
          <t>HC de Beaune blanc, Domaine Germain (600425)</t>
        </is>
      </c>
      <c r="B13" s="6" t="inlineStr">
        <is>
          <t>PICHET C.DE BEAUNE B</t>
        </is>
      </c>
      <c r="C13" s="6" t="inlineStr">
        <is>
          <t>2023-2024</t>
        </is>
      </c>
      <c r="D13" s="7" t="n">
        <v>0</v>
      </c>
      <c r="E13" s="7" t="n">
        <v>75</v>
      </c>
    </row>
    <row r="14">
      <c r="A14" s="5" t="inlineStr">
        <is>
          <t>HC de Beaune blanc, Domaine Germain (600425)</t>
        </is>
      </c>
      <c r="B14" s="6" t="inlineStr">
        <is>
          <t>PICHET C.DE BEAUNE B</t>
        </is>
      </c>
      <c r="C14" s="6" t="inlineStr">
        <is>
          <t>2024-2025</t>
        </is>
      </c>
      <c r="D14" s="7" t="n">
        <v>0</v>
      </c>
      <c r="E14" s="7" t="n">
        <v>75</v>
      </c>
    </row>
    <row r="15">
      <c r="A15" s="5" t="inlineStr">
        <is>
          <t>HC de Beaune rouge, Domaine Germain (601667/601346/630253/601199)</t>
        </is>
      </c>
      <c r="B15" s="6" t="inlineStr">
        <is>
          <t>H.C. BEAUNE (btl/verre/pichet)</t>
        </is>
      </c>
      <c r="C15" s="6" t="inlineStr">
        <is>
          <t>2022-2023</t>
        </is>
      </c>
      <c r="D15" s="7" t="n">
        <v>110</v>
      </c>
      <c r="E15" s="7" t="n">
        <v>75</v>
      </c>
    </row>
    <row r="16">
      <c r="A16" s="5" t="inlineStr">
        <is>
          <t>HC de Beaune rouge, Domaine Germain</t>
        </is>
      </c>
      <c r="B16" s="6" t="inlineStr">
        <is>
          <t>H.C. BEAUNE (btl/verre/pichet)</t>
        </is>
      </c>
      <c r="C16" s="6" t="inlineStr">
        <is>
          <t>2023-2024</t>
        </is>
      </c>
      <c r="D16" s="7" t="n">
        <v>85</v>
      </c>
      <c r="E16" s="7" t="n">
        <v>75</v>
      </c>
    </row>
    <row r="17">
      <c r="A17" s="5" t="inlineStr">
        <is>
          <t>HC de Beaune rouge, Domaine Germain</t>
        </is>
      </c>
      <c r="B17" s="6" t="inlineStr">
        <is>
          <t>H.C. BEAUNE (btl/verre/pichet)</t>
        </is>
      </c>
      <c r="C17" s="6" t="inlineStr">
        <is>
          <t>2024-2025</t>
        </is>
      </c>
      <c r="D17" s="7" t="n">
        <v>74</v>
      </c>
      <c r="E17" s="7" t="n">
        <v>75</v>
      </c>
    </row>
    <row r="19">
      <c r="A19" s="3" t="inlineStr">
        <is>
          <t>2. VENTES ENREGISTRÉES EN CAISSE (format de service × contenance)</t>
        </is>
      </c>
    </row>
    <row r="20">
      <c r="A20" s="4" t="inlineStr">
        <is>
          <t>Référence</t>
        </is>
      </c>
      <c r="B20" s="4" t="inlineStr">
        <is>
          <t>Format</t>
        </is>
      </c>
      <c r="C20" s="4" t="inlineStr">
        <is>
          <t>Exercice</t>
        </is>
      </c>
      <c r="D20" s="4" t="inlineStr">
        <is>
          <t>Quantité (unités)</t>
        </is>
      </c>
      <c r="E20" s="4" t="inlineStr">
        <is>
          <t>Contenance unitaire (cl)</t>
        </is>
      </c>
      <c r="F20" s="4" t="inlineStr"/>
      <c r="G20" s="4" t="inlineStr"/>
      <c r="H20" s="4" t="inlineStr"/>
    </row>
    <row r="21">
      <c r="A21" s="5" t="inlineStr">
        <is>
          <t>HC de Beaune rouge</t>
        </is>
      </c>
      <c r="B21" s="6" t="inlineStr">
        <is>
          <t>Bouteille (dont demi)</t>
        </is>
      </c>
      <c r="C21" s="6" t="inlineStr">
        <is>
          <t>2022-2023</t>
        </is>
      </c>
      <c r="D21" s="7" t="n">
        <v>42.5</v>
      </c>
      <c r="E21" s="7" t="n">
        <v>75</v>
      </c>
    </row>
    <row r="22">
      <c r="A22" s="5" t="inlineStr">
        <is>
          <t>HC de Beaune rouge</t>
        </is>
      </c>
      <c r="B22" s="6" t="inlineStr">
        <is>
          <t>Verre</t>
        </is>
      </c>
      <c r="C22" s="6" t="inlineStr">
        <is>
          <t>2022-2023</t>
        </is>
      </c>
      <c r="D22" s="7" t="n">
        <v>182</v>
      </c>
      <c r="E22" s="7" t="n">
        <v>15</v>
      </c>
    </row>
    <row r="23">
      <c r="A23" s="5" t="inlineStr">
        <is>
          <t>HC de Beaune rouge</t>
        </is>
      </c>
      <c r="B23" s="6" t="inlineStr">
        <is>
          <t>Pichet 50 cl</t>
        </is>
      </c>
      <c r="C23" s="6" t="inlineStr">
        <is>
          <t>2022-2023</t>
        </is>
      </c>
      <c r="D23" s="7" t="n">
        <v>26</v>
      </c>
      <c r="E23" s="7" t="n">
        <v>50</v>
      </c>
    </row>
    <row r="24">
      <c r="A24" s="5" t="inlineStr">
        <is>
          <t>HC de Beaune rouge</t>
        </is>
      </c>
      <c r="B24" s="6" t="inlineStr">
        <is>
          <t>Bouteille</t>
        </is>
      </c>
      <c r="C24" s="6" t="inlineStr">
        <is>
          <t>2023-2024</t>
        </is>
      </c>
      <c r="D24" s="7" t="n">
        <v>26</v>
      </c>
      <c r="E24" s="7" t="n">
        <v>75</v>
      </c>
    </row>
    <row r="25">
      <c r="A25" s="5" t="inlineStr">
        <is>
          <t>HC de Beaune rouge</t>
        </is>
      </c>
      <c r="B25" s="6" t="inlineStr">
        <is>
          <t>Verre</t>
        </is>
      </c>
      <c r="C25" s="6" t="inlineStr">
        <is>
          <t>2023-2024</t>
        </is>
      </c>
      <c r="D25" s="7" t="n">
        <v>124</v>
      </c>
      <c r="E25" s="7" t="n">
        <v>15</v>
      </c>
    </row>
    <row r="26">
      <c r="A26" s="5" t="inlineStr">
        <is>
          <t>HC de Beaune rouge</t>
        </is>
      </c>
      <c r="B26" s="6" t="inlineStr">
        <is>
          <t>Pichet 50 cl</t>
        </is>
      </c>
      <c r="C26" s="6" t="inlineStr">
        <is>
          <t>2023-2024</t>
        </is>
      </c>
      <c r="D26" s="7" t="n">
        <v>30</v>
      </c>
      <c r="E26" s="7" t="n">
        <v>50</v>
      </c>
    </row>
    <row r="27">
      <c r="A27" s="5" t="inlineStr">
        <is>
          <t>HC de Beaune rouge</t>
        </is>
      </c>
      <c r="B27" s="6" t="inlineStr">
        <is>
          <t>Bouteille (dont demi)</t>
        </is>
      </c>
      <c r="C27" s="6" t="inlineStr">
        <is>
          <t>2024-2025</t>
        </is>
      </c>
      <c r="D27" s="7" t="n">
        <v>22.5</v>
      </c>
      <c r="E27" s="7" t="n">
        <v>75</v>
      </c>
    </row>
    <row r="28">
      <c r="A28" s="5" t="inlineStr">
        <is>
          <t>HC de Beaune rouge</t>
        </is>
      </c>
      <c r="B28" s="6" t="inlineStr">
        <is>
          <t>Verre</t>
        </is>
      </c>
      <c r="C28" s="6" t="inlineStr">
        <is>
          <t>2024-2025</t>
        </is>
      </c>
      <c r="D28" s="7" t="n">
        <v>103</v>
      </c>
      <c r="E28" s="7" t="n">
        <v>15</v>
      </c>
    </row>
    <row r="29">
      <c r="A29" s="5" t="inlineStr">
        <is>
          <t>HC de Beaune rouge</t>
        </is>
      </c>
      <c r="B29" s="6" t="inlineStr">
        <is>
          <t>Pichet 50 cl</t>
        </is>
      </c>
      <c r="C29" s="6" t="inlineStr">
        <is>
          <t>2024-2025</t>
        </is>
      </c>
      <c r="D29" s="7" t="n">
        <v>29</v>
      </c>
      <c r="E29" s="7" t="n">
        <v>50</v>
      </c>
    </row>
    <row r="30">
      <c r="A30" s="5" t="inlineStr">
        <is>
          <t>Bordeaux Supérieur (bouton MOUTON CADET)</t>
        </is>
      </c>
      <c r="B30" s="6" t="inlineStr">
        <is>
          <t>Bouteille</t>
        </is>
      </c>
      <c r="C30" s="6" t="inlineStr">
        <is>
          <t>2022-2023</t>
        </is>
      </c>
      <c r="D30" s="7" t="n">
        <v>9</v>
      </c>
      <c r="E30" s="7" t="n">
        <v>75</v>
      </c>
    </row>
    <row r="31">
      <c r="A31" s="5" t="inlineStr">
        <is>
          <t>HC de Nuits blanc</t>
        </is>
      </c>
      <c r="B31" s="6" t="inlineStr">
        <is>
          <t>Bouteille</t>
        </is>
      </c>
      <c r="C31" s="6" t="inlineStr">
        <is>
          <t>2022-2023</t>
        </is>
      </c>
      <c r="D31" s="7" t="n">
        <v>3</v>
      </c>
      <c r="E31" s="7" t="n">
        <v>75</v>
      </c>
    </row>
    <row r="32">
      <c r="A32" s="5" t="inlineStr">
        <is>
          <t>HC de Beaune blanc (bouton PICHET C.DE BEAUNE B)</t>
        </is>
      </c>
      <c r="B32" s="6" t="inlineStr">
        <is>
          <t>Pichet 50 cl</t>
        </is>
      </c>
      <c r="C32" s="6" t="inlineStr">
        <is>
          <t>2022-2023</t>
        </is>
      </c>
      <c r="D32" s="7" t="n">
        <v>6</v>
      </c>
      <c r="E32" s="7" t="n">
        <v>50</v>
      </c>
    </row>
    <row r="33">
      <c r="A33" s="5" t="inlineStr">
        <is>
          <t>HC de Beaune blanc (bouton PICHET C.DE BEAUNE B)</t>
        </is>
      </c>
      <c r="B33" s="6" t="inlineStr">
        <is>
          <t>Pichet 50 cl</t>
        </is>
      </c>
      <c r="C33" s="6" t="inlineStr">
        <is>
          <t>2023-2024</t>
        </is>
      </c>
      <c r="D33" s="7" t="n">
        <v>3</v>
      </c>
      <c r="E33" s="7" t="n">
        <v>50</v>
      </c>
    </row>
    <row r="34">
      <c r="A34" s="5" t="inlineStr">
        <is>
          <t>HC de Beaune blanc (bouton PICHET C.DE BEAUNE B)</t>
        </is>
      </c>
      <c r="B34" s="6" t="inlineStr">
        <is>
          <t>Pichet 50 cl</t>
        </is>
      </c>
      <c r="C34" s="6" t="inlineStr">
        <is>
          <t>2024-2025</t>
        </is>
      </c>
      <c r="D34" s="7" t="n">
        <v>0</v>
      </c>
      <c r="E34" s="7" t="n">
        <v>50</v>
      </c>
    </row>
    <row r="36">
      <c r="A36" s="3" t="inlineStr">
        <is>
          <t>3. STOCKS DE CLÔTURE (inventaires physiques 31/03)</t>
        </is>
      </c>
    </row>
    <row r="37">
      <c r="A37" s="4" t="inlineStr">
        <is>
          <t>Référence</t>
        </is>
      </c>
      <c r="B37" s="4" t="inlineStr">
        <is>
          <t>Date de clôture</t>
        </is>
      </c>
      <c r="C37" s="4" t="inlineStr">
        <is>
          <t>Bouteilles inventoriées</t>
        </is>
      </c>
      <c r="D37" s="4" t="inlineStr">
        <is>
          <t>Contenance (cl)</t>
        </is>
      </c>
      <c r="E37" s="4" t="inlineStr">
        <is>
          <t>Note</t>
        </is>
      </c>
      <c r="F37" s="4" t="inlineStr"/>
      <c r="G37" s="4" t="inlineStr"/>
      <c r="H37" s="4" t="inlineStr"/>
    </row>
    <row r="38">
      <c r="A38" s="5" t="inlineStr">
        <is>
          <t>Bordeaux Supérieur (MOUTON CADET)</t>
        </is>
      </c>
      <c r="B38" s="6" t="inlineStr">
        <is>
          <t>31/03/2023</t>
        </is>
      </c>
      <c r="C38" s="7" t="n">
        <v>1</v>
      </c>
      <c r="D38" s="7" t="n">
        <v>75</v>
      </c>
      <c r="E38" s="5" t="inlineStr">
        <is>
          <t>porté à l'inventaire 2022-2023</t>
        </is>
      </c>
    </row>
    <row r="39">
      <c r="A39" s="5" t="inlineStr">
        <is>
          <t>HC de Beaune rouge</t>
        </is>
      </c>
      <c r="B39" s="6" t="inlineStr">
        <is>
          <t>31/03/2023</t>
        </is>
      </c>
      <c r="C39" s="7" t="n">
        <v>6</v>
      </c>
      <c r="D39" s="7" t="n">
        <v>75</v>
      </c>
      <c r="E39" s="5" t="inlineStr">
        <is>
          <t>porté à l'inventaire 2022-2023</t>
        </is>
      </c>
    </row>
    <row r="40">
      <c r="A40" s="5" t="inlineStr">
        <is>
          <t>HC de Beaune rouge</t>
        </is>
      </c>
      <c r="B40" s="6" t="inlineStr">
        <is>
          <t>31/03/2024</t>
        </is>
      </c>
      <c r="C40" s="7" t="inlineStr">
        <is>
          <t>n/d</t>
        </is>
      </c>
      <c r="D40" s="7" t="n">
        <v>75</v>
      </c>
      <c r="E40" s="5" t="inlineStr">
        <is>
          <t>non inventorié (aucune ligne à ce libellé) — n'est pas un stock nul</t>
        </is>
      </c>
    </row>
    <row r="41">
      <c r="A41" s="5" t="inlineStr">
        <is>
          <t>HC de Beaune rouge</t>
        </is>
      </c>
      <c r="B41" s="6" t="inlineStr">
        <is>
          <t>31/03/2025</t>
        </is>
      </c>
      <c r="C41" s="7" t="n">
        <v>8</v>
      </c>
      <c r="D41" s="7" t="n">
        <v>75</v>
      </c>
      <c r="E41" s="5" t="inlineStr">
        <is>
          <t>porté à l'inventaire 2024-2025</t>
        </is>
      </c>
    </row>
    <row r="42">
      <c r="A42" s="5" t="inlineStr">
        <is>
          <t>HC de Nuits blanc</t>
        </is>
      </c>
      <c r="B42" s="6" t="inlineStr">
        <is>
          <t>31/03/2023..2025</t>
        </is>
      </c>
      <c r="C42" s="7" t="inlineStr">
        <is>
          <t>n/d</t>
        </is>
      </c>
      <c r="D42" s="7" t="n">
        <v>75</v>
      </c>
      <c r="E42" s="5" t="inlineStr">
        <is>
          <t>non inventorié sous aucun libellé (cherché par libellé et par prix 12,22 €)</t>
        </is>
      </c>
    </row>
    <row r="43">
      <c r="A43" s="5" t="inlineStr">
        <is>
          <t>HC de Beaune blanc</t>
        </is>
      </c>
      <c r="B43" s="6" t="inlineStr">
        <is>
          <t>31/03/2023..2025</t>
        </is>
      </c>
      <c r="C43" s="7" t="inlineStr">
        <is>
          <t>n/d</t>
        </is>
      </c>
      <c r="D43" s="7" t="n">
        <v>75</v>
      </c>
      <c r="E43" s="5" t="inlineStr">
        <is>
          <t>non inventorié sous aucun libellé (cherché par libellé et par prix 9,95 €)</t>
        </is>
      </c>
    </row>
    <row r="44">
      <c r="A44" s="5" t="inlineStr">
        <is>
          <t>Ouverture 01/04/2022 (tous)</t>
        </is>
      </c>
      <c r="B44" s="6" t="inlineStr">
        <is>
          <t>01/04/2022</t>
        </is>
      </c>
      <c r="C44" s="7" t="inlineStr">
        <is>
          <t>n/d</t>
        </is>
      </c>
      <c r="D44" s="7" t="n">
        <v>75</v>
      </c>
      <c r="E44" s="5" t="inlineStr">
        <is>
          <t>AUCUN inventaire d'ouverture produit — bilan matière fermé impossible pour 2022-2023</t>
        </is>
      </c>
    </row>
    <row r="46">
      <c r="A46" s="3" t="inlineStr">
        <is>
          <t>4. PRIX DE VENTE (ANNEXE-B1, 2022-2023, TTC) — pour conversion en euros</t>
        </is>
      </c>
    </row>
    <row r="47">
      <c r="A47" s="4" t="inlineStr">
        <is>
          <t>Bouton / référence (code B1)</t>
        </is>
      </c>
      <c r="B47" s="4" t="inlineStr">
        <is>
          <t>Format</t>
        </is>
      </c>
      <c r="C47" s="4" t="inlineStr">
        <is>
          <t>Prix TTC (€)</t>
        </is>
      </c>
      <c r="D47" s="4" t="inlineStr">
        <is>
          <t>Taux TVA</t>
        </is>
      </c>
      <c r="E47" s="4" t="inlineStr">
        <is>
          <t>Prix HT (€) =TTC/(1+TVA)</t>
        </is>
      </c>
      <c r="F47" s="4" t="inlineStr"/>
      <c r="G47" s="4" t="inlineStr"/>
      <c r="H47" s="4" t="inlineStr"/>
    </row>
    <row r="48">
      <c r="A48" s="5" t="inlineStr">
        <is>
          <t>BORD. MOUTON CADET (1859)</t>
        </is>
      </c>
      <c r="B48" s="6" t="inlineStr">
        <is>
          <t>Bouteille</t>
        </is>
      </c>
      <c r="C48" s="7" t="n">
        <v>36</v>
      </c>
      <c r="D48" s="8" t="n">
        <v>0.2</v>
      </c>
      <c r="E48" s="9">
        <f>C48/(1+D48)</f>
        <v/>
      </c>
    </row>
    <row r="49">
      <c r="A49" s="5" t="inlineStr">
        <is>
          <t>H.COTES DE NUITS (2022)</t>
        </is>
      </c>
      <c r="B49" s="6" t="inlineStr">
        <is>
          <t>Bouteille</t>
        </is>
      </c>
      <c r="C49" s="7" t="n">
        <v>39.5</v>
      </c>
      <c r="D49" s="8" t="n">
        <v>0.2</v>
      </c>
      <c r="E49" s="9">
        <f>C49/(1+D49)</f>
        <v/>
      </c>
    </row>
    <row r="50">
      <c r="A50" s="5" t="inlineStr">
        <is>
          <t>PICHET C.DE BEAUNE B (2091)</t>
        </is>
      </c>
      <c r="B50" s="6" t="inlineStr">
        <is>
          <t>Pichet 50 cl</t>
        </is>
      </c>
      <c r="C50" s="7" t="n">
        <v>30</v>
      </c>
      <c r="D50" s="8" t="n">
        <v>0.2</v>
      </c>
      <c r="E50" s="9">
        <f>C50/(1+D50)</f>
        <v/>
      </c>
    </row>
    <row r="51">
      <c r="A51" s="5" t="inlineStr">
        <is>
          <t>H.C.B BEAUNE BTL (2025) / H.C.BEAUNE BOUTEILLE (2093)</t>
        </is>
      </c>
      <c r="B51" s="6" t="inlineStr">
        <is>
          <t>Bouteille</t>
        </is>
      </c>
      <c r="C51" s="7" t="n">
        <v>39.5</v>
      </c>
      <c r="D51" s="8" t="n">
        <v>0.2</v>
      </c>
      <c r="E51" s="9">
        <f>C51/(1+D51)</f>
        <v/>
      </c>
    </row>
  </sheetData>
  <mergeCells count="1">
    <mergeCell ref="A2:H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70"/>
  <sheetViews>
    <sheetView workbookViewId="0">
      <selection activeCell="A1" sqref="A1"/>
    </sheetView>
  </sheetViews>
  <sheetFormatPr baseColWidth="8" defaultRowHeight="15"/>
  <cols>
    <col width="40" customWidth="1" min="1" max="1"/>
    <col width="13" customWidth="1" min="2" max="2"/>
    <col width="16" customWidth="1" min="3" max="3"/>
    <col width="16" customWidth="1" min="4" max="4"/>
    <col width="20" customWidth="1" min="5" max="5"/>
  </cols>
  <sheetData>
    <row r="1">
      <c r="A1" s="1" t="inlineStr">
        <is>
          <t>CALCUL — tous les résultats sont obtenus par formule (bilan par vin : achats − ventes − stock)</t>
        </is>
      </c>
    </row>
    <row r="3">
      <c r="A3" s="3" t="inlineStr">
        <is>
          <t>A. ACHATS en cl (= bouteilles × contenance, renvoi à Sources)</t>
        </is>
      </c>
    </row>
    <row r="4">
      <c r="A4" s="4" t="inlineStr">
        <is>
          <t>Référence</t>
        </is>
      </c>
      <c r="B4" s="4" t="inlineStr">
        <is>
          <t>Exercice</t>
        </is>
      </c>
      <c r="C4" s="4" t="inlineStr">
        <is>
          <t>Achats (cl) = D×E Sources</t>
        </is>
      </c>
      <c r="D4" s="4" t="inlineStr"/>
      <c r="E4" s="4" t="inlineStr"/>
    </row>
    <row r="5">
      <c r="A5" s="5" t="inlineStr">
        <is>
          <t>Bordeaux Supérieur, Château Grand Renom (661236)</t>
        </is>
      </c>
      <c r="B5" s="6" t="inlineStr">
        <is>
          <t>2022-2023</t>
        </is>
      </c>
      <c r="C5" s="7">
        <f>Sources!D6*Sources!E6</f>
        <v/>
      </c>
    </row>
    <row r="6">
      <c r="A6" s="5" t="inlineStr">
        <is>
          <t>Bordeaux Supérieur, Château Grand Renom (661236)</t>
        </is>
      </c>
      <c r="B6" s="6" t="inlineStr">
        <is>
          <t>2023-2024</t>
        </is>
      </c>
      <c r="C6" s="7">
        <f>Sources!D7*Sources!E7</f>
        <v/>
      </c>
    </row>
    <row r="7">
      <c r="A7" s="5" t="inlineStr">
        <is>
          <t>Bordeaux Supérieur, Château Grand Renom (661236)</t>
        </is>
      </c>
      <c r="B7" s="6" t="inlineStr">
        <is>
          <t>2024-2025</t>
        </is>
      </c>
      <c r="C7" s="7">
        <f>Sources!D8*Sources!E8</f>
        <v/>
      </c>
    </row>
    <row r="8">
      <c r="A8" s="5" t="inlineStr">
        <is>
          <t>HC de Nuits blanc, Lupé Cholet 2017 (601416)</t>
        </is>
      </c>
      <c r="B8" s="6" t="inlineStr">
        <is>
          <t>2022-2023</t>
        </is>
      </c>
      <c r="C8" s="7">
        <f>Sources!D9*Sources!E9</f>
        <v/>
      </c>
    </row>
    <row r="9">
      <c r="A9" s="5" t="inlineStr">
        <is>
          <t>HC de Nuits blanc, Lupé Cholet 2017 (601416)</t>
        </is>
      </c>
      <c r="B9" s="6" t="inlineStr">
        <is>
          <t>2023-2024</t>
        </is>
      </c>
      <c r="C9" s="7">
        <f>Sources!D10*Sources!E10</f>
        <v/>
      </c>
    </row>
    <row r="10">
      <c r="A10" s="5" t="inlineStr">
        <is>
          <t>HC de Nuits blanc, Lupé Cholet 2017 (601416)</t>
        </is>
      </c>
      <c r="B10" s="6" t="inlineStr">
        <is>
          <t>2024-2025</t>
        </is>
      </c>
      <c r="C10" s="7">
        <f>Sources!D11*Sources!E11</f>
        <v/>
      </c>
    </row>
    <row r="11">
      <c r="A11" s="5" t="inlineStr">
        <is>
          <t>HC de Beaune blanc, Domaine Germain (600425)</t>
        </is>
      </c>
      <c r="B11" s="6" t="inlineStr">
        <is>
          <t>2022-2023</t>
        </is>
      </c>
      <c r="C11" s="7">
        <f>Sources!D12*Sources!E12</f>
        <v/>
      </c>
    </row>
    <row r="12">
      <c r="A12" s="5" t="inlineStr">
        <is>
          <t>HC de Beaune blanc, Domaine Germain (600425)</t>
        </is>
      </c>
      <c r="B12" s="6" t="inlineStr">
        <is>
          <t>2023-2024</t>
        </is>
      </c>
      <c r="C12" s="7">
        <f>Sources!D13*Sources!E13</f>
        <v/>
      </c>
    </row>
    <row r="13">
      <c r="A13" s="5" t="inlineStr">
        <is>
          <t>HC de Beaune blanc, Domaine Germain (600425)</t>
        </is>
      </c>
      <c r="B13" s="6" t="inlineStr">
        <is>
          <t>2024-2025</t>
        </is>
      </c>
      <c r="C13" s="7">
        <f>Sources!D14*Sources!E14</f>
        <v/>
      </c>
    </row>
    <row r="14">
      <c r="A14" s="5" t="inlineStr">
        <is>
          <t>HC de Beaune rouge, Domaine Germain (601667/601346/630253/601199)</t>
        </is>
      </c>
      <c r="B14" s="6" t="inlineStr">
        <is>
          <t>2022-2023</t>
        </is>
      </c>
      <c r="C14" s="7">
        <f>Sources!D15*Sources!E15</f>
        <v/>
      </c>
    </row>
    <row r="15">
      <c r="A15" s="5" t="inlineStr">
        <is>
          <t>HC de Beaune rouge, Domaine Germain</t>
        </is>
      </c>
      <c r="B15" s="6" t="inlineStr">
        <is>
          <t>2023-2024</t>
        </is>
      </c>
      <c r="C15" s="7">
        <f>Sources!D16*Sources!E16</f>
        <v/>
      </c>
    </row>
    <row r="16">
      <c r="A16" s="5" t="inlineStr">
        <is>
          <t>HC de Beaune rouge, Domaine Germain</t>
        </is>
      </c>
      <c r="B16" s="6" t="inlineStr">
        <is>
          <t>2024-2025</t>
        </is>
      </c>
      <c r="C16" s="7">
        <f>Sources!D17*Sources!E17</f>
        <v/>
      </c>
    </row>
    <row r="18">
      <c r="A18" s="3" t="inlineStr">
        <is>
          <t>B. VENTES en cl (= quantité × contenance, renvoi à Sources ; somme par réf/exercice)</t>
        </is>
      </c>
    </row>
    <row r="19">
      <c r="A19" s="4" t="inlineStr">
        <is>
          <t>Référence</t>
        </is>
      </c>
      <c r="B19" s="4" t="inlineStr">
        <is>
          <t>Exercice</t>
        </is>
      </c>
      <c r="C19" s="4" t="inlineStr">
        <is>
          <t>Ventes (cl) = Σ(Q×contenance)</t>
        </is>
      </c>
      <c r="D19" s="4" t="inlineStr">
        <is>
          <t>Détail</t>
        </is>
      </c>
      <c r="E19" s="4" t="inlineStr"/>
    </row>
    <row r="20">
      <c r="A20" s="5" t="inlineStr">
        <is>
          <t>HC de Beaune rouge</t>
        </is>
      </c>
      <c r="B20" s="5" t="inlineStr">
        <is>
          <t>Bouteille (dont demi) — 2022-2023</t>
        </is>
      </c>
      <c r="C20" s="7">
        <f>Sources!D21*Sources!E21</f>
        <v/>
      </c>
    </row>
    <row r="21">
      <c r="A21" s="5" t="inlineStr">
        <is>
          <t>HC de Beaune rouge</t>
        </is>
      </c>
      <c r="B21" s="5" t="inlineStr">
        <is>
          <t>Verre — 2022-2023</t>
        </is>
      </c>
      <c r="C21" s="7">
        <f>Sources!D22*Sources!E22</f>
        <v/>
      </c>
    </row>
    <row r="22">
      <c r="A22" s="5" t="inlineStr">
        <is>
          <t>HC de Beaune rouge</t>
        </is>
      </c>
      <c r="B22" s="5" t="inlineStr">
        <is>
          <t>Pichet 50 cl — 2022-2023</t>
        </is>
      </c>
      <c r="C22" s="7">
        <f>Sources!D23*Sources!E23</f>
        <v/>
      </c>
    </row>
    <row r="23">
      <c r="A23" s="5" t="inlineStr">
        <is>
          <t>HC de Beaune rouge</t>
        </is>
      </c>
      <c r="B23" s="5" t="inlineStr">
        <is>
          <t>Bouteille — 2023-2024</t>
        </is>
      </c>
      <c r="C23" s="7">
        <f>Sources!D24*Sources!E24</f>
        <v/>
      </c>
    </row>
    <row r="24">
      <c r="A24" s="5" t="inlineStr">
        <is>
          <t>HC de Beaune rouge</t>
        </is>
      </c>
      <c r="B24" s="5" t="inlineStr">
        <is>
          <t>Verre — 2023-2024</t>
        </is>
      </c>
      <c r="C24" s="7">
        <f>Sources!D25*Sources!E25</f>
        <v/>
      </c>
    </row>
    <row r="25">
      <c r="A25" s="5" t="inlineStr">
        <is>
          <t>HC de Beaune rouge</t>
        </is>
      </c>
      <c r="B25" s="5" t="inlineStr">
        <is>
          <t>Pichet 50 cl — 2023-2024</t>
        </is>
      </c>
      <c r="C25" s="7">
        <f>Sources!D26*Sources!E26</f>
        <v/>
      </c>
    </row>
    <row r="26">
      <c r="A26" s="5" t="inlineStr">
        <is>
          <t>HC de Beaune rouge</t>
        </is>
      </c>
      <c r="B26" s="5" t="inlineStr">
        <is>
          <t>Bouteille (dont demi) — 2024-2025</t>
        </is>
      </c>
      <c r="C26" s="7">
        <f>Sources!D27*Sources!E27</f>
        <v/>
      </c>
    </row>
    <row r="27">
      <c r="A27" s="5" t="inlineStr">
        <is>
          <t>HC de Beaune rouge</t>
        </is>
      </c>
      <c r="B27" s="5" t="inlineStr">
        <is>
          <t>Verre — 2024-2025</t>
        </is>
      </c>
      <c r="C27" s="7">
        <f>Sources!D28*Sources!E28</f>
        <v/>
      </c>
    </row>
    <row r="28">
      <c r="A28" s="5" t="inlineStr">
        <is>
          <t>HC de Beaune rouge</t>
        </is>
      </c>
      <c r="B28" s="5" t="inlineStr">
        <is>
          <t>Pichet 50 cl — 2024-2025</t>
        </is>
      </c>
      <c r="C28" s="7">
        <f>Sources!D29*Sources!E29</f>
        <v/>
      </c>
    </row>
    <row r="29">
      <c r="A29" s="5" t="inlineStr">
        <is>
          <t>Bordeaux Supérieur (bouton MOUTON CADET)</t>
        </is>
      </c>
      <c r="B29" s="5" t="inlineStr">
        <is>
          <t>Bouteille — 2022-2023</t>
        </is>
      </c>
      <c r="C29" s="7">
        <f>Sources!D30*Sources!E30</f>
        <v/>
      </c>
    </row>
    <row r="30">
      <c r="A30" s="5" t="inlineStr">
        <is>
          <t>HC de Nuits blanc</t>
        </is>
      </c>
      <c r="B30" s="5" t="inlineStr">
        <is>
          <t>Bouteille — 2022-2023</t>
        </is>
      </c>
      <c r="C30" s="7">
        <f>Sources!D31*Sources!E31</f>
        <v/>
      </c>
    </row>
    <row r="31">
      <c r="A31" s="5" t="inlineStr">
        <is>
          <t>HC de Beaune blanc (bouton PICHET C.DE BEAUNE B)</t>
        </is>
      </c>
      <c r="B31" s="5" t="inlineStr">
        <is>
          <t>Pichet 50 cl — 2022-2023</t>
        </is>
      </c>
      <c r="C31" s="7">
        <f>Sources!D32*Sources!E32</f>
        <v/>
      </c>
    </row>
    <row r="32">
      <c r="A32" s="5" t="inlineStr">
        <is>
          <t>HC de Beaune blanc (bouton PICHET C.DE BEAUNE B)</t>
        </is>
      </c>
      <c r="B32" s="5" t="inlineStr">
        <is>
          <t>Pichet 50 cl — 2023-2024</t>
        </is>
      </c>
      <c r="C32" s="7">
        <f>Sources!D33*Sources!E33</f>
        <v/>
      </c>
    </row>
    <row r="33">
      <c r="A33" s="5" t="inlineStr">
        <is>
          <t>HC de Beaune blanc (bouton PICHET C.DE BEAUNE B)</t>
        </is>
      </c>
      <c r="B33" s="5" t="inlineStr">
        <is>
          <t>Pichet 50 cl — 2024-2025</t>
        </is>
      </c>
      <c r="C33" s="7">
        <f>Sources!D34*Sources!E34</f>
        <v/>
      </c>
    </row>
    <row r="35">
      <c r="A35" s="3" t="inlineStr">
        <is>
          <t>C. BILAN PAR VIN ET PAR EXERCICE (bilan ouvert : achats − ventes)</t>
        </is>
      </c>
    </row>
    <row r="36">
      <c r="A36" s="4" t="inlineStr">
        <is>
          <t>Vin / référence</t>
        </is>
      </c>
      <c r="B36" s="4" t="inlineStr">
        <is>
          <t>Exercice</t>
        </is>
      </c>
      <c r="C36" s="4" t="inlineStr">
        <is>
          <t>Achats (cl)</t>
        </is>
      </c>
      <c r="D36" s="4" t="inlineStr">
        <is>
          <t>Ventes (cl)</t>
        </is>
      </c>
      <c r="E36" s="4" t="inlineStr">
        <is>
          <t>Achats − ventes (cl)</t>
        </is>
      </c>
    </row>
    <row r="37">
      <c r="A37" s="5" t="inlineStr">
        <is>
          <t>Bordeaux Supérieur (MOUTON CADET)</t>
        </is>
      </c>
      <c r="B37" s="6" t="inlineStr">
        <is>
          <t>2022-2023</t>
        </is>
      </c>
      <c r="C37" s="7">
        <f>Calcul!C5</f>
        <v/>
      </c>
      <c r="D37" s="7">
        <f>Calcul!C29</f>
        <v/>
      </c>
      <c r="E37" s="7">
        <f>C37-D37</f>
        <v/>
      </c>
    </row>
    <row r="38">
      <c r="A38" s="5" t="inlineStr">
        <is>
          <t>HC de Nuits blanc (Lupé Cholet)</t>
        </is>
      </c>
      <c r="B38" s="6" t="inlineStr">
        <is>
          <t>2022-2023</t>
        </is>
      </c>
      <c r="C38" s="7">
        <f>Calcul!C8</f>
        <v/>
      </c>
      <c r="D38" s="7">
        <f>Calcul!C30</f>
        <v/>
      </c>
      <c r="E38" s="7">
        <f>C38-D38</f>
        <v/>
      </c>
    </row>
    <row r="39">
      <c r="A39" s="5" t="inlineStr">
        <is>
          <t>HC de Beaune blanc (Domaine Germain)</t>
        </is>
      </c>
      <c r="B39" s="6" t="inlineStr">
        <is>
          <t>2022-2023</t>
        </is>
      </c>
      <c r="C39" s="7">
        <f>Calcul!C11</f>
        <v/>
      </c>
      <c r="D39" s="7">
        <f>Calcul!C31</f>
        <v/>
      </c>
      <c r="E39" s="7">
        <f>C39-D39</f>
        <v/>
      </c>
    </row>
    <row r="40">
      <c r="A40" s="5" t="inlineStr">
        <is>
          <t>HC de Beaune blanc (Domaine Germain)</t>
        </is>
      </c>
      <c r="B40" s="6" t="inlineStr">
        <is>
          <t>2023-2024</t>
        </is>
      </c>
      <c r="C40" s="7">
        <f>Calcul!C12</f>
        <v/>
      </c>
      <c r="D40" s="7">
        <f>Calcul!C32</f>
        <v/>
      </c>
      <c r="E40" s="7">
        <f>C40-D40</f>
        <v/>
      </c>
    </row>
    <row r="41">
      <c r="A41" s="5" t="inlineStr">
        <is>
          <t>HC de Beaune blanc (Domaine Germain)</t>
        </is>
      </c>
      <c r="B41" s="6" t="inlineStr">
        <is>
          <t>2024-2025</t>
        </is>
      </c>
      <c r="C41" s="7">
        <f>Calcul!C13</f>
        <v/>
      </c>
      <c r="D41" s="7">
        <f>Calcul!C33</f>
        <v/>
      </c>
      <c r="E41" s="7">
        <f>C41-D41</f>
        <v/>
      </c>
    </row>
    <row r="42">
      <c r="A42" s="5" t="inlineStr">
        <is>
          <t>HC de Beaune rouge (Domaine Germain)</t>
        </is>
      </c>
      <c r="B42" s="6" t="inlineStr">
        <is>
          <t>2022-2023</t>
        </is>
      </c>
      <c r="C42" s="7">
        <f>Calcul!C14</f>
        <v/>
      </c>
      <c r="D42" s="7">
        <f>SUM(Calcul!C20:Calcul!C22)</f>
        <v/>
      </c>
      <c r="E42" s="7">
        <f>C42-D42</f>
        <v/>
      </c>
    </row>
    <row r="43">
      <c r="A43" s="5" t="inlineStr">
        <is>
          <t>HC de Beaune rouge (Domaine Germain)</t>
        </is>
      </c>
      <c r="B43" s="6" t="inlineStr">
        <is>
          <t>2023-2024</t>
        </is>
      </c>
      <c r="C43" s="7">
        <f>Calcul!C15</f>
        <v/>
      </c>
      <c r="D43" s="7">
        <f>SUM(Calcul!C23:Calcul!C25)</f>
        <v/>
      </c>
      <c r="E43" s="7">
        <f>C43-D43</f>
        <v/>
      </c>
    </row>
    <row r="44">
      <c r="A44" s="5" t="inlineStr">
        <is>
          <t>HC de Beaune rouge (Domaine Germain)</t>
        </is>
      </c>
      <c r="B44" s="6" t="inlineStr">
        <is>
          <t>2024-2025</t>
        </is>
      </c>
      <c r="C44" s="7">
        <f>Calcul!C16</f>
        <v/>
      </c>
      <c r="D44" s="7">
        <f>SUM(Calcul!C26:Calcul!C28)</f>
        <v/>
      </c>
      <c r="E44" s="7">
        <f>C44-D44</f>
        <v/>
      </c>
    </row>
    <row r="46">
      <c r="A46" s="3" t="inlineStr">
        <is>
          <t>D. REGROUPEMENT DES VINS BLANCS (Nuits blanc + Beaune blanc, 3 exercices)</t>
        </is>
      </c>
    </row>
    <row r="47">
      <c r="A47" s="4" t="inlineStr">
        <is>
          <t>Poste</t>
        </is>
      </c>
      <c r="B47" s="4" t="inlineStr">
        <is>
          <t>Achats (cl)</t>
        </is>
      </c>
      <c r="C47" s="4" t="inlineStr">
        <is>
          <t>Ventes (cl)</t>
        </is>
      </c>
      <c r="D47" s="4" t="inlineStr">
        <is>
          <t>Achats − ventes (cl)</t>
        </is>
      </c>
      <c r="E47" s="4" t="inlineStr">
        <is>
          <t>Couverture achats/ventes</t>
        </is>
      </c>
    </row>
    <row r="48">
      <c r="A48" s="6" t="inlineStr">
        <is>
          <t>Vins blancs regroupés</t>
        </is>
      </c>
      <c r="B48" s="7">
        <f>Calcul!C8+Calcul!C9+Calcul!C10+Calcul!C11+Calcul!C12+Calcul!C13</f>
        <v/>
      </c>
      <c r="C48" s="7">
        <f>Calcul!C30+Calcul!C31+Calcul!C32+Calcul!C33</f>
        <v/>
      </c>
      <c r="D48" s="7">
        <f>B48-C48</f>
        <v/>
      </c>
      <c r="E48" s="10">
        <f>B48/C48</f>
        <v/>
      </c>
    </row>
    <row r="50">
      <c r="A50" s="3" t="inlineStr">
        <is>
          <t>E. BILAN MATIÈRE FERMÉ — Bordeaux Supérieur (MOUTON CADET) 2022-2023</t>
        </is>
      </c>
    </row>
    <row r="51">
      <c r="A51" s="4" t="inlineStr">
        <is>
          <t>Élément</t>
        </is>
      </c>
      <c r="B51" s="4" t="inlineStr">
        <is>
          <t>Bouteilles</t>
        </is>
      </c>
      <c r="C51" s="4" t="inlineStr">
        <is>
          <t>Centilitres</t>
        </is>
      </c>
      <c r="D51" s="4" t="inlineStr">
        <is>
          <t>Formule / source</t>
        </is>
      </c>
      <c r="E51" s="4" t="inlineStr"/>
    </row>
    <row r="52">
      <c r="A52" s="5" t="inlineStr">
        <is>
          <t>Stock d'ouverture 01/04/2022 (présumé 0 — aucun inventaire d'ouverture)</t>
        </is>
      </c>
      <c r="B52" s="7" t="n">
        <v>0</v>
      </c>
      <c r="C52" s="7">
        <f>B52*75</f>
        <v/>
      </c>
      <c r="D52" s="5" t="inlineStr">
        <is>
          <t>hypothèse la plus favorable au service</t>
        </is>
      </c>
    </row>
    <row r="53">
      <c r="A53" s="5" t="inlineStr">
        <is>
          <t>+ Achats facturés 2022-2023</t>
        </is>
      </c>
      <c r="B53" s="7" t="n">
        <v>11</v>
      </c>
      <c r="C53" s="7">
        <f>Calcul!C5</f>
        <v/>
      </c>
      <c r="D53" s="5" t="inlineStr">
        <is>
          <t>Sources §1, 11 bouteilles</t>
        </is>
      </c>
    </row>
    <row r="54">
      <c r="A54" s="5" t="inlineStr">
        <is>
          <t>− Ventes enregistrées en caisse</t>
        </is>
      </c>
      <c r="B54" s="7" t="n">
        <v>9</v>
      </c>
      <c r="C54" s="7">
        <f>Calcul!C29</f>
        <v/>
      </c>
      <c r="D54" s="5" t="inlineStr">
        <is>
          <t>Sources §2, 9 bouteilles (bouton MOUTON CADET)</t>
        </is>
      </c>
    </row>
    <row r="55">
      <c r="A55" s="5" t="inlineStr">
        <is>
          <t>Stock de clôture théorique 31/03/2023 (ouverture + achats − ventes)</t>
        </is>
      </c>
      <c r="B55" s="7">
        <f>B52+B53-B54</f>
        <v/>
      </c>
      <c r="C55" s="7">
        <f>C52+C53-C54</f>
        <v/>
      </c>
      <c r="D55" s="5" t="inlineStr">
        <is>
          <t>ouverture + achats − ventes</t>
        </is>
      </c>
    </row>
    <row r="56">
      <c r="A56" s="5" t="inlineStr">
        <is>
          <t>Stock de clôture inventorié 31/03/2023</t>
        </is>
      </c>
      <c r="B56" s="7" t="n">
        <v>1</v>
      </c>
      <c r="C56" s="7">
        <f>Sources!C38*75</f>
        <v/>
      </c>
      <c r="D56" s="5" t="inlineStr">
        <is>
          <t>Sources §3, inventaire physique</t>
        </is>
      </c>
    </row>
    <row r="57">
      <c r="A57" s="11" t="inlineStr">
        <is>
          <t>ÉCART = théorique − inventorié (sortie sans vente)</t>
        </is>
      </c>
      <c r="B57" s="12">
        <f>B55-B56</f>
        <v/>
      </c>
      <c r="C57" s="12">
        <f>C55-C56</f>
        <v/>
      </c>
      <c r="D57" s="5" t="inlineStr">
        <is>
          <t>1 bouteille = 75 cl non expliquée</t>
        </is>
      </c>
    </row>
    <row r="59">
      <c r="A59" s="3" t="inlineStr">
        <is>
          <t>F. VALORISATION EN EUROS (ANNEXE-B1)</t>
        </is>
      </c>
    </row>
    <row r="60">
      <c r="A60" s="4" t="inlineStr">
        <is>
          <t>Poste</t>
        </is>
      </c>
      <c r="B60" s="4" t="inlineStr">
        <is>
          <t>Quantité</t>
        </is>
      </c>
      <c r="C60" s="4" t="inlineStr">
        <is>
          <t>Prix HT (€)</t>
        </is>
      </c>
      <c r="D60" s="4" t="inlineStr">
        <is>
          <t>Montant HT (€)</t>
        </is>
      </c>
      <c r="E60" s="4" t="inlineStr">
        <is>
          <t>Note</t>
        </is>
      </c>
    </row>
    <row r="61">
      <c r="A61" s="5" t="inlineStr">
        <is>
          <t>1 bouteille MOUTON CADET non expliquée (sortie sans vente)</t>
        </is>
      </c>
      <c r="B61" s="7" t="n">
        <v>1</v>
      </c>
      <c r="C61" s="9">
        <f>Sources!E48</f>
        <v/>
      </c>
      <c r="D61" s="9">
        <f>B61*C61</f>
        <v/>
      </c>
      <c r="E61" s="5" t="inlineStr">
        <is>
          <t>exposition maximale si la sortie était requalifiée en vente non enregistrée</t>
        </is>
      </c>
    </row>
    <row r="62">
      <c r="A62" s="5" t="inlineStr">
        <is>
          <t>375 cl HC de Beaune blanc tirés au pichet au-delà des achats sous ce code (7,5 pichets)</t>
        </is>
      </c>
      <c r="B62" s="7" t="n">
        <v>7.5</v>
      </c>
      <c r="C62" s="9">
        <f>Sources!E50</f>
        <v/>
      </c>
      <c r="D62" s="9">
        <f>B62*C62</f>
        <v/>
      </c>
      <c r="E62" s="5" t="inlineStr">
        <is>
          <t>recette DÉJÀ enregistrée en caisse (pas de CA occulte) ; couverte en volume par le sur-stock de Nuits blanc</t>
        </is>
      </c>
    </row>
    <row r="64">
      <c r="A64" s="3" t="inlineStr">
        <is>
          <t>G. CONTRÔLE DES TROIS TABLEAUX DE LA PAGE 75 (recalcul des écarts et taux)</t>
        </is>
      </c>
    </row>
    <row r="65">
      <c r="A65" s="4" t="inlineStr">
        <is>
          <t>Tableau (courrier)</t>
        </is>
      </c>
      <c r="B65" s="4" t="inlineStr">
        <is>
          <t>Disponible (cl)</t>
        </is>
      </c>
      <c r="C65" s="4" t="inlineStr">
        <is>
          <t>Caisse A (cl)</t>
        </is>
      </c>
      <c r="D65" s="4" t="inlineStr">
        <is>
          <t>Écart = |A−dispo|</t>
        </is>
      </c>
      <c r="E65" s="4" t="inlineStr">
        <is>
          <t>Taux /A (recalc)</t>
        </is>
      </c>
    </row>
    <row r="66">
      <c r="A66" s="5" t="inlineStr">
        <is>
          <t>Exercice 1 — TOTAL imprimé</t>
        </is>
      </c>
      <c r="B66" s="7" t="n">
        <v>5400</v>
      </c>
      <c r="C66" s="7" t="n">
        <v>4683</v>
      </c>
      <c r="D66" s="7">
        <f>ABS(C66-B66)</f>
        <v/>
      </c>
      <c r="E66" s="13">
        <f>D66/C66</f>
        <v/>
      </c>
    </row>
    <row r="67">
      <c r="A67" s="5" t="inlineStr">
        <is>
          <t>Exercice 2 — TOTAL imprimé</t>
        </is>
      </c>
      <c r="B67" s="7" t="n">
        <v>6300</v>
      </c>
      <c r="C67" s="7" t="n">
        <v>18260</v>
      </c>
      <c r="D67" s="7">
        <f>ABS(C67-B67)</f>
        <v/>
      </c>
      <c r="E67" s="13">
        <f>D67/C67</f>
        <v/>
      </c>
    </row>
    <row r="68">
      <c r="A68" s="5" t="inlineStr">
        <is>
          <t>Exercice 3 — TOTAL imprimé (identique à l'ex. 2)</t>
        </is>
      </c>
      <c r="B68" s="7" t="n">
        <v>6300</v>
      </c>
      <c r="C68" s="7" t="n">
        <v>18260</v>
      </c>
      <c r="D68" s="7">
        <f>ABS(C68-B68)</f>
        <v/>
      </c>
      <c r="E68" s="13">
        <f>D68/C68</f>
        <v/>
      </c>
    </row>
    <row r="70" ht="44" customHeight="1">
      <c r="A70" s="14" t="inlineStr">
        <is>
          <t>Rappel — HC de Beaune rouge réellement en caisse (annexes/extraction) : 2022-2023 = 7 218 cl ; 2023-2024 = 5 310 cl ; 2024-2025 = 4 683 cl. La ligne blanc 12 950 cl n'est pas reproductible (caisse : 150 cl en 2023-2024, 0 en 2024-2025) et le service la limite lui-même au seul exercice 2023-2024 (Proposition p.32).</t>
        </is>
      </c>
    </row>
  </sheetData>
  <mergeCells count="1">
    <mergeCell ref="A70:E7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6" customWidth="1" min="1" max="1"/>
    <col width="118" customWidth="1" min="2" max="2"/>
  </cols>
  <sheetData>
    <row r="1">
      <c r="A1" s="1" t="inlineStr">
        <is>
          <t>MÉTHODE</t>
        </is>
      </c>
    </row>
    <row r="3" ht="36" customHeight="1">
      <c r="A3" s="15" t="inlineStr">
        <is>
          <t>Objet</t>
        </is>
      </c>
      <c r="B3" s="5" t="inlineStr">
        <is>
          <t>Point 10 de la réponse du 04/09/2026 (p. 74-75) : vérifier, référence par référence et exercice par exercice, l'existence de « ventes sans achat », et traiter honnêtement le bilan matière (achats − ventes − stock).</t>
        </is>
      </c>
    </row>
    <row r="4" ht="60" customHeight="1">
      <c r="A4" s="15" t="inlineStr">
        <is>
          <t>Achats</t>
        </is>
      </c>
      <c r="B4" s="5" t="inlineStr">
        <is>
          <t>199 factures du fournisseur Franche-Comté Boissons Services, rattachées par CODE ARTICLE (et non par libellé) et par date de facture à l'exercice 01/04→31/03. La même référence est facturée sous des désignations abrégées ou des millésimes différents : c'est le rattachement par code qui porte les achats de Bordeaux Supérieur à 11 bouteilles (et non 9) et le HC de Beaune rouge à 269 bouteilles sur trois ans (et non ≈245).</t>
        </is>
      </c>
    </row>
    <row r="5" ht="72" customHeight="1">
      <c r="A5" s="15" t="inlineStr">
        <is>
          <t>Ventes caisse</t>
        </is>
      </c>
      <c r="B5" s="5" t="inlineStr">
        <is>
          <t>Annexes de caisse C/D. Contenances de service : verre 15 cl, pichet 50 cl, bouteille 75 cl. La ligne « Bouteille » du HC de Beaune rouge porte des demi-bouteilles (37,5 cl) : la caisse enregistre 42,5 unités-bouteille en 2022-2023 et 22,5 en 2024-2025, d'où 42,5×75 = 3 187,5 ≈ 3 188 cl et 22,5×75 = 1 687,5 ≈ 1 688 cl. Le « +38 cl » relevé provient de l'arrondi de 42,5 à 42 (et 22,5 à 22) dans un tableau de synthèse antérieur : 0,5 bouteille × 75 = 37,5 ≈ 38 cl. Les volumes 7 218 cl et 4 683 cl sont donc exacts et dérivables.</t>
        </is>
      </c>
    </row>
    <row r="6" ht="48" customHeight="1">
      <c r="A6" s="15" t="inlineStr">
        <is>
          <t>Stocks</t>
        </is>
      </c>
      <c r="B6" s="5" t="inlineStr">
        <is>
          <t>Inventaires physiques de clôture (31/03/2023, 31/03/2024, 31/03/2025). « non inventorié (aucune ligne à ce libellé) » distingue l'absence de ligne d'un stock nul. AUCUN inventaire d'ouverture au 01/04/2022 n'a été produit : un bilan matière FERMÉ (ouverture + achats − ventes = clôture) est donc impossible à établir avec certitude pour l'exercice 2022-2023.</t>
        </is>
      </c>
    </row>
    <row r="7" ht="60" customHeight="1">
      <c r="A7" s="15" t="inlineStr">
        <is>
          <t>Bilan Mouton Cadet</t>
        </is>
      </c>
      <c r="B7" s="5" t="inlineStr">
        <is>
          <t>Bordeaux Supérieur 2022-2023 : 11 achetées − 9 vendues = 2 attendues en stock ; l'inventaire n'en porte qu'1. Écart = 1 bouteille (75 cl) sortie sans vente enregistrée. Ce n'est PAS une « vente sans achat » (le sens est inverse : plus d'achats que de ventes), mais une sortie non tracée (casse, offert, consommation, ou vente non enregistrée) que nous ne pouvons pas documenter. Exposition maximale si requalifiée en vente : 30,00 € HT (36,00 € TTC, ANNEXE-B1).</t>
        </is>
      </c>
    </row>
    <row r="8" ht="72" customHeight="1">
      <c r="A8" s="15" t="inlineStr">
        <is>
          <t>Beaune blanc</t>
        </is>
      </c>
      <c r="B8" s="5" t="inlineStr">
        <is>
          <t>HC de Beaune blanc : 75 cl achetés (1 bouteille) pour 450 cl vendus au pichet sur trois exercices, soit 375 cl au-delà des achats sous ce code. Ces pichets ont été tirés sur le sur-stock de HC de Nuits blanc (1 800 cl achetés, 225 cl vendus) mais enregistrés sous le bouton « PICHET C.DE BEAUNE B » : c'est un défaut de paramétrage du bouton, que nous ne contestons pas. En volume, les deux blancs regroupés donnent 1 875 cl achetés pour 675 cl vendus (achats = 2,8× ventes) ; la recette des 375 cl est enregistrée (pas de CA occulté).</t>
        </is>
      </c>
    </row>
    <row r="9" ht="72" customHeight="1">
      <c r="A9" s="15" t="inlineStr">
        <is>
          <t>Achats occultes</t>
        </is>
      </c>
      <c r="B9" s="5" t="inlineStr">
        <is>
          <t>La comparaison « achats facturés ≥ ventes » n'exclut pas, à elle seule, l'hypothèse d'achats réglés en espèces hors facture : un tel achat n'apparaîtrait ni dans les factures ni, s'il était revendu au comptant sans ticket, dans la caisse. La seule démonstration positive de l'absence d'achat occulte relèverait d'un contrôle des fournisseurs, hors de portée du contribuable. Si la comptabilité est écartée pour graves irrégularités, l'article L. 192 al. 2 du LPF renverse la charge de la preuve sur le contribuable (limite assumée).</t>
        </is>
      </c>
    </row>
    <row r="10" ht="72" customHeight="1">
      <c r="A10" s="15" t="inlineStr">
        <is>
          <t>Tableaux p.75</t>
        </is>
      </c>
      <c r="B10" s="5" t="inlineStr">
        <is>
          <t>Transcription fidèle des trois tableaux, puis recalcul. Écarts et taux recalculés : ex.1 = 717 cl (15,31 %) ; ex.2 et 3 = 11 960 cl (11 960/18 260 = 65,498 %, soit 65,50 % arrondi ; le service écrit 65,49 %). Les tableaux des exercices 2 et 3 sont identiques au centilitre près. La ligne « Beaune BLANC » porte 12 950 cl, non reproductible depuis la caisse (150 cl en 2023-2024, 0 en 2024-2025) ; la Proposition (p. 32) limite elle-même cette anomalie au « seul » exercice clos le 31/03/2024, alors que les tableaux la répètent sur 2024-2025.</t>
        </is>
      </c>
    </row>
    <row r="11" ht="48" customHeight="1">
      <c r="A11" s="15" t="inlineStr">
        <is>
          <t>Sources de données</t>
        </is>
      </c>
      <c r="B11" s="5" t="inlineStr">
        <is>
          <t>Achats : src/data/factures-fournisseur (199 factures). Ventes : annexes C/D de la caisse (2022-2023 : annexes B1/C1 jointes ; 2023-2024 et 2024-2025 : extraction de la réponse n°1, annexes primaires C-2/D-2 et C-3/D-3 à produire). Stocks : inventaires 31/03/2023-2024-2025. Prix : ANNEXE-B1.</t>
        </is>
      </c>
    </row>
    <row r="12" ht="30" customHeight="1">
      <c r="A12" s="15" t="inlineStr">
        <is>
          <t>Généré par</t>
        </is>
      </c>
      <c r="B12" s="5" t="inlineStr">
        <is>
          <t>Pièce R2 à formules (onglets Sources / Calcul / Méthode). Tous les résultats de l'onglet Calcul sont des formules renvoyant à l'onglet Sources.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2026-10-25T19:13:55Z</dcterms:created>
  <dcterms:modified xmlns:dcterms="http://purl.org/dc/terms/" xmlns:xsi="http://www.w3.org/2001/XMLSchema-instance" xsi:type="dcterms:W3CDTF">2026-10-25T19:13:55Z</dcterms:modified>
</cp:coreProperties>
</file>