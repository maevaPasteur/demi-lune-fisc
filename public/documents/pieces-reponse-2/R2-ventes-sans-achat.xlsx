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alcul" sheetId="2" state="visible" r:id="rId2"/>
    <sheet xmlns:r="http://schemas.openxmlformats.org/officeDocument/2006/relationships" name="Méthode" sheetId="3" state="visible" r:id="rId3"/>
    <sheet xmlns:r="http://schemas.openxmlformats.org/officeDocument/2006/relationships" name="Code 2091" sheetId="4" state="visible" r:id="rId4"/>
    <sheet xmlns:r="http://schemas.openxmlformats.org/officeDocument/2006/relationships" name="p75 vs annexes" sheetId="5" state="visible" r:id="rId5"/>
  </sheets>
  <definedNames/>
  <calcPr calcId="124519" fullCalcOnLoad="1"/>
</workbook>
</file>

<file path=xl/styles.xml><?xml version="1.0" encoding="utf-8"?>
<styleSheet xmlns="http://schemas.openxmlformats.org/spreadsheetml/2006/main">
  <numFmts count="3">
    <numFmt numFmtId="164" formatCode="0 %"/>
    <numFmt numFmtId="165" formatCode="0.0&quot;×&quot;"/>
    <numFmt numFmtId="166" formatCode="0.00 %"/>
  </numFmts>
  <fonts count="7">
    <font>
      <name val="Calibri"/>
      <family val="2"/>
      <color theme="1"/>
      <sz val="11"/>
      <scheme val="minor"/>
    </font>
    <font>
      <b val="1"/>
      <color rgb="001F3A5F"/>
      <sz val="13"/>
    </font>
    <font>
      <b val="1"/>
      <color rgb="001F3A5F"/>
    </font>
    <font>
      <b val="1"/>
      <color rgb="00FFFFFF"/>
    </font>
    <font>
      <i val="1"/>
      <sz val="9"/>
    </font>
    <font>
      <b val="1"/>
      <sz val="12"/>
    </font>
    <font>
      <b val="1"/>
    </font>
  </fonts>
  <fills count="6">
    <fill>
      <patternFill/>
    </fill>
    <fill>
      <patternFill patternType="gray125"/>
    </fill>
    <fill>
      <patternFill patternType="solid">
        <fgColor rgb="00DCE6F1"/>
      </patternFill>
    </fill>
    <fill>
      <patternFill patternType="solid">
        <fgColor rgb="001F3A5F"/>
      </patternFill>
    </fill>
    <fill>
      <patternFill patternType="solid">
        <fgColor rgb="00F8D7DA"/>
      </patternFill>
    </fill>
    <fill>
      <patternFill patternType="solid">
        <fgColor rgb="00F7EFD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3" borderId="1" applyAlignment="1" pivotButton="0" quotePrefix="0" xfId="0">
      <alignment vertical="center" wrapText="1"/>
    </xf>
    <xf numFmtId="0" fontId="0"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right"/>
    </xf>
    <xf numFmtId="164" fontId="0" fillId="0" borderId="1" applyAlignment="1" pivotButton="0" quotePrefix="0" xfId="0">
      <alignment horizontal="right"/>
    </xf>
    <xf numFmtId="2" fontId="0" fillId="0" borderId="1" applyAlignment="1" pivotButton="0" quotePrefix="0" xfId="0">
      <alignment horizontal="right"/>
    </xf>
    <xf numFmtId="165" fontId="0" fillId="0" borderId="1" applyAlignment="1" pivotButton="0" quotePrefix="0" xfId="0">
      <alignment horizontal="right"/>
    </xf>
    <xf numFmtId="0" fontId="0" fillId="4" borderId="1" applyAlignment="1" pivotButton="0" quotePrefix="0" xfId="0">
      <alignment vertical="top" wrapText="1"/>
    </xf>
    <xf numFmtId="0" fontId="0" fillId="4" borderId="1" applyAlignment="1" pivotButton="0" quotePrefix="0" xfId="0">
      <alignment horizontal="right"/>
    </xf>
    <xf numFmtId="166" fontId="0" fillId="0" borderId="1" applyAlignment="1" pivotButton="0" quotePrefix="0" xfId="0">
      <alignment horizontal="right"/>
    </xf>
    <xf numFmtId="0" fontId="4" fillId="0" borderId="0" applyAlignment="1" pivotButton="0" quotePrefix="0" xfId="0">
      <alignment vertical="top" wrapText="1"/>
    </xf>
    <xf numFmtId="0" fontId="2" fillId="2" borderId="1" applyAlignment="1" pivotButton="0" quotePrefix="0" xfId="0">
      <alignment vertical="top" wrapText="1"/>
    </xf>
    <xf numFmtId="0" fontId="5" fillId="0" borderId="0" applyAlignment="1" pivotButton="0" quotePrefix="0" xfId="0">
      <alignment vertical="top" wrapText="1"/>
    </xf>
    <xf numFmtId="0" fontId="6" fillId="5"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42" customWidth="1" min="1" max="1"/>
    <col width="26" customWidth="1" min="2" max="2"/>
    <col width="13" customWidth="1" min="3" max="3"/>
    <col width="15" customWidth="1" min="4" max="4"/>
    <col width="13" customWidth="1" min="5" max="5"/>
    <col width="12" customWidth="1" min="6" max="6"/>
    <col width="14" customWidth="1" min="7" max="7"/>
    <col width="16" customWidth="1" min="8" max="8"/>
  </cols>
  <sheetData>
    <row r="1">
      <c r="A1" s="1" t="inlineStr">
        <is>
          <t>SOURCES — données brutes utilisées (centilitres sauf mention)</t>
        </is>
      </c>
    </row>
    <row r="2" ht="58" customHeight="1">
      <c r="A2" s="2" t="inlineStr">
        <is>
          <t>Achats : 199 factures du fournisseur Franche-Comté Boissons Services, rattachées par CODE ARTICLE et par date de facture. Ventes : annexes de caisse B/D des trois exercices (ANNEXE-B1/C1 2022-2023 ; ANNEXE-B2/D2 2023-2024 ; ANNEXE-B3/D3 2024-2025), format de service × contenance. Stocks : inventaires physiques de clôture (31/03). Prix de vente : ANNEXE-B1. Les volumes 2023-2024 et 2024-2025 ont été revérifiés sur les annexes D2/D3 (synthèse produit) : 5 310 cl et 4 683 cl, identiques aux totaux des annexes du service du 18/05/2026 (p. 63 et p. 77).</t>
        </is>
      </c>
    </row>
    <row r="4">
      <c r="A4" s="3" t="inlineStr">
        <is>
          <t>1. ACHATS FACTURÉS (bouteilles de 75 cl)</t>
        </is>
      </c>
    </row>
    <row r="5">
      <c r="A5" s="4" t="inlineStr">
        <is>
          <t>Référence (code fournisseur)</t>
        </is>
      </c>
      <c r="B5" s="4" t="inlineStr">
        <is>
          <t>Bouton de caisse</t>
        </is>
      </c>
      <c r="C5" s="4" t="inlineStr">
        <is>
          <t>Exercice</t>
        </is>
      </c>
      <c r="D5" s="4" t="inlineStr">
        <is>
          <t>Bouteilles facturées</t>
        </is>
      </c>
      <c r="E5" s="4" t="inlineStr">
        <is>
          <t>Contenance (cl)</t>
        </is>
      </c>
      <c r="F5" s="4" t="inlineStr"/>
      <c r="G5" s="4" t="inlineStr"/>
      <c r="H5" s="4" t="inlineStr"/>
    </row>
    <row r="6">
      <c r="A6" s="5" t="inlineStr">
        <is>
          <t>Bordeaux Supérieur, Château Grand Renom (661236)</t>
        </is>
      </c>
      <c r="B6" s="6" t="inlineStr">
        <is>
          <t>BORD. MOUTON CADET</t>
        </is>
      </c>
      <c r="C6" s="6" t="inlineStr">
        <is>
          <t>2022-2023</t>
        </is>
      </c>
      <c r="D6" s="7" t="n">
        <v>11</v>
      </c>
      <c r="E6" s="7" t="n">
        <v>75</v>
      </c>
    </row>
    <row r="7">
      <c r="A7" s="5" t="inlineStr">
        <is>
          <t>Bordeaux Supérieur, Château Grand Renom (661236)</t>
        </is>
      </c>
      <c r="B7" s="6" t="inlineStr">
        <is>
          <t>BORD. MOUTON CADET</t>
        </is>
      </c>
      <c r="C7" s="6" t="inlineStr">
        <is>
          <t>2023-2024</t>
        </is>
      </c>
      <c r="D7" s="7" t="n">
        <v>0</v>
      </c>
      <c r="E7" s="7" t="n">
        <v>75</v>
      </c>
    </row>
    <row r="8">
      <c r="A8" s="5" t="inlineStr">
        <is>
          <t>Bordeaux Supérieur, Château Grand Renom (661236)</t>
        </is>
      </c>
      <c r="B8" s="6" t="inlineStr">
        <is>
          <t>BORD. MOUTON CADET</t>
        </is>
      </c>
      <c r="C8" s="6" t="inlineStr">
        <is>
          <t>2024-2025</t>
        </is>
      </c>
      <c r="D8" s="7" t="n">
        <v>0</v>
      </c>
      <c r="E8" s="7" t="n">
        <v>75</v>
      </c>
    </row>
    <row r="9">
      <c r="A9" s="5" t="inlineStr">
        <is>
          <t>HC de Nuits blanc, Lupé Cholet 2017 (601416)</t>
        </is>
      </c>
      <c r="B9" s="6" t="inlineStr">
        <is>
          <t>H.COTES DE NUITS</t>
        </is>
      </c>
      <c r="C9" s="6" t="inlineStr">
        <is>
          <t>2022-2023</t>
        </is>
      </c>
      <c r="D9" s="7" t="n">
        <v>24</v>
      </c>
      <c r="E9" s="7" t="n">
        <v>75</v>
      </c>
    </row>
    <row r="10">
      <c r="A10" s="5" t="inlineStr">
        <is>
          <t>HC de Nuits blanc, Lupé Cholet 2017 (601416)</t>
        </is>
      </c>
      <c r="B10" s="6" t="inlineStr">
        <is>
          <t>H.COTES DE NUITS</t>
        </is>
      </c>
      <c r="C10" s="6" t="inlineStr">
        <is>
          <t>2023-2024</t>
        </is>
      </c>
      <c r="D10" s="7" t="n">
        <v>0</v>
      </c>
      <c r="E10" s="7" t="n">
        <v>75</v>
      </c>
    </row>
    <row r="11">
      <c r="A11" s="5" t="inlineStr">
        <is>
          <t>HC de Nuits blanc, Lupé Cholet 2017 (601416)</t>
        </is>
      </c>
      <c r="B11" s="6" t="inlineStr">
        <is>
          <t>H.COTES DE NUITS</t>
        </is>
      </c>
      <c r="C11" s="6" t="inlineStr">
        <is>
          <t>2024-2025</t>
        </is>
      </c>
      <c r="D11" s="7" t="n">
        <v>0</v>
      </c>
      <c r="E11" s="7" t="n">
        <v>75</v>
      </c>
    </row>
    <row r="12">
      <c r="A12" s="5" t="inlineStr">
        <is>
          <t>HC de Beaune blanc, Domaine Germain (600425)</t>
        </is>
      </c>
      <c r="B12" s="6" t="inlineStr">
        <is>
          <t>PICHET C.DE BEAUNE B</t>
        </is>
      </c>
      <c r="C12" s="6" t="inlineStr">
        <is>
          <t>2022-2023</t>
        </is>
      </c>
      <c r="D12" s="7" t="n">
        <v>1</v>
      </c>
      <c r="E12" s="7" t="n">
        <v>75</v>
      </c>
    </row>
    <row r="13">
      <c r="A13" s="5" t="inlineStr">
        <is>
          <t>HC de Beaune blanc, Domaine Germain (600425)</t>
        </is>
      </c>
      <c r="B13" s="6" t="inlineStr">
        <is>
          <t>PICHET C.DE BEAUNE B</t>
        </is>
      </c>
      <c r="C13" s="6" t="inlineStr">
        <is>
          <t>2023-2024</t>
        </is>
      </c>
      <c r="D13" s="7" t="n">
        <v>0</v>
      </c>
      <c r="E13" s="7" t="n">
        <v>75</v>
      </c>
    </row>
    <row r="14">
      <c r="A14" s="5" t="inlineStr">
        <is>
          <t>HC de Beaune blanc, Domaine Germain (600425)</t>
        </is>
      </c>
      <c r="B14" s="6" t="inlineStr">
        <is>
          <t>PICHET C.DE BEAUNE B</t>
        </is>
      </c>
      <c r="C14" s="6" t="inlineStr">
        <is>
          <t>2024-2025</t>
        </is>
      </c>
      <c r="D14" s="7" t="n">
        <v>0</v>
      </c>
      <c r="E14" s="7" t="n">
        <v>75</v>
      </c>
    </row>
    <row r="15">
      <c r="A15" s="5" t="inlineStr">
        <is>
          <t>HC de Beaune rouge, Domaine Germain (601667/601346/630253/601199)</t>
        </is>
      </c>
      <c r="B15" s="6" t="inlineStr">
        <is>
          <t>H.C. BEAUNE (btl/verre/pichet)</t>
        </is>
      </c>
      <c r="C15" s="6" t="inlineStr">
        <is>
          <t>2022-2023</t>
        </is>
      </c>
      <c r="D15" s="7" t="n">
        <v>110</v>
      </c>
      <c r="E15" s="7" t="n">
        <v>75</v>
      </c>
    </row>
    <row r="16">
      <c r="A16" s="5" t="inlineStr">
        <is>
          <t>HC de Beaune rouge, Domaine Germain</t>
        </is>
      </c>
      <c r="B16" s="6" t="inlineStr">
        <is>
          <t>H.C. BEAUNE (btl/verre/pichet)</t>
        </is>
      </c>
      <c r="C16" s="6" t="inlineStr">
        <is>
          <t>2023-2024</t>
        </is>
      </c>
      <c r="D16" s="7" t="n">
        <v>85</v>
      </c>
      <c r="E16" s="7" t="n">
        <v>75</v>
      </c>
    </row>
    <row r="17">
      <c r="A17" s="5" t="inlineStr">
        <is>
          <t>HC de Beaune rouge, Domaine Germain</t>
        </is>
      </c>
      <c r="B17" s="6" t="inlineStr">
        <is>
          <t>H.C. BEAUNE (btl/verre/pichet)</t>
        </is>
      </c>
      <c r="C17" s="6" t="inlineStr">
        <is>
          <t>2024-2025</t>
        </is>
      </c>
      <c r="D17" s="7" t="n">
        <v>74</v>
      </c>
      <c r="E17" s="7" t="n">
        <v>75</v>
      </c>
    </row>
    <row r="19">
      <c r="A19" s="3" t="inlineStr">
        <is>
          <t>2. VENTES ENREGISTRÉES EN CAISSE (format de service × contenance)</t>
        </is>
      </c>
    </row>
    <row r="20">
      <c r="A20" s="4" t="inlineStr">
        <is>
          <t>Référence</t>
        </is>
      </c>
      <c r="B20" s="4" t="inlineStr">
        <is>
          <t>Format</t>
        </is>
      </c>
      <c r="C20" s="4" t="inlineStr">
        <is>
          <t>Exercice</t>
        </is>
      </c>
      <c r="D20" s="4" t="inlineStr">
        <is>
          <t>Quantité (unités)</t>
        </is>
      </c>
      <c r="E20" s="4" t="inlineStr">
        <is>
          <t>Contenance unitaire (cl)</t>
        </is>
      </c>
      <c r="F20" s="4" t="inlineStr"/>
      <c r="G20" s="4" t="inlineStr"/>
      <c r="H20" s="4" t="inlineStr"/>
    </row>
    <row r="21">
      <c r="A21" s="5" t="inlineStr">
        <is>
          <t>HC de Beaune rouge</t>
        </is>
      </c>
      <c r="B21" s="6" t="inlineStr">
        <is>
          <t>Bouteille (dont demi)</t>
        </is>
      </c>
      <c r="C21" s="6" t="inlineStr">
        <is>
          <t>2022-2023</t>
        </is>
      </c>
      <c r="D21" s="7" t="n">
        <v>42.5</v>
      </c>
      <c r="E21" s="7" t="n">
        <v>75</v>
      </c>
    </row>
    <row r="22">
      <c r="A22" s="5" t="inlineStr">
        <is>
          <t>HC de Beaune rouge</t>
        </is>
      </c>
      <c r="B22" s="6" t="inlineStr">
        <is>
          <t>Verre</t>
        </is>
      </c>
      <c r="C22" s="6" t="inlineStr">
        <is>
          <t>2022-2023</t>
        </is>
      </c>
      <c r="D22" s="7" t="n">
        <v>182</v>
      </c>
      <c r="E22" s="7" t="n">
        <v>15</v>
      </c>
    </row>
    <row r="23">
      <c r="A23" s="5" t="inlineStr">
        <is>
          <t>HC de Beaune rouge</t>
        </is>
      </c>
      <c r="B23" s="6" t="inlineStr">
        <is>
          <t>Pichet 50 cl</t>
        </is>
      </c>
      <c r="C23" s="6" t="inlineStr">
        <is>
          <t>2022-2023</t>
        </is>
      </c>
      <c r="D23" s="7" t="n">
        <v>26</v>
      </c>
      <c r="E23" s="7" t="n">
        <v>50</v>
      </c>
    </row>
    <row r="24">
      <c r="A24" s="5" t="inlineStr">
        <is>
          <t>HC de Beaune rouge</t>
        </is>
      </c>
      <c r="B24" s="6" t="inlineStr">
        <is>
          <t>Bouteille</t>
        </is>
      </c>
      <c r="C24" s="6" t="inlineStr">
        <is>
          <t>2023-2024</t>
        </is>
      </c>
      <c r="D24" s="7" t="n">
        <v>26</v>
      </c>
      <c r="E24" s="7" t="n">
        <v>75</v>
      </c>
    </row>
    <row r="25">
      <c r="A25" s="5" t="inlineStr">
        <is>
          <t>HC de Beaune rouge</t>
        </is>
      </c>
      <c r="B25" s="6" t="inlineStr">
        <is>
          <t>Verre</t>
        </is>
      </c>
      <c r="C25" s="6" t="inlineStr">
        <is>
          <t>2023-2024</t>
        </is>
      </c>
      <c r="D25" s="7" t="n">
        <v>124</v>
      </c>
      <c r="E25" s="7" t="n">
        <v>15</v>
      </c>
    </row>
    <row r="26">
      <c r="A26" s="5" t="inlineStr">
        <is>
          <t>HC de Beaune rouge</t>
        </is>
      </c>
      <c r="B26" s="6" t="inlineStr">
        <is>
          <t>Pichet 50 cl</t>
        </is>
      </c>
      <c r="C26" s="6" t="inlineStr">
        <is>
          <t>2023-2024</t>
        </is>
      </c>
      <c r="D26" s="7" t="n">
        <v>30</v>
      </c>
      <c r="E26" s="7" t="n">
        <v>50</v>
      </c>
    </row>
    <row r="27">
      <c r="A27" s="5" t="inlineStr">
        <is>
          <t>HC de Beaune rouge</t>
        </is>
      </c>
      <c r="B27" s="6" t="inlineStr">
        <is>
          <t>Bouteille (dont demi)</t>
        </is>
      </c>
      <c r="C27" s="6" t="inlineStr">
        <is>
          <t>2024-2025</t>
        </is>
      </c>
      <c r="D27" s="7" t="n">
        <v>22.5</v>
      </c>
      <c r="E27" s="7" t="n">
        <v>75</v>
      </c>
    </row>
    <row r="28">
      <c r="A28" s="5" t="inlineStr">
        <is>
          <t>HC de Beaune rouge</t>
        </is>
      </c>
      <c r="B28" s="6" t="inlineStr">
        <is>
          <t>Verre</t>
        </is>
      </c>
      <c r="C28" s="6" t="inlineStr">
        <is>
          <t>2024-2025</t>
        </is>
      </c>
      <c r="D28" s="7" t="n">
        <v>103</v>
      </c>
      <c r="E28" s="7" t="n">
        <v>15</v>
      </c>
    </row>
    <row r="29">
      <c r="A29" s="5" t="inlineStr">
        <is>
          <t>HC de Beaune rouge</t>
        </is>
      </c>
      <c r="B29" s="6" t="inlineStr">
        <is>
          <t>Pichet 50 cl</t>
        </is>
      </c>
      <c r="C29" s="6" t="inlineStr">
        <is>
          <t>2024-2025</t>
        </is>
      </c>
      <c r="D29" s="7" t="n">
        <v>29</v>
      </c>
      <c r="E29" s="7" t="n">
        <v>50</v>
      </c>
    </row>
    <row r="30">
      <c r="A30" s="5" t="inlineStr">
        <is>
          <t>Bordeaux Supérieur (bouton MOUTON CADET)</t>
        </is>
      </c>
      <c r="B30" s="6" t="inlineStr">
        <is>
          <t>Bouteille</t>
        </is>
      </c>
      <c r="C30" s="6" t="inlineStr">
        <is>
          <t>2022-2023</t>
        </is>
      </c>
      <c r="D30" s="7" t="n">
        <v>9</v>
      </c>
      <c r="E30" s="7" t="n">
        <v>75</v>
      </c>
    </row>
    <row r="31">
      <c r="A31" s="5" t="inlineStr">
        <is>
          <t>HC de Nuits blanc</t>
        </is>
      </c>
      <c r="B31" s="6" t="inlineStr">
        <is>
          <t>Bouteille</t>
        </is>
      </c>
      <c r="C31" s="6" t="inlineStr">
        <is>
          <t>2022-2023</t>
        </is>
      </c>
      <c r="D31" s="7" t="n">
        <v>3</v>
      </c>
      <c r="E31" s="7" t="n">
        <v>75</v>
      </c>
    </row>
    <row r="32">
      <c r="A32" s="5" t="inlineStr">
        <is>
          <t>HC de Beaune blanc (bouton PICHET C.DE BEAUNE B)</t>
        </is>
      </c>
      <c r="B32" s="6" t="inlineStr">
        <is>
          <t>Pichet 50 cl</t>
        </is>
      </c>
      <c r="C32" s="6" t="inlineStr">
        <is>
          <t>2022-2023</t>
        </is>
      </c>
      <c r="D32" s="7" t="n">
        <v>6</v>
      </c>
      <c r="E32" s="7" t="n">
        <v>50</v>
      </c>
    </row>
    <row r="33">
      <c r="A33" s="5" t="inlineStr">
        <is>
          <t>HC de Beaune blanc (bouton PICHET C.DE BEAUNE B)</t>
        </is>
      </c>
      <c r="B33" s="6" t="inlineStr">
        <is>
          <t>Pichet 50 cl</t>
        </is>
      </c>
      <c r="C33" s="6" t="inlineStr">
        <is>
          <t>2023-2024</t>
        </is>
      </c>
      <c r="D33" s="7" t="n">
        <v>3</v>
      </c>
      <c r="E33" s="7" t="n">
        <v>50</v>
      </c>
    </row>
    <row r="34">
      <c r="A34" s="5" t="inlineStr">
        <is>
          <t>HC de Beaune blanc (bouton PICHET C.DE BEAUNE B)</t>
        </is>
      </c>
      <c r="B34" s="6" t="inlineStr">
        <is>
          <t>Pichet 50 cl</t>
        </is>
      </c>
      <c r="C34" s="6" t="inlineStr">
        <is>
          <t>2024-2025</t>
        </is>
      </c>
      <c r="D34" s="7" t="n">
        <v>0</v>
      </c>
      <c r="E34" s="7" t="n">
        <v>50</v>
      </c>
    </row>
    <row r="36">
      <c r="A36" s="3" t="inlineStr">
        <is>
          <t>3. STOCKS DE CLÔTURE (inventaires physiques 31/03)</t>
        </is>
      </c>
    </row>
    <row r="37">
      <c r="A37" s="4" t="inlineStr">
        <is>
          <t>Référence</t>
        </is>
      </c>
      <c r="B37" s="4" t="inlineStr">
        <is>
          <t>Date de clôture</t>
        </is>
      </c>
      <c r="C37" s="4" t="inlineStr">
        <is>
          <t>Bouteilles inventoriées</t>
        </is>
      </c>
      <c r="D37" s="4" t="inlineStr">
        <is>
          <t>Contenance (cl)</t>
        </is>
      </c>
      <c r="E37" s="4" t="inlineStr">
        <is>
          <t>Note</t>
        </is>
      </c>
      <c r="F37" s="4" t="inlineStr"/>
      <c r="G37" s="4" t="inlineStr"/>
      <c r="H37" s="4" t="inlineStr"/>
    </row>
    <row r="38">
      <c r="A38" s="5" t="inlineStr">
        <is>
          <t>Bordeaux Supérieur (MOUTON CADET)</t>
        </is>
      </c>
      <c r="B38" s="6" t="inlineStr">
        <is>
          <t>31/03/2023</t>
        </is>
      </c>
      <c r="C38" s="7" t="n">
        <v>1</v>
      </c>
      <c r="D38" s="7" t="n">
        <v>75</v>
      </c>
      <c r="E38" s="5" t="inlineStr">
        <is>
          <t>porté à l'inventaire 2022-2023</t>
        </is>
      </c>
    </row>
    <row r="39">
      <c r="A39" s="5" t="inlineStr">
        <is>
          <t>HC de Beaune rouge</t>
        </is>
      </c>
      <c r="B39" s="6" t="inlineStr">
        <is>
          <t>31/03/2023</t>
        </is>
      </c>
      <c r="C39" s="7" t="n">
        <v>6</v>
      </c>
      <c r="D39" s="7" t="n">
        <v>75</v>
      </c>
      <c r="E39" s="5" t="inlineStr">
        <is>
          <t>porté à l'inventaire 2022-2023</t>
        </is>
      </c>
    </row>
    <row r="40">
      <c r="A40" s="5" t="inlineStr">
        <is>
          <t>HC de Beaune rouge</t>
        </is>
      </c>
      <c r="B40" s="6" t="inlineStr">
        <is>
          <t>31/03/2024</t>
        </is>
      </c>
      <c r="C40" s="7" t="inlineStr">
        <is>
          <t>n/d</t>
        </is>
      </c>
      <c r="D40" s="7" t="n">
        <v>75</v>
      </c>
      <c r="E40" s="5" t="inlineStr">
        <is>
          <t>non inventorié (aucune ligne à ce libellé) — n'est pas un stock nul</t>
        </is>
      </c>
    </row>
    <row r="41">
      <c r="A41" s="5" t="inlineStr">
        <is>
          <t>HC de Beaune rouge</t>
        </is>
      </c>
      <c r="B41" s="6" t="inlineStr">
        <is>
          <t>31/03/2025</t>
        </is>
      </c>
      <c r="C41" s="7" t="n">
        <v>8</v>
      </c>
      <c r="D41" s="7" t="n">
        <v>75</v>
      </c>
      <c r="E41" s="5" t="inlineStr">
        <is>
          <t>porté à l'inventaire 2024-2025</t>
        </is>
      </c>
    </row>
    <row r="42">
      <c r="A42" s="5" t="inlineStr">
        <is>
          <t>HC de Nuits blanc</t>
        </is>
      </c>
      <c r="B42" s="6" t="inlineStr">
        <is>
          <t>31/03/2023..2025</t>
        </is>
      </c>
      <c r="C42" s="7" t="inlineStr">
        <is>
          <t>n/d</t>
        </is>
      </c>
      <c r="D42" s="7" t="n">
        <v>75</v>
      </c>
      <c r="E42" s="5" t="inlineStr">
        <is>
          <t>non inventorié sous aucun libellé (cherché par libellé et par prix 12,22 €)</t>
        </is>
      </c>
    </row>
    <row r="43">
      <c r="A43" s="5" t="inlineStr">
        <is>
          <t>HC de Beaune blanc</t>
        </is>
      </c>
      <c r="B43" s="6" t="inlineStr">
        <is>
          <t>31/03/2023..2025</t>
        </is>
      </c>
      <c r="C43" s="7" t="inlineStr">
        <is>
          <t>n/d</t>
        </is>
      </c>
      <c r="D43" s="7" t="n">
        <v>75</v>
      </c>
      <c r="E43" s="5" t="inlineStr">
        <is>
          <t>non inventorié sous aucun libellé (cherché par libellé et par prix 9,95 €)</t>
        </is>
      </c>
    </row>
    <row r="44">
      <c r="A44" s="5" t="inlineStr">
        <is>
          <t>Ouverture 01/04/2022 (tous)</t>
        </is>
      </c>
      <c r="B44" s="6" t="inlineStr">
        <is>
          <t>01/04/2022</t>
        </is>
      </c>
      <c r="C44" s="7" t="inlineStr">
        <is>
          <t>n/d</t>
        </is>
      </c>
      <c r="D44" s="7" t="n">
        <v>75</v>
      </c>
      <c r="E44" s="5" t="inlineStr">
        <is>
          <t>AUCUN inventaire d'ouverture produit — bilan matière fermé impossible pour 2022-2023</t>
        </is>
      </c>
    </row>
    <row r="46">
      <c r="A46" s="3" t="inlineStr">
        <is>
          <t>4. PRIX DE VENTE (ANNEXE-B1, 2022-2023, TTC) — pour conversion en euros</t>
        </is>
      </c>
    </row>
    <row r="47">
      <c r="A47" s="4" t="inlineStr">
        <is>
          <t>Bouton / référence (code B1)</t>
        </is>
      </c>
      <c r="B47" s="4" t="inlineStr">
        <is>
          <t>Format</t>
        </is>
      </c>
      <c r="C47" s="4" t="inlineStr">
        <is>
          <t>Prix TTC (€)</t>
        </is>
      </c>
      <c r="D47" s="4" t="inlineStr">
        <is>
          <t>Taux TVA</t>
        </is>
      </c>
      <c r="E47" s="4" t="inlineStr">
        <is>
          <t>Prix HT (€) =TTC/(1+TVA)</t>
        </is>
      </c>
      <c r="F47" s="4" t="inlineStr"/>
      <c r="G47" s="4" t="inlineStr"/>
      <c r="H47" s="4" t="inlineStr"/>
    </row>
    <row r="48">
      <c r="A48" s="5" t="inlineStr">
        <is>
          <t>BORD. MOUTON CADET (1859)</t>
        </is>
      </c>
      <c r="B48" s="6" t="inlineStr">
        <is>
          <t>Bouteille</t>
        </is>
      </c>
      <c r="C48" s="7" t="n">
        <v>36</v>
      </c>
      <c r="D48" s="8" t="n">
        <v>0.2</v>
      </c>
      <c r="E48" s="9">
        <f>C48/(1+D48)</f>
        <v/>
      </c>
    </row>
    <row r="49">
      <c r="A49" s="5" t="inlineStr">
        <is>
          <t>H.COTES DE NUITS (2022)</t>
        </is>
      </c>
      <c r="B49" s="6" t="inlineStr">
        <is>
          <t>Bouteille</t>
        </is>
      </c>
      <c r="C49" s="7" t="n">
        <v>39.5</v>
      </c>
      <c r="D49" s="8" t="n">
        <v>0.2</v>
      </c>
      <c r="E49" s="9">
        <f>C49/(1+D49)</f>
        <v/>
      </c>
    </row>
    <row r="50">
      <c r="A50" s="5" t="inlineStr">
        <is>
          <t>PICHET C.DE BEAUNE B (2091)</t>
        </is>
      </c>
      <c r="B50" s="6" t="inlineStr">
        <is>
          <t>Pichet 50 cl</t>
        </is>
      </c>
      <c r="C50" s="7" t="n">
        <v>30</v>
      </c>
      <c r="D50" s="8" t="n">
        <v>0.2</v>
      </c>
      <c r="E50" s="9">
        <f>C50/(1+D50)</f>
        <v/>
      </c>
    </row>
    <row r="51">
      <c r="A51" s="5" t="inlineStr">
        <is>
          <t>H.C.B BEAUNE BTL (2025) / H.C.BEAUNE BOUTEILLE (2093)</t>
        </is>
      </c>
      <c r="B51" s="6" t="inlineStr">
        <is>
          <t>Bouteille</t>
        </is>
      </c>
      <c r="C51" s="7" t="n">
        <v>39.5</v>
      </c>
      <c r="D51" s="8" t="n">
        <v>0.2</v>
      </c>
      <c r="E51" s="9">
        <f>C51/(1+D51)</f>
        <v/>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40" customWidth="1" min="1" max="1"/>
    <col width="13" customWidth="1" min="2" max="2"/>
    <col width="16" customWidth="1" min="3" max="3"/>
    <col width="16" customWidth="1" min="4" max="4"/>
    <col width="20" customWidth="1" min="5" max="5"/>
  </cols>
  <sheetData>
    <row r="1">
      <c r="A1" s="1" t="inlineStr">
        <is>
          <t>CALCUL — tous les résultats sont obtenus par formule (bilan par vin : achats − ventes − stock)</t>
        </is>
      </c>
    </row>
    <row r="3">
      <c r="A3" s="3" t="inlineStr">
        <is>
          <t>A. ACHATS en cl (= bouteilles × contenance, renvoi à Sources)</t>
        </is>
      </c>
    </row>
    <row r="4">
      <c r="A4" s="4" t="inlineStr">
        <is>
          <t>Référence</t>
        </is>
      </c>
      <c r="B4" s="4" t="inlineStr">
        <is>
          <t>Exercice</t>
        </is>
      </c>
      <c r="C4" s="4" t="inlineStr">
        <is>
          <t>Achats (cl) = D×E Sources</t>
        </is>
      </c>
      <c r="D4" s="4" t="inlineStr"/>
      <c r="E4" s="4" t="inlineStr"/>
    </row>
    <row r="5">
      <c r="A5" s="5" t="inlineStr">
        <is>
          <t>Bordeaux Supérieur, Château Grand Renom (661236)</t>
        </is>
      </c>
      <c r="B5" s="6" t="inlineStr">
        <is>
          <t>2022-2023</t>
        </is>
      </c>
      <c r="C5" s="7">
        <f>Sources!D6*Sources!E6</f>
        <v/>
      </c>
    </row>
    <row r="6">
      <c r="A6" s="5" t="inlineStr">
        <is>
          <t>Bordeaux Supérieur, Château Grand Renom (661236)</t>
        </is>
      </c>
      <c r="B6" s="6" t="inlineStr">
        <is>
          <t>2023-2024</t>
        </is>
      </c>
      <c r="C6" s="7">
        <f>Sources!D7*Sources!E7</f>
        <v/>
      </c>
    </row>
    <row r="7">
      <c r="A7" s="5" t="inlineStr">
        <is>
          <t>Bordeaux Supérieur, Château Grand Renom (661236)</t>
        </is>
      </c>
      <c r="B7" s="6" t="inlineStr">
        <is>
          <t>2024-2025</t>
        </is>
      </c>
      <c r="C7" s="7">
        <f>Sources!D8*Sources!E8</f>
        <v/>
      </c>
    </row>
    <row r="8">
      <c r="A8" s="5" t="inlineStr">
        <is>
          <t>HC de Nuits blanc, Lupé Cholet 2017 (601416)</t>
        </is>
      </c>
      <c r="B8" s="6" t="inlineStr">
        <is>
          <t>2022-2023</t>
        </is>
      </c>
      <c r="C8" s="7">
        <f>Sources!D9*Sources!E9</f>
        <v/>
      </c>
    </row>
    <row r="9">
      <c r="A9" s="5" t="inlineStr">
        <is>
          <t>HC de Nuits blanc, Lupé Cholet 2017 (601416)</t>
        </is>
      </c>
      <c r="B9" s="6" t="inlineStr">
        <is>
          <t>2023-2024</t>
        </is>
      </c>
      <c r="C9" s="7">
        <f>Sources!D10*Sources!E10</f>
        <v/>
      </c>
    </row>
    <row r="10">
      <c r="A10" s="5" t="inlineStr">
        <is>
          <t>HC de Nuits blanc, Lupé Cholet 2017 (601416)</t>
        </is>
      </c>
      <c r="B10" s="6" t="inlineStr">
        <is>
          <t>2024-2025</t>
        </is>
      </c>
      <c r="C10" s="7">
        <f>Sources!D11*Sources!E11</f>
        <v/>
      </c>
    </row>
    <row r="11">
      <c r="A11" s="5" t="inlineStr">
        <is>
          <t>HC de Beaune blanc, Domaine Germain (600425)</t>
        </is>
      </c>
      <c r="B11" s="6" t="inlineStr">
        <is>
          <t>2022-2023</t>
        </is>
      </c>
      <c r="C11" s="7">
        <f>Sources!D12*Sources!E12</f>
        <v/>
      </c>
    </row>
    <row r="12">
      <c r="A12" s="5" t="inlineStr">
        <is>
          <t>HC de Beaune blanc, Domaine Germain (600425)</t>
        </is>
      </c>
      <c r="B12" s="6" t="inlineStr">
        <is>
          <t>2023-2024</t>
        </is>
      </c>
      <c r="C12" s="7">
        <f>Sources!D13*Sources!E13</f>
        <v/>
      </c>
    </row>
    <row r="13">
      <c r="A13" s="5" t="inlineStr">
        <is>
          <t>HC de Beaune blanc, Domaine Germain (600425)</t>
        </is>
      </c>
      <c r="B13" s="6" t="inlineStr">
        <is>
          <t>2024-2025</t>
        </is>
      </c>
      <c r="C13" s="7">
        <f>Sources!D14*Sources!E14</f>
        <v/>
      </c>
    </row>
    <row r="14">
      <c r="A14" s="5" t="inlineStr">
        <is>
          <t>HC de Beaune rouge, Domaine Germain (601667/601346/630253/601199)</t>
        </is>
      </c>
      <c r="B14" s="6" t="inlineStr">
        <is>
          <t>2022-2023</t>
        </is>
      </c>
      <c r="C14" s="7">
        <f>Sources!D15*Sources!E15</f>
        <v/>
      </c>
    </row>
    <row r="15">
      <c r="A15" s="5" t="inlineStr">
        <is>
          <t>HC de Beaune rouge, Domaine Germain</t>
        </is>
      </c>
      <c r="B15" s="6" t="inlineStr">
        <is>
          <t>2023-2024</t>
        </is>
      </c>
      <c r="C15" s="7">
        <f>Sources!D16*Sources!E16</f>
        <v/>
      </c>
    </row>
    <row r="16">
      <c r="A16" s="5" t="inlineStr">
        <is>
          <t>HC de Beaune rouge, Domaine Germain</t>
        </is>
      </c>
      <c r="B16" s="6" t="inlineStr">
        <is>
          <t>2024-2025</t>
        </is>
      </c>
      <c r="C16" s="7">
        <f>Sources!D17*Sources!E17</f>
        <v/>
      </c>
    </row>
    <row r="18">
      <c r="A18" s="3" t="inlineStr">
        <is>
          <t>B. VENTES en cl (= quantité × contenance, renvoi à Sources ; somme par réf/exercice)</t>
        </is>
      </c>
    </row>
    <row r="19">
      <c r="A19" s="4" t="inlineStr">
        <is>
          <t>Référence</t>
        </is>
      </c>
      <c r="B19" s="4" t="inlineStr">
        <is>
          <t>Exercice</t>
        </is>
      </c>
      <c r="C19" s="4" t="inlineStr">
        <is>
          <t>Ventes (cl) = Σ(Q×contenance)</t>
        </is>
      </c>
      <c r="D19" s="4" t="inlineStr">
        <is>
          <t>Détail</t>
        </is>
      </c>
      <c r="E19" s="4" t="inlineStr"/>
    </row>
    <row r="20">
      <c r="A20" s="5" t="inlineStr">
        <is>
          <t>HC de Beaune rouge</t>
        </is>
      </c>
      <c r="B20" s="5" t="inlineStr">
        <is>
          <t>Bouteille (dont demi) — 2022-2023</t>
        </is>
      </c>
      <c r="C20" s="7">
        <f>Sources!D21*Sources!E21</f>
        <v/>
      </c>
    </row>
    <row r="21">
      <c r="A21" s="5" t="inlineStr">
        <is>
          <t>HC de Beaune rouge</t>
        </is>
      </c>
      <c r="B21" s="5" t="inlineStr">
        <is>
          <t>Verre — 2022-2023</t>
        </is>
      </c>
      <c r="C21" s="7">
        <f>Sources!D22*Sources!E22</f>
        <v/>
      </c>
    </row>
    <row r="22">
      <c r="A22" s="5" t="inlineStr">
        <is>
          <t>HC de Beaune rouge</t>
        </is>
      </c>
      <c r="B22" s="5" t="inlineStr">
        <is>
          <t>Pichet 50 cl — 2022-2023</t>
        </is>
      </c>
      <c r="C22" s="7">
        <f>Sources!D23*Sources!E23</f>
        <v/>
      </c>
    </row>
    <row r="23">
      <c r="A23" s="5" t="inlineStr">
        <is>
          <t>HC de Beaune rouge</t>
        </is>
      </c>
      <c r="B23" s="5" t="inlineStr">
        <is>
          <t>Bouteille — 2023-2024</t>
        </is>
      </c>
      <c r="C23" s="7">
        <f>Sources!D24*Sources!E24</f>
        <v/>
      </c>
    </row>
    <row r="24">
      <c r="A24" s="5" t="inlineStr">
        <is>
          <t>HC de Beaune rouge</t>
        </is>
      </c>
      <c r="B24" s="5" t="inlineStr">
        <is>
          <t>Verre — 2023-2024</t>
        </is>
      </c>
      <c r="C24" s="7">
        <f>Sources!D25*Sources!E25</f>
        <v/>
      </c>
    </row>
    <row r="25">
      <c r="A25" s="5" t="inlineStr">
        <is>
          <t>HC de Beaune rouge</t>
        </is>
      </c>
      <c r="B25" s="5" t="inlineStr">
        <is>
          <t>Pichet 50 cl — 2023-2024</t>
        </is>
      </c>
      <c r="C25" s="7">
        <f>Sources!D26*Sources!E26</f>
        <v/>
      </c>
    </row>
    <row r="26">
      <c r="A26" s="5" t="inlineStr">
        <is>
          <t>HC de Beaune rouge</t>
        </is>
      </c>
      <c r="B26" s="5" t="inlineStr">
        <is>
          <t>Bouteille (dont demi) — 2024-2025</t>
        </is>
      </c>
      <c r="C26" s="7">
        <f>Sources!D27*Sources!E27</f>
        <v/>
      </c>
    </row>
    <row r="27">
      <c r="A27" s="5" t="inlineStr">
        <is>
          <t>HC de Beaune rouge</t>
        </is>
      </c>
      <c r="B27" s="5" t="inlineStr">
        <is>
          <t>Verre — 2024-2025</t>
        </is>
      </c>
      <c r="C27" s="7">
        <f>Sources!D28*Sources!E28</f>
        <v/>
      </c>
    </row>
    <row r="28">
      <c r="A28" s="5" t="inlineStr">
        <is>
          <t>HC de Beaune rouge</t>
        </is>
      </c>
      <c r="B28" s="5" t="inlineStr">
        <is>
          <t>Pichet 50 cl — 2024-2025</t>
        </is>
      </c>
      <c r="C28" s="7">
        <f>Sources!D29*Sources!E29</f>
        <v/>
      </c>
    </row>
    <row r="29">
      <c r="A29" s="5" t="inlineStr">
        <is>
          <t>Bordeaux Supérieur (bouton MOUTON CADET)</t>
        </is>
      </c>
      <c r="B29" s="5" t="inlineStr">
        <is>
          <t>Bouteille — 2022-2023</t>
        </is>
      </c>
      <c r="C29" s="7">
        <f>Sources!D30*Sources!E30</f>
        <v/>
      </c>
    </row>
    <row r="30">
      <c r="A30" s="5" t="inlineStr">
        <is>
          <t>HC de Nuits blanc</t>
        </is>
      </c>
      <c r="B30" s="5" t="inlineStr">
        <is>
          <t>Bouteille — 2022-2023</t>
        </is>
      </c>
      <c r="C30" s="7">
        <f>Sources!D31*Sources!E31</f>
        <v/>
      </c>
    </row>
    <row r="31">
      <c r="A31" s="5" t="inlineStr">
        <is>
          <t>HC de Beaune blanc (bouton PICHET C.DE BEAUNE B)</t>
        </is>
      </c>
      <c r="B31" s="5" t="inlineStr">
        <is>
          <t>Pichet 50 cl — 2022-2023</t>
        </is>
      </c>
      <c r="C31" s="7">
        <f>Sources!D32*Sources!E32</f>
        <v/>
      </c>
    </row>
    <row r="32">
      <c r="A32" s="5" t="inlineStr">
        <is>
          <t>HC de Beaune blanc (bouton PICHET C.DE BEAUNE B)</t>
        </is>
      </c>
      <c r="B32" s="5" t="inlineStr">
        <is>
          <t>Pichet 50 cl — 2023-2024</t>
        </is>
      </c>
      <c r="C32" s="7">
        <f>Sources!D33*Sources!E33</f>
        <v/>
      </c>
    </row>
    <row r="33">
      <c r="A33" s="5" t="inlineStr">
        <is>
          <t>HC de Beaune blanc (bouton PICHET C.DE BEAUNE B)</t>
        </is>
      </c>
      <c r="B33" s="5" t="inlineStr">
        <is>
          <t>Pichet 50 cl — 2024-2025</t>
        </is>
      </c>
      <c r="C33" s="7">
        <f>Sources!D34*Sources!E34</f>
        <v/>
      </c>
    </row>
    <row r="35">
      <c r="A35" s="3" t="inlineStr">
        <is>
          <t>C. BILAN PAR VIN ET PAR EXERCICE (bilan ouvert : achats − ventes)</t>
        </is>
      </c>
    </row>
    <row r="36">
      <c r="A36" s="4" t="inlineStr">
        <is>
          <t>Vin / référence</t>
        </is>
      </c>
      <c r="B36" s="4" t="inlineStr">
        <is>
          <t>Exercice</t>
        </is>
      </c>
      <c r="C36" s="4" t="inlineStr">
        <is>
          <t>Achats (cl)</t>
        </is>
      </c>
      <c r="D36" s="4" t="inlineStr">
        <is>
          <t>Ventes (cl)</t>
        </is>
      </c>
      <c r="E36" s="4" t="inlineStr">
        <is>
          <t>Achats − ventes (cl)</t>
        </is>
      </c>
    </row>
    <row r="37">
      <c r="A37" s="5" t="inlineStr">
        <is>
          <t>Bordeaux Supérieur (MOUTON CADET)</t>
        </is>
      </c>
      <c r="B37" s="6" t="inlineStr">
        <is>
          <t>2022-2023</t>
        </is>
      </c>
      <c r="C37" s="7">
        <f>Calcul!C5</f>
        <v/>
      </c>
      <c r="D37" s="7">
        <f>Calcul!C29</f>
        <v/>
      </c>
      <c r="E37" s="7">
        <f>C37-D37</f>
        <v/>
      </c>
    </row>
    <row r="38">
      <c r="A38" s="5" t="inlineStr">
        <is>
          <t>HC de Nuits blanc (Lupé Cholet)</t>
        </is>
      </c>
      <c r="B38" s="6" t="inlineStr">
        <is>
          <t>2022-2023</t>
        </is>
      </c>
      <c r="C38" s="7">
        <f>Calcul!C8</f>
        <v/>
      </c>
      <c r="D38" s="7">
        <f>Calcul!C30</f>
        <v/>
      </c>
      <c r="E38" s="7">
        <f>C38-D38</f>
        <v/>
      </c>
    </row>
    <row r="39">
      <c r="A39" s="5" t="inlineStr">
        <is>
          <t>HC de Beaune blanc (Domaine Germain)</t>
        </is>
      </c>
      <c r="B39" s="6" t="inlineStr">
        <is>
          <t>2022-2023</t>
        </is>
      </c>
      <c r="C39" s="7">
        <f>Calcul!C11</f>
        <v/>
      </c>
      <c r="D39" s="7">
        <f>Calcul!C31</f>
        <v/>
      </c>
      <c r="E39" s="7">
        <f>C39-D39</f>
        <v/>
      </c>
    </row>
    <row r="40">
      <c r="A40" s="5" t="inlineStr">
        <is>
          <t>HC de Beaune blanc (Domaine Germain)</t>
        </is>
      </c>
      <c r="B40" s="6" t="inlineStr">
        <is>
          <t>2023-2024</t>
        </is>
      </c>
      <c r="C40" s="7">
        <f>Calcul!C12</f>
        <v/>
      </c>
      <c r="D40" s="7">
        <f>Calcul!C32</f>
        <v/>
      </c>
      <c r="E40" s="7">
        <f>C40-D40</f>
        <v/>
      </c>
    </row>
    <row r="41">
      <c r="A41" s="5" t="inlineStr">
        <is>
          <t>HC de Beaune blanc (Domaine Germain)</t>
        </is>
      </c>
      <c r="B41" s="6" t="inlineStr">
        <is>
          <t>2024-2025</t>
        </is>
      </c>
      <c r="C41" s="7">
        <f>Calcul!C13</f>
        <v/>
      </c>
      <c r="D41" s="7">
        <f>Calcul!C33</f>
        <v/>
      </c>
      <c r="E41" s="7">
        <f>C41-D41</f>
        <v/>
      </c>
    </row>
    <row r="42">
      <c r="A42" s="5" t="inlineStr">
        <is>
          <t>HC de Beaune rouge (Domaine Germain)</t>
        </is>
      </c>
      <c r="B42" s="6" t="inlineStr">
        <is>
          <t>2022-2023</t>
        </is>
      </c>
      <c r="C42" s="7">
        <f>Calcul!C14</f>
        <v/>
      </c>
      <c r="D42" s="7">
        <f>SUM(Calcul!C20:Calcul!C22)</f>
        <v/>
      </c>
      <c r="E42" s="7">
        <f>C42-D42</f>
        <v/>
      </c>
    </row>
    <row r="43">
      <c r="A43" s="5" t="inlineStr">
        <is>
          <t>HC de Beaune rouge (Domaine Germain)</t>
        </is>
      </c>
      <c r="B43" s="6" t="inlineStr">
        <is>
          <t>2023-2024</t>
        </is>
      </c>
      <c r="C43" s="7">
        <f>Calcul!C15</f>
        <v/>
      </c>
      <c r="D43" s="7">
        <f>SUM(Calcul!C23:Calcul!C25)</f>
        <v/>
      </c>
      <c r="E43" s="7">
        <f>C43-D43</f>
        <v/>
      </c>
    </row>
    <row r="44">
      <c r="A44" s="5" t="inlineStr">
        <is>
          <t>HC de Beaune rouge (Domaine Germain)</t>
        </is>
      </c>
      <c r="B44" s="6" t="inlineStr">
        <is>
          <t>2024-2025</t>
        </is>
      </c>
      <c r="C44" s="7">
        <f>Calcul!C16</f>
        <v/>
      </c>
      <c r="D44" s="7">
        <f>SUM(Calcul!C26:Calcul!C28)</f>
        <v/>
      </c>
      <c r="E44" s="7">
        <f>C44-D44</f>
        <v/>
      </c>
    </row>
    <row r="46">
      <c r="A46" s="3" t="inlineStr">
        <is>
          <t>D. REGROUPEMENT DES VINS BLANCS (Nuits blanc + Beaune blanc, 3 exercices)</t>
        </is>
      </c>
    </row>
    <row r="47">
      <c r="A47" s="4" t="inlineStr">
        <is>
          <t>Poste</t>
        </is>
      </c>
      <c r="B47" s="4" t="inlineStr">
        <is>
          <t>Achats (cl)</t>
        </is>
      </c>
      <c r="C47" s="4" t="inlineStr">
        <is>
          <t>Ventes (cl)</t>
        </is>
      </c>
      <c r="D47" s="4" t="inlineStr">
        <is>
          <t>Achats − ventes (cl)</t>
        </is>
      </c>
      <c r="E47" s="4" t="inlineStr">
        <is>
          <t>Couverture achats/ventes</t>
        </is>
      </c>
    </row>
    <row r="48">
      <c r="A48" s="6" t="inlineStr">
        <is>
          <t>Vins blancs regroupés</t>
        </is>
      </c>
      <c r="B48" s="7">
        <f>Calcul!C8+Calcul!C9+Calcul!C10+Calcul!C11+Calcul!C12+Calcul!C13</f>
        <v/>
      </c>
      <c r="C48" s="7">
        <f>Calcul!C30+Calcul!C31+Calcul!C32+Calcul!C33</f>
        <v/>
      </c>
      <c r="D48" s="7">
        <f>B48-C48</f>
        <v/>
      </c>
      <c r="E48" s="10">
        <f>B48/C48</f>
        <v/>
      </c>
    </row>
    <row r="50">
      <c r="A50" s="3" t="inlineStr">
        <is>
          <t>E. BILAN MATIÈRE FERMÉ — Bordeaux Supérieur (MOUTON CADET) 2022-2023</t>
        </is>
      </c>
    </row>
    <row r="51">
      <c r="A51" s="4" t="inlineStr">
        <is>
          <t>Élément</t>
        </is>
      </c>
      <c r="B51" s="4" t="inlineStr">
        <is>
          <t>Bouteilles</t>
        </is>
      </c>
      <c r="C51" s="4" t="inlineStr">
        <is>
          <t>Centilitres</t>
        </is>
      </c>
      <c r="D51" s="4" t="inlineStr">
        <is>
          <t>Formule / source</t>
        </is>
      </c>
      <c r="E51" s="4" t="inlineStr"/>
    </row>
    <row r="52">
      <c r="A52" s="5" t="inlineStr">
        <is>
          <t>Stock d'ouverture 01/04/2022 (présumé 0 — aucun inventaire d'ouverture)</t>
        </is>
      </c>
      <c r="B52" s="7" t="n">
        <v>0</v>
      </c>
      <c r="C52" s="7">
        <f>B52*75</f>
        <v/>
      </c>
      <c r="D52" s="5" t="inlineStr">
        <is>
          <t>hypothèse la plus favorable au service</t>
        </is>
      </c>
    </row>
    <row r="53">
      <c r="A53" s="5" t="inlineStr">
        <is>
          <t>+ Achats facturés 2022-2023</t>
        </is>
      </c>
      <c r="B53" s="7" t="n">
        <v>11</v>
      </c>
      <c r="C53" s="7">
        <f>Calcul!C5</f>
        <v/>
      </c>
      <c r="D53" s="5" t="inlineStr">
        <is>
          <t>Sources §1, 11 bouteilles</t>
        </is>
      </c>
    </row>
    <row r="54">
      <c r="A54" s="5" t="inlineStr">
        <is>
          <t>− Ventes enregistrées en caisse</t>
        </is>
      </c>
      <c r="B54" s="7" t="n">
        <v>9</v>
      </c>
      <c r="C54" s="7">
        <f>Calcul!C29</f>
        <v/>
      </c>
      <c r="D54" s="5" t="inlineStr">
        <is>
          <t>Sources §2, 9 bouteilles (bouton MOUTON CADET)</t>
        </is>
      </c>
    </row>
    <row r="55">
      <c r="A55" s="5" t="inlineStr">
        <is>
          <t>Stock de clôture théorique 31/03/2023 (ouverture + achats − ventes)</t>
        </is>
      </c>
      <c r="B55" s="7">
        <f>B52+B53-B54</f>
        <v/>
      </c>
      <c r="C55" s="7">
        <f>C52+C53-C54</f>
        <v/>
      </c>
      <c r="D55" s="5" t="inlineStr">
        <is>
          <t>ouverture + achats − ventes</t>
        </is>
      </c>
    </row>
    <row r="56">
      <c r="A56" s="5" t="inlineStr">
        <is>
          <t>Stock de clôture inventorié 31/03/2023</t>
        </is>
      </c>
      <c r="B56" s="7" t="n">
        <v>1</v>
      </c>
      <c r="C56" s="7">
        <f>Sources!C38*75</f>
        <v/>
      </c>
      <c r="D56" s="5" t="inlineStr">
        <is>
          <t>Sources §3, inventaire physique</t>
        </is>
      </c>
    </row>
    <row r="57">
      <c r="A57" s="11" t="inlineStr">
        <is>
          <t>ÉCART = théorique − inventorié (sortie sans vente)</t>
        </is>
      </c>
      <c r="B57" s="12">
        <f>B55-B56</f>
        <v/>
      </c>
      <c r="C57" s="12">
        <f>C55-C56</f>
        <v/>
      </c>
      <c r="D57" s="5" t="inlineStr">
        <is>
          <t>1 bouteille = 75 cl non expliquée</t>
        </is>
      </c>
    </row>
    <row r="59">
      <c r="A59" s="3" t="inlineStr">
        <is>
          <t>F. VALORISATION EN EUROS (ANNEXE-B1)</t>
        </is>
      </c>
    </row>
    <row r="60">
      <c r="A60" s="4" t="inlineStr">
        <is>
          <t>Poste</t>
        </is>
      </c>
      <c r="B60" s="4" t="inlineStr">
        <is>
          <t>Quantité</t>
        </is>
      </c>
      <c r="C60" s="4" t="inlineStr">
        <is>
          <t>Prix HT (€)</t>
        </is>
      </c>
      <c r="D60" s="4" t="inlineStr">
        <is>
          <t>Montant HT (€)</t>
        </is>
      </c>
      <c r="E60" s="4" t="inlineStr">
        <is>
          <t>Note</t>
        </is>
      </c>
    </row>
    <row r="61">
      <c r="A61" s="5" t="inlineStr">
        <is>
          <t>1 bouteille MOUTON CADET non expliquée (sortie sans vente)</t>
        </is>
      </c>
      <c r="B61" s="7" t="n">
        <v>1</v>
      </c>
      <c r="C61" s="9">
        <f>Sources!E48</f>
        <v/>
      </c>
      <c r="D61" s="9">
        <f>B61*C61</f>
        <v/>
      </c>
      <c r="E61" s="5" t="inlineStr">
        <is>
          <t>exposition maximale si la sortie était requalifiée en vente non enregistrée</t>
        </is>
      </c>
    </row>
    <row r="62">
      <c r="A62" s="5" t="inlineStr">
        <is>
          <t>375 cl HC de Beaune blanc tirés au pichet au-delà des achats sous ce code (7,5 pichets)</t>
        </is>
      </c>
      <c r="B62" s="7" t="n">
        <v>7.5</v>
      </c>
      <c r="C62" s="9">
        <f>Sources!E50</f>
        <v/>
      </c>
      <c r="D62" s="9">
        <f>B62*C62</f>
        <v/>
      </c>
      <c r="E62" s="5" t="inlineStr">
        <is>
          <t>recette DÉJÀ enregistrée en caisse (pas de CA occulte) ; couverte en volume par le sur-stock de Nuits blanc</t>
        </is>
      </c>
    </row>
    <row r="64">
      <c r="A64" s="3" t="inlineStr">
        <is>
          <t>G. CONTRÔLE DES TROIS TABLEAUX DE LA PAGE 75 (recalcul des écarts et taux)</t>
        </is>
      </c>
    </row>
    <row r="65">
      <c r="A65" s="4" t="inlineStr">
        <is>
          <t>Tableau (courrier)</t>
        </is>
      </c>
      <c r="B65" s="4" t="inlineStr">
        <is>
          <t>Disponible (cl)</t>
        </is>
      </c>
      <c r="C65" s="4" t="inlineStr">
        <is>
          <t>Caisse A (cl)</t>
        </is>
      </c>
      <c r="D65" s="4" t="inlineStr">
        <is>
          <t>Écart = |A−dispo|</t>
        </is>
      </c>
      <c r="E65" s="4" t="inlineStr">
        <is>
          <t>Taux /A (recalc)</t>
        </is>
      </c>
    </row>
    <row r="66">
      <c r="A66" s="5" t="inlineStr">
        <is>
          <t>Exercice 1 — TOTAL imprimé</t>
        </is>
      </c>
      <c r="B66" s="7" t="n">
        <v>5400</v>
      </c>
      <c r="C66" s="7" t="n">
        <v>4683</v>
      </c>
      <c r="D66" s="7">
        <f>ABS(C66-B66)</f>
        <v/>
      </c>
      <c r="E66" s="13">
        <f>D66/C66</f>
        <v/>
      </c>
    </row>
    <row r="67">
      <c r="A67" s="5" t="inlineStr">
        <is>
          <t>Exercice 2 — TOTAL imprimé</t>
        </is>
      </c>
      <c r="B67" s="7" t="n">
        <v>6300</v>
      </c>
      <c r="C67" s="7" t="n">
        <v>18260</v>
      </c>
      <c r="D67" s="7">
        <f>ABS(C67-B67)</f>
        <v/>
      </c>
      <c r="E67" s="13">
        <f>D67/C67</f>
        <v/>
      </c>
    </row>
    <row r="68">
      <c r="A68" s="5" t="inlineStr">
        <is>
          <t>Exercice 3 — TOTAL imprimé (identique à l'ex. 2)</t>
        </is>
      </c>
      <c r="B68" s="7" t="n">
        <v>6300</v>
      </c>
      <c r="C68" s="7" t="n">
        <v>18260</v>
      </c>
      <c r="D68" s="7">
        <f>ABS(C68-B68)</f>
        <v/>
      </c>
      <c r="E68" s="13">
        <f>D68/C68</f>
        <v/>
      </c>
    </row>
    <row r="70" ht="44" customHeight="1">
      <c r="A70" s="14" t="inlineStr">
        <is>
          <t>Rappel : HC de Beaune rouge en caisse : 2022-2023 = 7 218 cl (notre extraction ; l'annexe du service du 18/05/2026 p. 48 totalise 7 255 cl, écart 37 cl = une demi-bouteille comptée 1) ; 2023-2024 = 5 310 cl ; 2024-2025 = 4 683 cl. La ligne « Beaune BLANC 12 950 cl » se décompose en 150 cl de pichets « C.DE BEAUNE B » et 12 800 cl de « PICHET ROSE » portés par le même code 2091 (voir onglet « Code 2091 »).</t>
        </is>
      </c>
    </row>
  </sheetData>
  <mergeCells count="1">
    <mergeCell ref="A70:E7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8" customWidth="1" min="2" max="2"/>
  </cols>
  <sheetData>
    <row r="1">
      <c r="A1" s="1" t="inlineStr">
        <is>
          <t>MÉTHODE</t>
        </is>
      </c>
    </row>
    <row r="3" ht="36" customHeight="1">
      <c r="A3" s="15" t="inlineStr">
        <is>
          <t>Objet</t>
        </is>
      </c>
      <c r="B3" s="5" t="inlineStr">
        <is>
          <t>Point 10 de la réponse du 04/09/2026 (p. 74-75) : vérifier, référence par référence et exercice par exercice, l'existence de « ventes sans achat », et traiter honnêtement le bilan matière (achats − ventes − stock).</t>
        </is>
      </c>
    </row>
    <row r="4" ht="60" customHeight="1">
      <c r="A4" s="15" t="inlineStr">
        <is>
          <t>Achats</t>
        </is>
      </c>
      <c r="B4" s="5" t="inlineStr">
        <is>
          <t>199 factures du fournisseur Franche-Comté Boissons Services, rattachées par CODE ARTICLE (et non par libellé) et par date de facture à l'exercice 01/04→31/03. La même référence est facturée sous des désignations abrégées ou des millésimes différents : c'est le rattachement par code qui porte les achats de Bordeaux Supérieur à 11 bouteilles (et non 9) et le HC de Beaune rouge à 269 bouteilles sur trois ans (et non ≈245).</t>
        </is>
      </c>
    </row>
    <row r="5" ht="72" customHeight="1">
      <c r="A5" s="15" t="inlineStr">
        <is>
          <t>Ventes caisse</t>
        </is>
      </c>
      <c r="B5" s="5" t="inlineStr">
        <is>
          <t>Annexes de caisse C/D. Contenances de service : verre 15 cl, pichet 50 cl, bouteille 75 cl. La ligne « Bouteille » du HC de Beaune rouge porte des demi-bouteilles (37,5 cl) : la caisse enregistre 42,5 unités-bouteille en 2022-2023 et 22,5 en 2024-2025, d'où 42,5×75 = 3 187,5 ≈ 3 188 cl et 22,5×75 = 1 687,5 ≈ 1 688 cl. Le « +38 cl » relevé provient de l'arrondi de 42,5 à 42 (et 22,5 à 22) dans un tableau de synthèse antérieur : 0,5 bouteille × 75 = 37,5 ≈ 38 cl. Les volumes 7 218 cl et 4 683 cl sont donc exacts et dérivables.</t>
        </is>
      </c>
    </row>
    <row r="6" ht="48" customHeight="1">
      <c r="A6" s="15" t="inlineStr">
        <is>
          <t>Stocks</t>
        </is>
      </c>
      <c r="B6" s="5" t="inlineStr">
        <is>
          <t>Inventaires physiques de clôture (31/03/2023, 31/03/2024, 31/03/2025). « non inventorié (aucune ligne à ce libellé) » distingue l'absence de ligne d'un stock nul. AUCUN inventaire d'ouverture au 01/04/2022 n'a été produit : un bilan matière FERMÉ (ouverture + achats − ventes = clôture) est donc impossible à établir avec certitude pour l'exercice 2022-2023.</t>
        </is>
      </c>
    </row>
    <row r="7" ht="60" customHeight="1">
      <c r="A7" s="15" t="inlineStr">
        <is>
          <t>Bilan Mouton Cadet</t>
        </is>
      </c>
      <c r="B7" s="5" t="inlineStr">
        <is>
          <t>Bordeaux Supérieur 2022-2023 : 11 achetées − 9 vendues = 2 attendues en stock ; l'inventaire n'en porte qu'1. Écart = 1 bouteille (75 cl) sortie sans vente enregistrée. Ce n'est PAS une « vente sans achat » (le sens est inverse : plus d'achats que de ventes), mais une sortie non tracée (casse, offert, consommation, ou vente non enregistrée) que nous ne pouvons pas documenter. Exposition maximale si requalifiée en vente : 30,00 € HT (36,00 € TTC, ANNEXE-B1).</t>
        </is>
      </c>
    </row>
    <row r="8" ht="72" customHeight="1">
      <c r="A8" s="15" t="inlineStr">
        <is>
          <t>Beaune blanc</t>
        </is>
      </c>
      <c r="B8" s="5" t="inlineStr">
        <is>
          <t>HC de Beaune blanc : 75 cl achetés (1 bouteille) pour 450 cl vendus au pichet sur trois exercices, soit 375 cl au-delà des achats sous ce code. Ces pichets ont été tirés sur le sur-stock de HC de Nuits blanc (1 800 cl achetés, 225 cl vendus) mais enregistrés sous le bouton « PICHET C.DE BEAUNE B » : c'est un défaut de paramétrage du bouton, que nous ne contestons pas. En volume, les deux blancs regroupés donnent 1 875 cl achetés pour 675 cl vendus (achats = 2,8× ventes) ; la recette des 375 cl est enregistrée (pas de CA occulté).</t>
        </is>
      </c>
    </row>
    <row r="9" ht="72" customHeight="1">
      <c r="A9" s="15" t="inlineStr">
        <is>
          <t>Achats occultes</t>
        </is>
      </c>
      <c r="B9" s="5" t="inlineStr">
        <is>
          <t>La comparaison « achats facturés ≥ ventes » n'exclut pas, à elle seule, l'hypothèse d'achats réglés en espèces hors facture : un tel achat n'apparaîtrait ni dans les factures ni, s'il était revendu au comptant sans ticket, dans la caisse. La seule démonstration positive de l'absence d'achat occulte relèverait d'un contrôle des fournisseurs, hors de portée du contribuable. Si la comptabilité est écartée pour graves irrégularités, l'article L. 192 al. 2 du LPF renverse la charge de la preuve sur le contribuable (limite assumée).</t>
        </is>
      </c>
    </row>
    <row r="10" ht="72" customHeight="1">
      <c r="A10" s="15" t="inlineStr">
        <is>
          <t>Tableaux p.75</t>
        </is>
      </c>
      <c r="B10" s="5" t="inlineStr">
        <is>
          <t>Transcription fidèle des trois tableaux, puis recalcul. Écarts et taux recalculés : ex.1 = 717 cl (15,31 %) ; ex.2 et 3 = 11 960 cl (11 960/18 260 = 65,498 %, soit 65,50 % arrondi ; le service écrit 65,49 %). Les tableaux des exercices 2 et 3 sont identiques au centilitre près. La ligne « Beaune BLANC » porte 12 950 cl, non reproductible depuis la caisse (150 cl en 2023-2024, 0 en 2024-2025) ; la Proposition (p. 32) limite elle-même cette anomalie au « seul » exercice clos le 31/03/2024, alors que les tableaux la répètent sur 2024-2025.</t>
        </is>
      </c>
    </row>
    <row r="11" ht="48" customHeight="1">
      <c r="A11" s="15" t="inlineStr">
        <is>
          <t>Sources de données</t>
        </is>
      </c>
      <c r="B11" s="5" t="inlineStr">
        <is>
          <t>Achats : src/data/factures-fournisseur (199 factures). Ventes : annexes C/D de la caisse (2022-2023 : annexes B1/C1 jointes ; 2023-2024 et 2024-2025 : extraction de la réponse n°1, annexes primaires C-2/D-2 et C-3/D-3 à produire). Stocks : inventaires 31/03/2023-2024-2025. Prix : ANNEXE-B1.</t>
        </is>
      </c>
    </row>
    <row r="12" ht="30" customHeight="1">
      <c r="A12" s="15" t="inlineStr">
        <is>
          <t>Généré par</t>
        </is>
      </c>
      <c r="B12" s="5" t="inlineStr">
        <is>
          <t>Pièce R2 à formules (onglets Sources / Calcul / Méthode). Tous les résultats de l'onglet Calcul sont des formules renvoyant à l'onglet Sources.</t>
        </is>
      </c>
    </row>
    <row r="13">
      <c r="A13" t="inlineStr">
        <is>
          <t>Code 2091</t>
        </is>
      </c>
      <c r="B13" s="2" t="inlineStr">
        <is>
          <t>Les 12 950 cl de « Beaune BLANC » sont la somme des lignes du code de caisse 2091 dans l'annexe D-2 du service : 3 pichets « C.DE BEAUNE B » à 30 € (150 cl) et 256 pichets « PICHET ROSE » à 10,49 € de moyenne (12 800 cl). Le code 2091 a été réaffecté au rosé maison le 05/05/2023 (dernière vente Beaune B le 30/04/2023). Le service a imprimé cette ligne de 256 pichets, avec son prix de 10,49 €, sous le libellé « PICHET C.DE BEAUNE B » (annexe 18/05 p. 64) et l'a rangée dans un bloc à disponible nul. Le rosé maison est acheté en BIB (23 BIB de 10 L en 2023-2024).</t>
        </is>
      </c>
    </row>
    <row r="14">
      <c r="A14" t="inlineStr">
        <is>
          <t>p. 75</t>
        </is>
      </c>
      <c r="B14" s="2" t="inlineStr">
        <is>
          <t>Les volumes imprimés p. 75 sont ceux des annexes du 18/05 : « exercice 1 » = 5 400 / 4 683 = 2024-2025 (p. 77) ; « exercice 2 » = 6 300 / 5 310 = 2023-2024 (p. 63) ; « exercice 3 » = copie de l'exercice 2. Le vrai 2022-2023 (8 475 / 7 255, p. 48) n'y figure pas.</t>
        </is>
      </c>
    </row>
    <row r="15">
      <c r="A15" t="inlineStr">
        <is>
          <t>Annexes caisse</t>
        </is>
      </c>
      <c r="B15" s="2" t="inlineStr">
        <is>
          <t>Les annexes B/D des trois exercices sont disponibles ; les volumes 2023-2024 (5 310 cl) et 2024-2025 (4 683 cl) sont vérifiés sur D2/D3 et coïncident avec les annexes du service.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8" customWidth="1" min="1" max="1"/>
    <col width="20" customWidth="1" min="2" max="2"/>
    <col width="20" customWidth="1" min="3" max="3"/>
    <col width="20" customWidth="1" min="4" max="4"/>
    <col width="20" customWidth="1" min="5" max="5"/>
    <col width="20" customWidth="1" min="6" max="6"/>
    <col width="20" customWidth="1" min="7" max="7"/>
  </cols>
  <sheetData>
    <row r="1">
      <c r="A1" s="16" t="inlineStr">
        <is>
          <t>D'OÙ VIENNENT LES 12 950 cl : le code de caisse 2091 porte deux libellés successifs</t>
        </is>
      </c>
      <c r="B1" s="2" t="n"/>
      <c r="C1" s="2" t="n"/>
      <c r="D1" s="2" t="n"/>
      <c r="E1" s="2" t="n"/>
      <c r="F1" s="2" t="n"/>
      <c r="G1" s="2" t="n"/>
    </row>
    <row r="2">
      <c r="A2" s="2" t="inlineStr">
        <is>
          <t>Source : ANNEXE-D2_synthese-produit_2023-2024.xls (fichier du service, colonnes Ref_prd / Lib_ticket / Uprice_wt / Prix moyen / Qte / Tot_rem Ttc), lignes du code 2091 ; ANNEXE-B2 (lignes de tickets) pour les dates ; annexe du 18/05/2026 p. 64 pour la lecture faite par le service.</t>
        </is>
      </c>
      <c r="B2" s="2" t="n"/>
      <c r="C2" s="2" t="n"/>
      <c r="D2" s="2" t="n"/>
      <c r="E2" s="2" t="n"/>
      <c r="F2" s="2" t="n"/>
      <c r="G2" s="2" t="n"/>
    </row>
    <row r="3">
      <c r="A3" s="2" t="n"/>
      <c r="B3" s="2" t="n"/>
      <c r="C3" s="2" t="n"/>
      <c r="D3" s="2" t="n"/>
      <c r="E3" s="2" t="n"/>
      <c r="F3" s="2" t="n"/>
      <c r="G3" s="2" t="n"/>
    </row>
    <row r="4">
      <c r="A4" s="17" t="inlineStr">
        <is>
          <t>A. Lignes du code 2091 dans l'annexe D-2 (2023-2024)</t>
        </is>
      </c>
      <c r="B4" s="17" t="inlineStr">
        <is>
          <t>Prix unitaire TTC (€)</t>
        </is>
      </c>
      <c r="C4" s="17" t="inlineStr">
        <is>
          <t>Quantité</t>
        </is>
      </c>
      <c r="D4" s="17" t="inlineStr">
        <is>
          <t>Total TTC (€) = prix × qté</t>
        </is>
      </c>
      <c r="E4" s="17" t="inlineStr">
        <is>
          <t>Contenance retenue par le service (cl)</t>
        </is>
      </c>
      <c r="F4" s="17" t="inlineStr">
        <is>
          <t>Volume (cl) = qté × contenance</t>
        </is>
      </c>
      <c r="G4" s="17" t="inlineStr">
        <is>
          <t>Lecture</t>
        </is>
      </c>
    </row>
    <row r="5">
      <c r="A5" s="2" t="inlineStr">
        <is>
          <t>PICHET C.DE BEAUNE B (ligne 145 de D-2)</t>
        </is>
      </c>
      <c r="B5" s="2" t="n">
        <v>30</v>
      </c>
      <c r="C5" s="2" t="n">
        <v>3</v>
      </c>
      <c r="D5" s="2">
        <f>B5*C5</f>
        <v/>
      </c>
      <c r="E5" s="2" t="n">
        <v>50</v>
      </c>
      <c r="F5" s="2">
        <f>C5*E5</f>
        <v/>
      </c>
      <c r="G5" s="2" t="inlineStr">
        <is>
          <t>pichet de Hautes Côtes de Beaune blanc, 30 € : réel</t>
        </is>
      </c>
    </row>
    <row r="6">
      <c r="A6" s="2" t="inlineStr">
        <is>
          <t>PICHET ROSE (ligne 146 de D-2)</t>
        </is>
      </c>
      <c r="B6" s="2" t="n">
        <v>8.5</v>
      </c>
      <c r="C6" s="2" t="n">
        <v>1</v>
      </c>
      <c r="D6" s="2">
        <f>B6*C6</f>
        <v/>
      </c>
      <c r="E6" s="2" t="n">
        <v>50</v>
      </c>
      <c r="F6" s="2">
        <f>C6*E6</f>
        <v/>
      </c>
      <c r="G6" s="2" t="inlineStr">
        <is>
          <t>pichet de rosé maison (BIB), même code 2091</t>
        </is>
      </c>
    </row>
    <row r="7">
      <c r="A7" s="2" t="inlineStr">
        <is>
          <t>PICHET ROSE (ligne 147 de D-2)</t>
        </is>
      </c>
      <c r="B7" s="2" t="n">
        <v>10.5</v>
      </c>
      <c r="C7" s="2" t="n">
        <v>255</v>
      </c>
      <c r="D7" s="2">
        <f>B7*C7</f>
        <v/>
      </c>
      <c r="E7" s="2" t="n">
        <v>50</v>
      </c>
      <c r="F7" s="2">
        <f>C7*E7</f>
        <v/>
      </c>
      <c r="G7" s="2" t="inlineStr">
        <is>
          <t>pichet de rosé maison (BIB), même code 2091</t>
        </is>
      </c>
    </row>
    <row r="8">
      <c r="A8" s="18" t="inlineStr">
        <is>
          <t>TOTAL code 2091 (ce que le service a lu comme « Haute côte de Beaune BLANC »)</t>
        </is>
      </c>
      <c r="B8" s="2" t="n"/>
      <c r="C8" s="2">
        <f>SUM(C5:C7)</f>
        <v/>
      </c>
      <c r="D8" s="2">
        <f>SUM(D5:D7)</f>
        <v/>
      </c>
      <c r="E8" s="2" t="n"/>
      <c r="F8" s="2">
        <f>SUM(F5:F7)</f>
        <v/>
      </c>
      <c r="G8" s="2" t="n"/>
    </row>
    <row r="9">
      <c r="A9" s="2" t="inlineStr">
        <is>
          <t>dont PICHET ROSE : quantité, total TTC, volume</t>
        </is>
      </c>
      <c r="B9" s="2" t="n"/>
      <c r="C9" s="2">
        <f>C6+C7</f>
        <v/>
      </c>
      <c r="D9" s="2">
        <f>D6+D7</f>
        <v/>
      </c>
      <c r="E9" s="2" t="n"/>
      <c r="F9" s="2">
        <f>F6+F7</f>
        <v/>
      </c>
      <c r="G9" s="2" t="n"/>
    </row>
    <row r="10">
      <c r="A10" s="2" t="inlineStr">
        <is>
          <t>Prix moyen du PICHET ROSE (€) = total ÷ quantité (le service imprime « 10,49 € », annexe 18/05 p. 64)</t>
        </is>
      </c>
      <c r="B10" s="2">
        <f>D9/C9</f>
        <v/>
      </c>
      <c r="C10" s="2" t="n"/>
      <c r="D10" s="2" t="n"/>
      <c r="E10" s="2" t="n"/>
      <c r="F10" s="2" t="n"/>
      <c r="G10" s="2" t="n"/>
    </row>
    <row r="11">
      <c r="A11" s="2" t="inlineStr">
        <is>
          <t>Part du rosé dans les 12 950 cl (le service imprime « 98,84 % »)</t>
        </is>
      </c>
      <c r="B11" s="2">
        <f>F9/F8</f>
        <v/>
      </c>
      <c r="C11" s="2" t="n"/>
      <c r="D11" s="2" t="n"/>
      <c r="E11" s="2" t="n"/>
      <c r="F11" s="2" t="n"/>
      <c r="G11" s="2" t="n"/>
    </row>
    <row r="12">
      <c r="A12" s="2" t="inlineStr">
        <is>
          <t>Part du vrai Beaune blanc dans les 12 950 cl (le service imprime « 1,16 % »)</t>
        </is>
      </c>
      <c r="B12" s="2">
        <f>F5/F8</f>
        <v/>
      </c>
      <c r="C12" s="2" t="n"/>
      <c r="D12" s="2" t="n"/>
      <c r="E12" s="2" t="n"/>
      <c r="F12" s="2" t="n"/>
      <c r="G12" s="2" t="n"/>
    </row>
    <row r="13">
      <c r="A13" s="2" t="inlineStr">
        <is>
          <t>Contrôle : total = 12 950 cl imprimé p. 75 et p. 64 ?</t>
        </is>
      </c>
      <c r="B13" s="2">
        <f>IF(F8=12950,"OUI","NON")</f>
        <v/>
      </c>
      <c r="C13" s="2" t="n"/>
      <c r="D13" s="2" t="n"/>
      <c r="E13" s="2" t="n"/>
      <c r="F13" s="2" t="n"/>
      <c r="G13" s="2" t="n"/>
    </row>
    <row r="14">
      <c r="A14" s="2" t="n"/>
      <c r="B14" s="2" t="n"/>
      <c r="C14" s="2" t="n"/>
      <c r="D14" s="2" t="n"/>
      <c r="E14" s="2" t="n"/>
      <c r="F14" s="2" t="n"/>
      <c r="G14" s="2" t="n"/>
    </row>
    <row r="15">
      <c r="A15" s="17" t="inlineStr">
        <is>
          <t>B. Chronologie du code 2091 (ANNEXE-B2, lignes de tickets 2023-2024)</t>
        </is>
      </c>
      <c r="B15" s="17" t="inlineStr">
        <is>
          <t>Date</t>
        </is>
      </c>
      <c r="C15" s="17" t="inlineStr">
        <is>
          <t>Libellé</t>
        </is>
      </c>
      <c r="D15" s="17" t="inlineStr">
        <is>
          <t>Lignes</t>
        </is>
      </c>
      <c r="E15" s="17" t="inlineStr">
        <is>
          <t>Unités</t>
        </is>
      </c>
      <c r="F15" s="17" t="inlineStr">
        <is>
          <t>Montant TTC (€)</t>
        </is>
      </c>
      <c r="G15" s="2" t="n"/>
    </row>
    <row r="16">
      <c r="A16" s="2" t="inlineStr">
        <is>
          <t>Dernière vente sous le libellé « PICHET C.DE BEAUNE B »</t>
        </is>
      </c>
      <c r="B16" s="2" t="inlineStr">
        <is>
          <t>30/04/2023</t>
        </is>
      </c>
      <c r="C16" s="2" t="inlineStr">
        <is>
          <t>PICHET C.DE BEAUNE B</t>
        </is>
      </c>
      <c r="D16" s="2" t="n">
        <v>3</v>
      </c>
      <c r="E16" s="2" t="n">
        <v>3</v>
      </c>
      <c r="F16" s="2" t="n">
        <v>90</v>
      </c>
      <c r="G16" s="2" t="n"/>
    </row>
    <row r="17">
      <c r="A17" s="2" t="inlineStr">
        <is>
          <t>Première vente sous le libellé « PICHET ROSE » (même code 2091)</t>
        </is>
      </c>
      <c r="B17" s="2" t="inlineStr">
        <is>
          <t>05/05/2023</t>
        </is>
      </c>
      <c r="C17" s="2" t="inlineStr">
        <is>
          <t>PICHET ROSE</t>
        </is>
      </c>
      <c r="D17" s="2" t="n"/>
      <c r="E17" s="2" t="n"/>
      <c r="F17" s="2" t="n"/>
      <c r="G17" s="2" t="n"/>
    </row>
    <row r="18">
      <c r="A18" s="2" t="inlineStr">
        <is>
          <t>Dernière vente « PICHET ROSE » de l'exercice</t>
        </is>
      </c>
      <c r="B18" s="2" t="inlineStr">
        <is>
          <t>31/03/2024</t>
        </is>
      </c>
      <c r="C18" s="2" t="inlineStr">
        <is>
          <t>PICHET ROSE</t>
        </is>
      </c>
      <c r="D18" s="2" t="n">
        <v>257</v>
      </c>
      <c r="E18" s="2" t="n">
        <v>262</v>
      </c>
      <c r="F18" s="2" t="n">
        <v>2665</v>
      </c>
      <c r="G18" s="2" t="n"/>
    </row>
    <row r="19">
      <c r="A19" s="2" t="inlineStr">
        <is>
          <t>Note : l'annexe D-2 (synthèse) retient 256 unités / 2 686,00 € pour le rosé (nettes de remises et demi-pichets) ; l'annexe B-2 (lignes) en compte 257 lignes / 262 unités / 2 665,00 €. C'est la lecture D-2 (256 ; 10,49 €) que le service a imprimée.</t>
        </is>
      </c>
      <c r="B19" s="2" t="n"/>
      <c r="C19" s="2" t="n"/>
      <c r="D19" s="2" t="n"/>
      <c r="E19" s="2" t="n"/>
      <c r="F19" s="2" t="n"/>
      <c r="G19" s="2" t="n"/>
    </row>
    <row r="20">
      <c r="A20" s="2" t="inlineStr">
        <is>
          <t>2024-2025 (ANNEXE-D3, lignes 149-150) : le code 2091 ne porte plus que « PICHET ROSE »</t>
        </is>
      </c>
      <c r="B20" s="2" t="n">
        <v>7.2</v>
      </c>
      <c r="C20" s="2" t="n">
        <v>1</v>
      </c>
      <c r="D20" s="2">
        <f>B20*C20</f>
        <v/>
      </c>
      <c r="E20" s="2" t="n"/>
      <c r="F20" s="2" t="n"/>
      <c r="G20" s="2" t="n"/>
    </row>
    <row r="21">
      <c r="A21" s="2" t="n"/>
      <c r="B21" s="2" t="n">
        <v>10.5</v>
      </c>
      <c r="C21" s="2" t="n">
        <v>191.5</v>
      </c>
      <c r="D21" s="2">
        <f>B21*C21</f>
        <v/>
      </c>
      <c r="E21" s="2" t="n"/>
      <c r="F21" s="2" t="n"/>
      <c r="G21" s="2" t="n"/>
    </row>
    <row r="22">
      <c r="A22" s="2" t="inlineStr">
        <is>
          <t>Total pichets rosé 2024-2025 (unités ; volume à 50 cl)</t>
        </is>
      </c>
      <c r="B22" s="2" t="n"/>
      <c r="C22" s="2">
        <f>C20+C21</f>
        <v/>
      </c>
      <c r="D22" s="2" t="n"/>
      <c r="E22" s="2" t="n"/>
      <c r="F22" s="2">
        <f>C22*50</f>
        <v/>
      </c>
      <c r="G22" s="2" t="n"/>
    </row>
    <row r="23">
      <c r="A23" s="2" t="inlineStr">
        <is>
          <t>Pichets « C.DE BEAUNE B » vendus en 2024-2025</t>
        </is>
      </c>
      <c r="B23" s="2" t="n"/>
      <c r="C23" s="2" t="n">
        <v>0</v>
      </c>
      <c r="D23" s="2" t="n"/>
      <c r="E23" s="2" t="n"/>
      <c r="F23" s="2">
        <f>C23*50</f>
        <v/>
      </c>
      <c r="G23" s="2" t="n"/>
    </row>
    <row r="24">
      <c r="A24" s="2" t="n"/>
      <c r="B24" s="2" t="n"/>
      <c r="C24" s="2" t="n"/>
      <c r="D24" s="2" t="n"/>
      <c r="E24" s="2" t="n"/>
      <c r="F24" s="2" t="n"/>
      <c r="G24" s="2" t="n"/>
    </row>
    <row r="25">
      <c r="A25" s="17" t="inlineStr">
        <is>
          <t>C. Le rosé maison est acheté (BIB), factures FCBS par exercice</t>
        </is>
      </c>
      <c r="B25" s="17" t="inlineStr">
        <is>
          <t>BIB 10 L (unités)</t>
        </is>
      </c>
      <c r="C25" s="17" t="inlineStr">
        <is>
          <t>BIB 5 L / 3 L (unités)</t>
        </is>
      </c>
      <c r="D25" s="17" t="inlineStr">
        <is>
          <t>Volume acheté (cl)</t>
        </is>
      </c>
      <c r="E25" s="17" t="inlineStr">
        <is>
          <t>Pichets rosé vendus (unités)</t>
        </is>
      </c>
      <c r="F25" s="17" t="inlineStr">
        <is>
          <t>Volume vendu (cl) = unités × 50</t>
        </is>
      </c>
      <c r="G25" s="17" t="inlineStr">
        <is>
          <t>Couverture achats ÷ ventes</t>
        </is>
      </c>
    </row>
    <row r="26">
      <c r="A26" s="2" t="inlineStr">
        <is>
          <t>2023-2024 : BIB COTES DE PROV ROSE 10 L (code 603042) = 23 ; le service lit lui-même « BIB 10 L Provence Rosé 23 » + « BIB 5 L 8 » (annexe 18/05, tableau des achats 2023-2024)</t>
        </is>
      </c>
      <c r="B26" s="2" t="n">
        <v>23</v>
      </c>
      <c r="C26" s="2" t="n">
        <v>0</v>
      </c>
      <c r="D26" s="2">
        <f>B26*1000+C26*500</f>
        <v/>
      </c>
      <c r="E26" s="2">
        <f>C9</f>
        <v/>
      </c>
      <c r="F26" s="2">
        <f>E26*50</f>
        <v/>
      </c>
      <c r="G26" s="2">
        <f>D26/F26</f>
        <v/>
      </c>
    </row>
    <row r="27">
      <c r="A27" s="2" t="inlineStr">
        <is>
          <t>2024-2025 : BIB COTES DE PROVENCE 10 L ROSE (601956) = 16 ; BIB GARDILLES ROSE 10 L (605168) = 1 ; BIB 3 L ROSE (665048) = 4</t>
        </is>
      </c>
      <c r="B27" s="2" t="n">
        <v>17</v>
      </c>
      <c r="C27" s="2" t="n">
        <v>4</v>
      </c>
      <c r="D27" s="2">
        <f>B27*1000+C27*300</f>
        <v/>
      </c>
      <c r="E27" s="2">
        <f>C22</f>
        <v/>
      </c>
      <c r="F27" s="2">
        <f>E27*50</f>
        <v/>
      </c>
      <c r="G27" s="2">
        <f>D27/F27</f>
        <v/>
      </c>
    </row>
    <row r="28">
      <c r="A28" s="2" t="inlineStr">
        <is>
          <t>Lecture : les 256 pichets de 2023-2024 sont du rosé maison tiré de BIB achetés et facturés ; ils n'ont rien à voir avec le Hautes Côtes de Beaune blanc. Le service les a comptés dans le bloc « Beaune blanc » (disponible 0) et non dans le bloc « pichets de vin maison » où figure le disponible des BIB rosé : d'où 12 800 cl « vendus sans achat ».</t>
        </is>
      </c>
      <c r="B28" s="2" t="n"/>
      <c r="C28" s="2" t="n"/>
      <c r="D28" s="2" t="n"/>
      <c r="E28" s="2" t="n"/>
      <c r="F28" s="2" t="n"/>
      <c r="G28" s="2" t="n"/>
    </row>
    <row r="29">
      <c r="A29" s="2" t="n"/>
      <c r="B29" s="2" t="n"/>
      <c r="C29" s="2" t="n"/>
      <c r="D29" s="2" t="n"/>
      <c r="E29" s="2" t="n"/>
      <c r="F29" s="2" t="n"/>
      <c r="G29" s="2" t="n"/>
    </row>
    <row r="30">
      <c r="A30" s="17" t="inlineStr">
        <is>
          <t>D. Test de prix</t>
        </is>
      </c>
      <c r="B30" s="17" t="inlineStr">
        <is>
          <t>Prix (€ TTC)</t>
        </is>
      </c>
      <c r="C30" s="17" t="inlineStr">
        <is>
          <t>Rapport</t>
        </is>
      </c>
      <c r="D30" s="2" t="n"/>
      <c r="E30" s="2" t="n"/>
      <c r="F30" s="2" t="n"/>
      <c r="G30" s="2" t="n"/>
    </row>
    <row r="31">
      <c r="A31" s="2" t="inlineStr">
        <is>
          <t>Pichet 50 cl de Hautes Côtes de Beaune blanc (ANNEXE-B1/B2, code 2091 jusqu'au 30/04/2023)</t>
        </is>
      </c>
      <c r="B31" s="2" t="n">
        <v>30</v>
      </c>
      <c r="C31" s="2" t="n"/>
      <c r="D31" s="2" t="n"/>
      <c r="E31" s="2" t="n"/>
      <c r="F31" s="2" t="n"/>
      <c r="G31" s="2" t="n"/>
    </row>
    <row r="32">
      <c r="A32" s="2" t="inlineStr">
        <is>
          <t>Prix moyen imprimé par le service pour la ligne de 256 pichets (annexe 18/05 p. 64)</t>
        </is>
      </c>
      <c r="B32" s="2">
        <f>B10</f>
        <v/>
      </c>
      <c r="C32" s="2" t="n"/>
      <c r="D32" s="2" t="n"/>
      <c r="E32" s="2" t="n"/>
      <c r="F32" s="2" t="n"/>
      <c r="G32" s="2" t="n"/>
    </row>
    <row r="33">
      <c r="A33" s="2" t="inlineStr">
        <is>
          <t>Rapport prix Beaune blanc ÷ prix de la ligne de 256 : un pichet de Beaune à 30 € ne se vend pas 10,49 €</t>
        </is>
      </c>
      <c r="B33" s="2" t="n"/>
      <c r="C33" s="2">
        <f>B31/B32</f>
        <v/>
      </c>
      <c r="D33" s="2" t="n"/>
      <c r="E33" s="2" t="n"/>
      <c r="F33" s="2" t="n"/>
      <c r="G3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52" customWidth="1" min="1" max="1"/>
    <col width="19" customWidth="1" min="2" max="2"/>
    <col width="19" customWidth="1" min="3" max="3"/>
    <col width="19" customWidth="1" min="4" max="4"/>
    <col width="19" customWidth="1" min="5" max="5"/>
    <col width="19" customWidth="1" min="6" max="6"/>
    <col width="19" customWidth="1" min="7" max="7"/>
    <col width="19" customWidth="1" min="8" max="8"/>
  </cols>
  <sheetData>
    <row r="1">
      <c r="A1" s="16" t="inlineStr">
        <is>
          <t>LES VOLUMES DE LA PAGE 75 (04/09/2026) RAPPROCHÉS DES ANNEXES « PAR PRODUIT » DU 18/05/2026</t>
        </is>
      </c>
      <c r="B1" s="2" t="n"/>
      <c r="C1" s="2" t="n"/>
      <c r="D1" s="2" t="n"/>
      <c r="E1" s="2" t="n"/>
      <c r="F1" s="2" t="n"/>
      <c r="G1" s="2" t="n"/>
      <c r="H1" s="2" t="n"/>
    </row>
    <row r="2">
      <c r="A2" s="2" t="inlineStr">
        <is>
          <t>Sources : réponse du service du 04/09/2026 p. 75 (trois tableaux) ; proposition du 18/05/2026, annexes boissons : tableau des achats/stocks/disponibles (p. 29 pour 2022-2023, puis 2023-2024 et 2024-2025) et blocs Haute côte Beaune rouge (p. 48, p. 63, p. 77), Bordeaux (p. 49, p. 63, p. 77), Haute côte Nuit blanc (p. 49, p. 64, p. 78). Valeurs saisies = lecture des annexes ; résultats = formules.</t>
        </is>
      </c>
      <c r="B2" s="2" t="n"/>
      <c r="C2" s="2" t="n"/>
      <c r="D2" s="2" t="n"/>
      <c r="E2" s="2" t="n"/>
      <c r="F2" s="2" t="n"/>
      <c r="G2" s="2" t="n"/>
      <c r="H2" s="2" t="n"/>
    </row>
    <row r="3">
      <c r="A3" s="2" t="n"/>
      <c r="B3" s="2" t="n"/>
      <c r="C3" s="2" t="n"/>
      <c r="D3" s="2" t="n"/>
      <c r="E3" s="2" t="n"/>
      <c r="F3" s="2" t="n"/>
      <c r="G3" s="2" t="n"/>
      <c r="H3" s="2" t="n"/>
    </row>
    <row r="4">
      <c r="A4" s="17" t="inlineStr">
        <is>
          <t>A. Haute côte de Beaune ROUGE, exercice réel (annexes 18/05)</t>
        </is>
      </c>
      <c r="B4" s="17" t="inlineStr">
        <is>
          <t>Achats FCBS (bt)</t>
        </is>
      </c>
      <c r="C4" s="17" t="inlineStr">
        <is>
          <t>Stock 31/03 N-1 (bt)</t>
        </is>
      </c>
      <c r="D4" s="17" t="inlineStr">
        <is>
          <t>Stock 31/03 N (bt)</t>
        </is>
      </c>
      <c r="E4" s="17" t="inlineStr">
        <is>
          <t>Disponible (bt) = achats + SI − SF</t>
        </is>
      </c>
      <c r="F4" s="17" t="inlineStr">
        <is>
          <t>Disponible (cl) = bt × 75</t>
        </is>
      </c>
      <c r="G4" s="17" t="inlineStr">
        <is>
          <t>Caisse (cl) selon l'annexe</t>
        </is>
      </c>
      <c r="H4" s="17" t="inlineStr">
        <is>
          <t>Disponible − caisse (cl)</t>
        </is>
      </c>
    </row>
    <row r="5">
      <c r="A5" s="2" t="inlineStr">
        <is>
          <t>2022-2023 (p. 29 et p. 48)</t>
        </is>
      </c>
      <c r="B5" s="2" t="n">
        <v>110</v>
      </c>
      <c r="C5" s="2" t="n">
        <v>9</v>
      </c>
      <c r="D5" s="2" t="n">
        <v>6</v>
      </c>
      <c r="E5" s="2">
        <f>B5+C5-D5</f>
        <v/>
      </c>
      <c r="F5" s="2">
        <f>E5*75</f>
        <v/>
      </c>
      <c r="G5" s="2" t="n">
        <v>7255</v>
      </c>
      <c r="H5" s="2">
        <f>F5-G5</f>
        <v/>
      </c>
    </row>
    <row r="6">
      <c r="A6" s="2" t="inlineStr">
        <is>
          <t>2023-2024 (p. 63)</t>
        </is>
      </c>
      <c r="B6" s="2" t="n">
        <v>85</v>
      </c>
      <c r="C6" s="2" t="n">
        <v>6</v>
      </c>
      <c r="D6" s="2" t="n">
        <v>7</v>
      </c>
      <c r="E6" s="2">
        <f>B6+C6-D6</f>
        <v/>
      </c>
      <c r="F6" s="2">
        <f>E6*75</f>
        <v/>
      </c>
      <c r="G6" s="2" t="n">
        <v>5310</v>
      </c>
      <c r="H6" s="2">
        <f>F6-G6</f>
        <v/>
      </c>
    </row>
    <row r="7">
      <c r="A7" s="2" t="inlineStr">
        <is>
          <t>2024-2025 (p. 77)</t>
        </is>
      </c>
      <c r="B7" s="2" t="n">
        <v>74</v>
      </c>
      <c r="C7" s="2" t="n">
        <v>7</v>
      </c>
      <c r="D7" s="2" t="n">
        <v>9</v>
      </c>
      <c r="E7" s="2">
        <f>B7+C7-D7</f>
        <v/>
      </c>
      <c r="F7" s="2">
        <f>E7*75</f>
        <v/>
      </c>
      <c r="G7" s="2" t="n">
        <v>4683</v>
      </c>
      <c r="H7" s="2">
        <f>F7-G7</f>
        <v/>
      </c>
    </row>
    <row r="8">
      <c r="A8" s="2" t="inlineStr">
        <is>
          <t>Caisse 2022-2023 = somme des cinq lignes de l'annexe p. 48 : 495 + 2 235 + 1 300 + 2 625 + 600 (les pourcentages imprimés 6,82 / 30,81 / 17,92 / 36,18 / 8,27 % se recalculent sur ce total)</t>
        </is>
      </c>
      <c r="B8" s="2">
        <f>495+2235+1300+2625+600</f>
        <v/>
      </c>
      <c r="C8" s="2">
        <f>ROUND(495/B8*100,2)</f>
        <v/>
      </c>
      <c r="D8" s="2">
        <f>ROUND(2235/B8*100,2)</f>
        <v/>
      </c>
      <c r="E8" s="2">
        <f>ROUND(1300/B8*100,2)</f>
        <v/>
      </c>
      <c r="F8" s="2">
        <f>ROUND(2625/B8*100,2)</f>
        <v/>
      </c>
      <c r="G8" s="2">
        <f>ROUND(600/B8*100,2)</f>
        <v/>
      </c>
      <c r="H8" s="2" t="n"/>
    </row>
    <row r="9">
      <c r="A9" s="2" t="inlineStr">
        <is>
          <t>Part « disparue » 2022-2023 selon le service (14,4 % dans son tableau des disparus) = (disponible − caisse) ÷ disponible</t>
        </is>
      </c>
      <c r="B9" s="2">
        <f>H5/F5</f>
        <v/>
      </c>
      <c r="C9" s="2" t="n"/>
      <c r="D9" s="2" t="n"/>
      <c r="E9" s="2" t="n"/>
      <c r="F9" s="2" t="n"/>
      <c r="G9" s="2" t="n"/>
      <c r="H9" s="2" t="n"/>
    </row>
    <row r="10">
      <c r="A10" s="2" t="n"/>
      <c r="B10" s="2" t="n"/>
      <c r="C10" s="2" t="n"/>
      <c r="D10" s="2" t="n"/>
      <c r="E10" s="2" t="n"/>
      <c r="F10" s="2" t="n"/>
      <c r="G10" s="2" t="n"/>
      <c r="H10" s="2" t="n"/>
    </row>
    <row r="11">
      <c r="A11" s="17" t="inlineStr">
        <is>
          <t>B. Ce que la page 75 imprime, et à quel exercice réel cela correspond</t>
        </is>
      </c>
      <c r="B11" s="17" t="inlineStr">
        <is>
          <t>Disponible imprimé (cl)</t>
        </is>
      </c>
      <c r="C11" s="17" t="inlineStr">
        <is>
          <t>Caisse imprimée (cl)</t>
        </is>
      </c>
      <c r="D11" s="17" t="inlineStr">
        <is>
          <t>Exercice réel ayant ces valeurs</t>
        </is>
      </c>
      <c r="E11" s="17" t="inlineStr">
        <is>
          <t>Disponible réel de l'exercice annoncé (cl)</t>
        </is>
      </c>
      <c r="F11" s="17" t="inlineStr">
        <is>
          <t>Caisse réelle de l'exercice annoncé (cl)</t>
        </is>
      </c>
      <c r="G11" s="17" t="inlineStr">
        <is>
          <t>Même disponible ?</t>
        </is>
      </c>
      <c r="H11" s="17" t="inlineStr">
        <is>
          <t>Même caisse ?</t>
        </is>
      </c>
    </row>
    <row r="12">
      <c r="A12" s="2" t="inlineStr">
        <is>
          <t>« Exercice 1 » (annoncé 2022-2023)</t>
        </is>
      </c>
      <c r="B12" s="2" t="n">
        <v>5400</v>
      </c>
      <c r="C12" s="2" t="n">
        <v>4683</v>
      </c>
      <c r="D12" s="2" t="inlineStr">
        <is>
          <t>2024-2025 (p. 77)</t>
        </is>
      </c>
      <c r="E12" s="2">
        <f>F5</f>
        <v/>
      </c>
      <c r="F12" s="2">
        <f>G5</f>
        <v/>
      </c>
      <c r="G12" s="2">
        <f>IF(B12=E12,"oui","NON")</f>
        <v/>
      </c>
      <c r="H12" s="2">
        <f>IF(C12=F12,"oui","NON")</f>
        <v/>
      </c>
    </row>
    <row r="13">
      <c r="A13" s="2" t="inlineStr">
        <is>
          <t>« Exercice 2 » (annoncé 2023-2024)</t>
        </is>
      </c>
      <c r="B13" s="2" t="n">
        <v>6300</v>
      </c>
      <c r="C13" s="2" t="n">
        <v>5310</v>
      </c>
      <c r="D13" s="2" t="inlineStr">
        <is>
          <t>2023-2024 (p. 63)</t>
        </is>
      </c>
      <c r="E13" s="2">
        <f>F6</f>
        <v/>
      </c>
      <c r="F13" s="2">
        <f>G6</f>
        <v/>
      </c>
      <c r="G13" s="2">
        <f>IF(B13=E13,"oui","NON")</f>
        <v/>
      </c>
      <c r="H13" s="2">
        <f>IF(C13=F13,"oui","NON")</f>
        <v/>
      </c>
    </row>
    <row r="14">
      <c r="A14" s="2" t="inlineStr">
        <is>
          <t>« Exercice 3 » (annoncé 2024-2025)</t>
        </is>
      </c>
      <c r="B14" s="2" t="n">
        <v>6300</v>
      </c>
      <c r="C14" s="2" t="n">
        <v>5310</v>
      </c>
      <c r="D14" s="2" t="inlineStr">
        <is>
          <t>2023-2024 (p. 63), repris une seconde fois</t>
        </is>
      </c>
      <c r="E14" s="2">
        <f>F7</f>
        <v/>
      </c>
      <c r="F14" s="2">
        <f>G7</f>
        <v/>
      </c>
      <c r="G14" s="2">
        <f>IF(B14=E14,"oui","NON")</f>
        <v/>
      </c>
      <c r="H14" s="2">
        <f>IF(C14=F14,"oui","NON")</f>
        <v/>
      </c>
    </row>
    <row r="15">
      <c r="A15" s="2" t="inlineStr">
        <is>
          <t>Contrôle : « Exercice 1 » = valeurs de 2024-2025 ?</t>
        </is>
      </c>
      <c r="B15" s="2">
        <f>IF(AND(B12=F7,C12=G7),"OUI","non")</f>
        <v/>
      </c>
      <c r="C15" s="2" t="n"/>
      <c r="D15" s="2" t="n"/>
      <c r="E15" s="2" t="n"/>
      <c r="F15" s="2" t="n"/>
      <c r="G15" s="2" t="n"/>
      <c r="H15" s="2" t="n"/>
    </row>
    <row r="16">
      <c r="A16" s="2" t="inlineStr">
        <is>
          <t>Contrôle : « Exercice 3 » = « Exercice 2 » (copie) ?</t>
        </is>
      </c>
      <c r="B16" s="2">
        <f>IF(AND(B14=B13,C14=C13),"OUI","non")</f>
        <v/>
      </c>
      <c r="C16" s="2" t="n"/>
      <c r="D16" s="2" t="n"/>
      <c r="E16" s="2" t="n"/>
      <c r="F16" s="2" t="n"/>
      <c r="G16" s="2" t="n"/>
      <c r="H16" s="2" t="n"/>
    </row>
    <row r="17">
      <c r="A17" s="2" t="n"/>
      <c r="B17" s="2" t="n"/>
      <c r="C17" s="2" t="n"/>
      <c r="D17" s="2" t="n"/>
      <c r="E17" s="2" t="n"/>
      <c r="F17" s="2" t="n"/>
      <c r="G17" s="2" t="n"/>
      <c r="H17" s="2" t="n"/>
    </row>
    <row r="18">
      <c r="A18" s="17" t="inlineStr">
        <is>
          <t>C. Les trois blocs globalisés, exercice par exercice, avec les disponibles du service et la caisse corrigée du rosé</t>
        </is>
      </c>
      <c r="B18" s="17" t="inlineStr">
        <is>
          <t>Disponible rouge (cl)</t>
        </is>
      </c>
      <c r="C18" s="17" t="inlineStr">
        <is>
          <t>Disponible Bordeaux (cl)</t>
        </is>
      </c>
      <c r="D18" s="17" t="inlineStr">
        <is>
          <t>Disponible blanc (cl)</t>
        </is>
      </c>
      <c r="E18" s="17" t="inlineStr">
        <is>
          <t>Caisse rouge (cl)</t>
        </is>
      </c>
      <c r="F18" s="17" t="inlineStr">
        <is>
          <t>Caisse Bordeaux (cl)</t>
        </is>
      </c>
      <c r="G18" s="17" t="inlineStr">
        <is>
          <t>Caisse blanc corrigée (cl)</t>
        </is>
      </c>
      <c r="H18" s="17" t="inlineStr">
        <is>
          <t>Disponible total − caisse totale (cl)</t>
        </is>
      </c>
    </row>
    <row r="19">
      <c r="A19" s="2" t="inlineStr">
        <is>
          <t>2022-2023 (annexes p. 29, 48, 49)</t>
        </is>
      </c>
      <c r="B19" s="2">
        <f>F5</f>
        <v/>
      </c>
      <c r="C19" s="2">
        <f>10*75</f>
        <v/>
      </c>
      <c r="D19" s="2">
        <f>42*75</f>
        <v/>
      </c>
      <c r="E19" s="2">
        <f>G5</f>
        <v/>
      </c>
      <c r="F19" s="2">
        <f>9*75</f>
        <v/>
      </c>
      <c r="G19" s="2">
        <f>6*50+3*75</f>
        <v/>
      </c>
      <c r="H19" s="2">
        <f>B19+C19+D19-E19-F19-G19</f>
        <v/>
      </c>
    </row>
    <row r="20">
      <c r="A20" s="2" t="inlineStr">
        <is>
          <t>2023-2024 (annexes p. 63, 64) : blanc = 3 pichets réels (150 cl), le rosé (12 800 cl) remis dans son bloc</t>
        </is>
      </c>
      <c r="B20" s="2">
        <f>F6</f>
        <v/>
      </c>
      <c r="C20" s="2" t="n">
        <v>0</v>
      </c>
      <c r="D20" s="2" t="n">
        <v>0</v>
      </c>
      <c r="E20" s="2">
        <f>G6</f>
        <v/>
      </c>
      <c r="F20" s="2" t="n">
        <v>0</v>
      </c>
      <c r="G20" s="2">
        <f>'Code 2091'!F5</f>
        <v/>
      </c>
      <c r="H20" s="2">
        <f>B20+C20+D20-E20-F20-G20</f>
        <v/>
      </c>
    </row>
    <row r="21">
      <c r="A21" s="2" t="inlineStr">
        <is>
          <t>2024-2025 (annexes p. 77, 78)</t>
        </is>
      </c>
      <c r="B21" s="2">
        <f>F7</f>
        <v/>
      </c>
      <c r="C21" s="2" t="n">
        <v>0</v>
      </c>
      <c r="D21" s="2" t="n">
        <v>0</v>
      </c>
      <c r="E21" s="2">
        <f>G7</f>
        <v/>
      </c>
      <c r="F21" s="2" t="n">
        <v>0</v>
      </c>
      <c r="G21" s="2" t="n">
        <v>0</v>
      </c>
      <c r="H21" s="2">
        <f>B21+C21+D21-E21-F21-G21</f>
        <v/>
      </c>
    </row>
    <row r="22">
      <c r="A22" s="2" t="inlineStr">
        <is>
          <t>Lecture : une fois le rosé remis dans son bloc, le disponible des trois vins dépasse la caisse sur chacun des trois exercices : il n'existe aucun exercice où « les ventes dépassent le disponible ».</t>
        </is>
      </c>
      <c r="B22" s="2" t="n"/>
      <c r="C22" s="2" t="n"/>
      <c r="D22" s="2" t="n"/>
      <c r="E22" s="2" t="n"/>
      <c r="F22" s="2" t="n"/>
      <c r="G22" s="2" t="n"/>
      <c r="H22" s="2" t="n"/>
    </row>
    <row r="23">
      <c r="A23" s="2" t="inlineStr">
        <is>
          <t>Tableau du service, exercices 2 et 3 : écart imprimé 11 960 cl ; recalcul avec la caisse blanc corrigée (5 310 + 0 + 150 = 5 460 cl)</t>
        </is>
      </c>
      <c r="B23" s="2">
        <f>E20+F20+G20</f>
        <v/>
      </c>
      <c r="C23" s="2">
        <f>B20-B23</f>
        <v/>
      </c>
      <c r="D23" s="2">
        <f>C23/B20</f>
        <v/>
      </c>
      <c r="E23" s="2" t="n"/>
      <c r="F23" s="2" t="n"/>
      <c r="G23" s="2" t="n"/>
      <c r="H23" s="2" t="n"/>
    </row>
    <row r="24">
      <c r="A24" s="2" t="inlineStr">
        <is>
          <t>Taux imprimé 65,49 % : recalcul 11 960 ÷ 18 260</t>
        </is>
      </c>
      <c r="B24" s="2">
        <f>11960/18260</f>
        <v/>
      </c>
      <c r="C24" s="2" t="n"/>
      <c r="D24" s="2" t="n"/>
      <c r="E24" s="2" t="n"/>
      <c r="F24" s="2" t="n"/>
      <c r="G24" s="2" t="n"/>
      <c r="H24" s="2" t="n"/>
    </row>
    <row r="25">
      <c r="A25" s="2" t="n"/>
      <c r="B25" s="2" t="n"/>
      <c r="C25" s="2" t="n"/>
      <c r="D25" s="2" t="n"/>
      <c r="E25" s="2" t="n"/>
      <c r="F25" s="2" t="n"/>
      <c r="G25" s="2" t="n"/>
      <c r="H25" s="2" t="n"/>
    </row>
    <row r="26">
      <c r="A26" s="17" t="inlineStr">
        <is>
          <t>D. Les deux vins nommés dans le grief, dans les propres annexes du service (18/05, p. 29 et p. 49)</t>
        </is>
      </c>
      <c r="B26" s="17" t="inlineStr">
        <is>
          <t>Achats FCBS (bt)</t>
        </is>
      </c>
      <c r="C26" s="17" t="inlineStr">
        <is>
          <t>Stock 31/03/22 (bt)</t>
        </is>
      </c>
      <c r="D26" s="17" t="inlineStr">
        <is>
          <t>Stock 31/03/23 (bt)</t>
        </is>
      </c>
      <c r="E26" s="17" t="inlineStr">
        <is>
          <t>Disponible (bt)</t>
        </is>
      </c>
      <c r="F26" s="17" t="inlineStr">
        <is>
          <t>Caisse 2022-2023 (cl)</t>
        </is>
      </c>
      <c r="G26" s="17" t="inlineStr">
        <is>
          <t>Disponible (cl)</t>
        </is>
      </c>
      <c r="H26" s="17" t="inlineStr">
        <is>
          <t>Disponible − caisse (cl)</t>
        </is>
      </c>
    </row>
    <row r="27">
      <c r="A27" s="2" t="inlineStr">
        <is>
          <t>« Bordeaux 75 cl » (= Bordeaux Supérieur Château Grand Renom, bouton MOUTON CADET)</t>
        </is>
      </c>
      <c r="B27" s="2" t="n">
        <v>11</v>
      </c>
      <c r="C27" s="2" t="n">
        <v>0</v>
      </c>
      <c r="D27" s="2" t="n">
        <v>1</v>
      </c>
      <c r="E27" s="2">
        <f>B27+C27-D27</f>
        <v/>
      </c>
      <c r="F27" s="2">
        <f>9*75</f>
        <v/>
      </c>
      <c r="G27" s="2">
        <f>E27*75</f>
        <v/>
      </c>
      <c r="H27" s="2">
        <f>G27-F27</f>
        <v/>
      </c>
    </row>
    <row r="28">
      <c r="A28" s="2" t="inlineStr">
        <is>
          <t>« Haute côte Nuit blanc 75 cl » (= HC de Nuits blanc Lupé Cholet ; le service compte 25 achetées, nos factures 24)</t>
        </is>
      </c>
      <c r="B28" s="2" t="n">
        <v>25</v>
      </c>
      <c r="C28" s="2" t="n">
        <v>17</v>
      </c>
      <c r="D28" s="2" t="n">
        <v>0</v>
      </c>
      <c r="E28" s="2">
        <f>B28+C28-D28</f>
        <v/>
      </c>
      <c r="F28" s="2">
        <f>6*50+3*75</f>
        <v/>
      </c>
      <c r="G28" s="2">
        <f>E28*75</f>
        <v/>
      </c>
      <c r="H28" s="2">
        <f>G28-F28</f>
        <v/>
      </c>
    </row>
    <row r="29">
      <c r="A29" s="2" t="inlineStr">
        <is>
          <t>Lecture : pour les deux vins cités comme « vendus sans aucun achat », le service avait lui-même identifié les achats (11 et 25 bouteilles) et un disponible supérieur aux ventes. La bouteille de Bordeaux non retrouvée (H27 = 75 cl) est la seule sortie non expliquée.</t>
        </is>
      </c>
      <c r="B29" s="2" t="n"/>
      <c r="C29" s="2" t="n"/>
      <c r="D29" s="2" t="n"/>
      <c r="E29" s="2" t="n"/>
      <c r="F29" s="2" t="n"/>
      <c r="G29" s="2" t="n"/>
      <c r="H29" s="2" t="n"/>
    </row>
    <row r="30">
      <c r="A30" s="2" t="inlineStr">
        <is>
          <t>C-A « reconstitué » de ces blocs dans la méthode par produit du 18/05 : Bordeaux 2022-2023 = 10 bt × 33,82 € TTC ; Nuits blanc 2022-2023 = 36 pichets × 30 € + 18 bt × 39,50 € ; blanc 2023-2024 (disponible 0) = 0 €</t>
        </is>
      </c>
      <c r="B30" s="2">
        <f>10*33.82</f>
        <v/>
      </c>
      <c r="C30" s="2">
        <f>B30/1.2</f>
        <v/>
      </c>
      <c r="D30" s="2">
        <f>36*30+18*39.5</f>
        <v/>
      </c>
      <c r="E30" s="2">
        <f>D30/1.2</f>
        <v/>
      </c>
      <c r="F30" s="2" t="n">
        <v>0</v>
      </c>
      <c r="G30" s="2" t="n"/>
      <c r="H30" s="2" t="n"/>
    </row>
    <row r="31">
      <c r="A31" s="2" t="inlineStr">
        <is>
          <t>Lecture : dans cette méthode, un bloc où les ventes dépassent le disponible produit 0 € (disponible nul) ; seuls les blocs à disponible supérieur aux ventes produisent un montant. C'est ce que le service confirme p. 74 : les « ventes sans achat » n'ont entraîné aucun chiffre d'affaires reconstitué.</t>
        </is>
      </c>
      <c r="B31" s="2" t="n"/>
      <c r="C31" s="2" t="n"/>
      <c r="D31" s="2" t="n"/>
      <c r="E31" s="2" t="n"/>
      <c r="F31" s="2" t="n"/>
      <c r="G31" s="2" t="n"/>
      <c r="H3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2026-10-25T19:13:55Z</dcterms:created>
  <dcterms:modified xmlns:dcterms="http://purl.org/dc/terms/" xmlns:xsi="http://www.w3.org/2001/XMLSchema-instance" xsi:type="dcterms:W3CDTF">2026-10-27T08:12:08Z</dcterms:modified>
</cp:coreProperties>
</file>