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éthode" sheetId="1" state="visible" r:id="rId3"/>
    <sheet name="Synthèse" sheetId="2" state="visible" r:id="rId4"/>
    <sheet name="Exemples" sheetId="3" state="visible" r:id="rId5"/>
    <sheet name="Suppressions" sheetId="4" state="visible" r:id="rId6"/>
    <sheet name="Notes" sheetId="5" state="visible" r:id="rId7"/>
    <sheet name="Articles" sheetId="6" state="visible" r:id="rId8"/>
    <sheet name="Partage_q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<sst xmlns="http://schemas.openxmlformats.org/spreadsheetml/2006/main" count="9451" uniqueCount="714">
  <si>
    <t xml:space="preserve">Pièce R2 : cas de suppressions « DEL », 89 exemples datés sur les 3 exercices (3 familles)</t>
  </si>
  <si>
    <t xml:space="preserve">Source : annexes de caisse remises au titre de l’article L. 47 A, II du LPF : E (tpvevenement, lignes DEL), C (détail des tickets), F (règlements).</t>
  </si>
  <si>
    <t xml:space="preserve">Contenu : le fichier des cas (renduFinalCasSuppressions.json) embarqué sur la page du site, un exemple par mois et par famille.</t>
  </si>
  <si>
    <t xml:space="preserve">Famille « forfait » (conversion au forfait / facture sans détail) : la somme des suppressions de la rafale = le total exact d’une note encaissée ne contenant que des menus.</t>
  </si>
  <si>
    <t xml:space="preserve">Famille « partage » (paiement séparé / partage de table) : l’article supprimé réapparaît divisé (quantités fractionnaires) sur au moins 2 notes encaissées ; la somme des fractions est entière.</t>
  </si>
  <si>
    <t xml:space="preserve">Famille « deplacement » (articles déplacés vers la bonne table) : rafale d’au moins 4 suppressions dont la somme = le total exact d’une note détaillée encaissée juste après (au moins une ligne hors menu).</t>
  </si>
  <si>
    <t xml:space="preserve">Onglet Exemples : une ligne par exemple ; colonnes « somme DEL » et « total notes » = SUMIF sur les onglets Suppressions et Notes ; « ecart » = différence ; « verdict » = formule.</t>
  </si>
  <si>
    <t xml:space="preserve">Onglet Partage_qte : pour chaque exemple de partage et chaque article, somme des quantités sur les notes (SUMIFS) et test d’intégrité (MOD).</t>
  </si>
  <si>
    <t xml:space="preserve">Onglet Synthèse : COUNTIF / SUMIF par famille. Aucun chiffre n’est saisi en dur dans la Synthèse.</t>
  </si>
  <si>
    <t xml:space="preserve">Arrondis : sur les quantités fractionnaires (0,25 / 0,75), la caisse arrondit chaque ligne au centime ; 6 lignes d’articles sur 1 047 diffèrent de 0,01 € du produit prix x quantité et 4 notes de partage présentent un écart d’arrondi de 0,02 à 0,05 € entre la somme des lignes et le total de caisse (contrôles en bas de la Synthèse). Les identités « somme DEL = total note » et « fractions entières » ne sont pas affectées.</t>
  </si>
  <si>
    <t xml:space="preserve">Les 9 exemples ouvrant les familles (2022-04-21, 2022-04-16, 2022-04-24) sont ceux que le service a reproduits p. 4-5 de sa réponse du 04/09/2026 ; le 09/09/2022 (p. 7-15) et le 21/03/2024 (p. 16-17) y figurent aussi.</t>
  </si>
  <si>
    <t xml:space="preserve">Famille</t>
  </si>
  <si>
    <t xml:space="preserve">Exemples</t>
  </si>
  <si>
    <t xml:space="preserve">dont 2022-2023</t>
  </si>
  <si>
    <t xml:space="preserve">dont 2023-2024</t>
  </si>
  <si>
    <t xml:space="preserve">dont 2024-2025</t>
  </si>
  <si>
    <t xml:space="preserve">Lignes DEL</t>
  </si>
  <si>
    <t xml:space="preserve">Somme DEL (€)</t>
  </si>
  <si>
    <t xml:space="preserve">Total des notes (€)</t>
  </si>
  <si>
    <t xml:space="preserve">Exemples vérifiés (identité exacte)</t>
  </si>
  <si>
    <t xml:space="preserve">Exemples en écart</t>
  </si>
  <si>
    <t xml:space="preserve">Conversion au forfait (facture sans détail)</t>
  </si>
  <si>
    <t xml:space="preserve">Paiement séparé / partage de table</t>
  </si>
  <si>
    <t xml:space="preserve">Articles déplacés vers la bonne table</t>
  </si>
  <si>
    <t xml:space="preserve">Total</t>
  </si>
  <si>
    <t xml:space="preserve">Articles : lignes dont montant = prix unitaire x quantité (contrôle)</t>
  </si>
  <si>
    <t xml:space="preserve">Notes : notes dont la somme des articles = total (écart &lt;= 0,01 €)</t>
  </si>
  <si>
    <t xml:space="preserve">ex_id</t>
  </si>
  <si>
    <t xml:space="preserve">famille</t>
  </si>
  <si>
    <t xml:space="preserve">exercice</t>
  </si>
  <si>
    <t xml:space="preserve">date</t>
  </si>
  <si>
    <t xml:space="preserve">nb suppressions</t>
  </si>
  <si>
    <t xml:space="preserve">somme DEL (€)</t>
  </si>
  <si>
    <t xml:space="preserve">nb notes</t>
  </si>
  <si>
    <t xml:space="preserve">total notes (€)</t>
  </si>
  <si>
    <t xml:space="preserve">ecart (€)</t>
  </si>
  <si>
    <t xml:space="preserve">verdict</t>
  </si>
  <si>
    <t xml:space="preserve">notes (libellés)</t>
  </si>
  <si>
    <t xml:space="preserve">forfait-01</t>
  </si>
  <si>
    <t xml:space="preserve">forfait</t>
  </si>
  <si>
    <t xml:space="preserve">2022-2023</t>
  </si>
  <si>
    <t xml:space="preserve">2022-04-21</t>
  </si>
  <si>
    <t xml:space="preserve">Note n°17 (12:59) 30.40 €</t>
  </si>
  <si>
    <t xml:space="preserve">forfait-02</t>
  </si>
  <si>
    <t xml:space="preserve">2022-05-04</t>
  </si>
  <si>
    <t xml:space="preserve">Note n°13 (19:05) 63.60 €</t>
  </si>
  <si>
    <t xml:space="preserve">forfait-03</t>
  </si>
  <si>
    <t xml:space="preserve">2022-06-10</t>
  </si>
  <si>
    <t xml:space="preserve">Note n°2 (11:59) 76.90 €</t>
  </si>
  <si>
    <t xml:space="preserve">forfait-04</t>
  </si>
  <si>
    <t xml:space="preserve">2022-07-01</t>
  </si>
  <si>
    <t xml:space="preserve">Note n°17 (19:33) 57.10 €</t>
  </si>
  <si>
    <t xml:space="preserve">forfait-05</t>
  </si>
  <si>
    <t xml:space="preserve">2022-08-09</t>
  </si>
  <si>
    <t xml:space="preserve">Note n°11 (12:14) 45.60 €</t>
  </si>
  <si>
    <t xml:space="preserve">forfait-06</t>
  </si>
  <si>
    <t xml:space="preserve">2022-09-09</t>
  </si>
  <si>
    <t xml:space="preserve">Note n°3 (12:08) 76.90 €</t>
  </si>
  <si>
    <t xml:space="preserve">forfait-07</t>
  </si>
  <si>
    <t xml:space="preserve">2022-10-01</t>
  </si>
  <si>
    <t xml:space="preserve">Note n°26 (19:34) 21.10 €</t>
  </si>
  <si>
    <t xml:space="preserve">forfait-08</t>
  </si>
  <si>
    <t xml:space="preserve">2022-11-03</t>
  </si>
  <si>
    <t xml:space="preserve">Note n°17 (13:19) 47.70 €</t>
  </si>
  <si>
    <t xml:space="preserve">forfait-09</t>
  </si>
  <si>
    <t xml:space="preserve">2022-12-15</t>
  </si>
  <si>
    <t xml:space="preserve">Note n°6 (12:31) 53.50 €</t>
  </si>
  <si>
    <t xml:space="preserve">forfait-10</t>
  </si>
  <si>
    <t xml:space="preserve">2023-01-04</t>
  </si>
  <si>
    <t xml:space="preserve">Note n°4 (12:20) 64.70 €</t>
  </si>
  <si>
    <t xml:space="preserve">forfait-11</t>
  </si>
  <si>
    <t xml:space="preserve">2023-03-22</t>
  </si>
  <si>
    <t xml:space="preserve">Note n°12 (20:37) 194.30 €</t>
  </si>
  <si>
    <t xml:space="preserve">forfait-12</t>
  </si>
  <si>
    <t xml:space="preserve">2023-2024</t>
  </si>
  <si>
    <t xml:space="preserve">2023-05-10</t>
  </si>
  <si>
    <t xml:space="preserve">Note n°12 (18:56) 38.00 €</t>
  </si>
  <si>
    <t xml:space="preserve">forfait-13</t>
  </si>
  <si>
    <t xml:space="preserve">2023-06-01</t>
  </si>
  <si>
    <t xml:space="preserve">Note n°8 (12:26) 18.70 €</t>
  </si>
  <si>
    <t xml:space="preserve">forfait-14</t>
  </si>
  <si>
    <t xml:space="preserve">2023-07-05</t>
  </si>
  <si>
    <t xml:space="preserve">Note n°3 (11:53) 26.90 €</t>
  </si>
  <si>
    <t xml:space="preserve">forfait-15</t>
  </si>
  <si>
    <t xml:space="preserve">2023-08-02</t>
  </si>
  <si>
    <t xml:space="preserve">Note n°15 (18:47) 71.60 €</t>
  </si>
  <si>
    <t xml:space="preserve">forfait-16</t>
  </si>
  <si>
    <t xml:space="preserve">2023-09-07</t>
  </si>
  <si>
    <t xml:space="preserve">Note n°25 (19:55) 60.60 €</t>
  </si>
  <si>
    <t xml:space="preserve">forfait-17</t>
  </si>
  <si>
    <t xml:space="preserve">2023-10-11</t>
  </si>
  <si>
    <t xml:space="preserve">Note n°15 (12:45) 128.80 €</t>
  </si>
  <si>
    <t xml:space="preserve">forfait-18</t>
  </si>
  <si>
    <t xml:space="preserve">2023-11-03</t>
  </si>
  <si>
    <t xml:space="preserve">Note n°27 (20:08) 208.50 €</t>
  </si>
  <si>
    <t xml:space="preserve">forfait-19</t>
  </si>
  <si>
    <t xml:space="preserve">2023-12-01</t>
  </si>
  <si>
    <t xml:space="preserve">Note n°6 (13:00) 184.20 €</t>
  </si>
  <si>
    <t xml:space="preserve">forfait-20</t>
  </si>
  <si>
    <t xml:space="preserve">2024-01-04</t>
  </si>
  <si>
    <t xml:space="preserve">Note n°7 (12:23) 48.70 €</t>
  </si>
  <si>
    <t xml:space="preserve">forfait-21</t>
  </si>
  <si>
    <t xml:space="preserve">2024-03-01</t>
  </si>
  <si>
    <t xml:space="preserve">Note n°1 (11:35) 70.60 €</t>
  </si>
  <si>
    <t xml:space="preserve">forfait-22</t>
  </si>
  <si>
    <t xml:space="preserve">2024-2025</t>
  </si>
  <si>
    <t xml:space="preserve">2024-04-03</t>
  </si>
  <si>
    <t xml:space="preserve">Note n°1 (11:48) 22.90 €</t>
  </si>
  <si>
    <t xml:space="preserve">forfait-23</t>
  </si>
  <si>
    <t xml:space="preserve">2024-05-03</t>
  </si>
  <si>
    <t xml:space="preserve">Note n°17 (20:17) 61.30 €</t>
  </si>
  <si>
    <t xml:space="preserve">forfait-24</t>
  </si>
  <si>
    <t xml:space="preserve">2024-06-01</t>
  </si>
  <si>
    <t xml:space="preserve">Note n°24 (20:45) 61.80 €</t>
  </si>
  <si>
    <t xml:space="preserve">forfait-25</t>
  </si>
  <si>
    <t xml:space="preserve">2024-07-04</t>
  </si>
  <si>
    <t xml:space="preserve">Note n°11 (13:13) 60.50 €</t>
  </si>
  <si>
    <t xml:space="preserve">forfait-26</t>
  </si>
  <si>
    <t xml:space="preserve">2024-08-02</t>
  </si>
  <si>
    <t xml:space="preserve">Note n°20 (19:39) 49.90 €</t>
  </si>
  <si>
    <t xml:space="preserve">forfait-27</t>
  </si>
  <si>
    <t xml:space="preserve">2024-09-04</t>
  </si>
  <si>
    <t xml:space="preserve">Note n°2 (11:42) 21.60 €</t>
  </si>
  <si>
    <t xml:space="preserve">forfait-28</t>
  </si>
  <si>
    <t xml:space="preserve">2024-10-04</t>
  </si>
  <si>
    <t xml:space="preserve">Note n°11 (18:54) 115.90 €</t>
  </si>
  <si>
    <t xml:space="preserve">forfait-29</t>
  </si>
  <si>
    <t xml:space="preserve">2024-11-07</t>
  </si>
  <si>
    <t xml:space="preserve">Note n°14 (19:38) 59.20 €</t>
  </si>
  <si>
    <t xml:space="preserve">forfait-30</t>
  </si>
  <si>
    <t xml:space="preserve">2024-12-11</t>
  </si>
  <si>
    <t xml:space="preserve">Note n°18 (20:36) 202.10 €</t>
  </si>
  <si>
    <t xml:space="preserve">forfait-31</t>
  </si>
  <si>
    <t xml:space="preserve">2025-03-05</t>
  </si>
  <si>
    <t xml:space="preserve">Note n°20 (19:32) 71.90 €</t>
  </si>
  <si>
    <t xml:space="preserve">partage-01</t>
  </si>
  <si>
    <t xml:space="preserve">partage</t>
  </si>
  <si>
    <t xml:space="preserve">2022-04-16</t>
  </si>
  <si>
    <t xml:space="preserve">Note n°23 (20:22) 34.40 € ; Note n°24 (20:22) 34.40 €</t>
  </si>
  <si>
    <t xml:space="preserve">partage-02</t>
  </si>
  <si>
    <t xml:space="preserve">2022-05-14</t>
  </si>
  <si>
    <t xml:space="preserve">Note n°22 (19:35) 56.75 € ; Note n°23 (19:36) 56.75 €</t>
  </si>
  <si>
    <t xml:space="preserve">partage-03</t>
  </si>
  <si>
    <t xml:space="preserve">2022-06-25</t>
  </si>
  <si>
    <t xml:space="preserve">Note n°25 (20:07) 26.55 € ; Note n°26 (20:07) 26.55 € ; Note n°27 (20:17) 25.30 € ; Note n°28 (20:18) 25.30 €</t>
  </si>
  <si>
    <t xml:space="preserve">partage-04</t>
  </si>
  <si>
    <t xml:space="preserve">2022-07-03</t>
  </si>
  <si>
    <t xml:space="preserve">Note n°9 (13:08) 42.65 € ; Note n°10 (13:08) 42.65 € ; Note n°12 (13:17) 34.45 € ; Note n°13 (13:17) 34.45 €</t>
  </si>
  <si>
    <t xml:space="preserve">partage-05</t>
  </si>
  <si>
    <t xml:space="preserve">2022-08-02</t>
  </si>
  <si>
    <t xml:space="preserve">Note n°26 (19:31) 71.05 € ; Note n°27 (19:32) 71.05 € ; Note n°29 (19:43) 35.35 € ; Note n°30 (19:43) 35.35 €</t>
  </si>
  <si>
    <t xml:space="preserve">partage-06</t>
  </si>
  <si>
    <t xml:space="preserve">2022-09-25</t>
  </si>
  <si>
    <t xml:space="preserve">Note n°20 (19:49) 38.30 € ; Note n°21 (19:50) 28.20 €</t>
  </si>
  <si>
    <t xml:space="preserve">partage-07</t>
  </si>
  <si>
    <t xml:space="preserve">2022-10-22</t>
  </si>
  <si>
    <t xml:space="preserve">Note n°21 (20:23) 133.10 € ; Note n°22 (20:23) 133.10 €</t>
  </si>
  <si>
    <t xml:space="preserve">partage-08</t>
  </si>
  <si>
    <t xml:space="preserve">2022-11-02</t>
  </si>
  <si>
    <t xml:space="preserve">Note n°25 (20:05) 92.60 € ; Note n°26 (20:06) 92.60 € ; Note n°28 (20:08) 33.90 € ; Note n°29 (20:08) 33.90 €</t>
  </si>
  <si>
    <t xml:space="preserve">partage-09</t>
  </si>
  <si>
    <t xml:space="preserve">2022-12-10</t>
  </si>
  <si>
    <t xml:space="preserve">Note n°6 (13:02) 33.70 € ; Note n°7 (13:03) 33.70 €</t>
  </si>
  <si>
    <t xml:space="preserve">partage-10</t>
  </si>
  <si>
    <t xml:space="preserve">2023-01-07</t>
  </si>
  <si>
    <t xml:space="preserve">Note n°8 (19:12) 31.25 € ; Note n°9 (19:13) 31.25 € ; Note n°11 (19:22) 49.55 € ; Note n°12 (19:22) 49.55 €</t>
  </si>
  <si>
    <t xml:space="preserve">partage-11</t>
  </si>
  <si>
    <t xml:space="preserve">2023-02-25</t>
  </si>
  <si>
    <t xml:space="preserve">Note n°4 (12:18) 78.25 € ; Note n°6 (12:20) 78.25 €</t>
  </si>
  <si>
    <t xml:space="preserve">partage-12</t>
  </si>
  <si>
    <t xml:space="preserve">2023-03-11</t>
  </si>
  <si>
    <t xml:space="preserve">Note n°5 (13:07) 89.10 € ; Note n°6 (13:07) 89.10 €</t>
  </si>
  <si>
    <t xml:space="preserve">partage-13</t>
  </si>
  <si>
    <t xml:space="preserve">2023-04-07</t>
  </si>
  <si>
    <t xml:space="preserve">Note n°13 (21:09) 116.60 € ; Note n°14 (21:10) 116.60 €</t>
  </si>
  <si>
    <t xml:space="preserve">partage-14</t>
  </si>
  <si>
    <t xml:space="preserve">2023-05-13</t>
  </si>
  <si>
    <t xml:space="preserve">Note n°4 (12:11) 49.40 € ; Note n°5 (12:12) 49.40 €</t>
  </si>
  <si>
    <t xml:space="preserve">partage-15</t>
  </si>
  <si>
    <t xml:space="preserve">2023-06-22</t>
  </si>
  <si>
    <t xml:space="preserve">Note n°17 (20:13) 46.25 € ; Note n°18 (20:14) 46.25 €</t>
  </si>
  <si>
    <t xml:space="preserve">partage-16</t>
  </si>
  <si>
    <t xml:space="preserve">2023-07-07</t>
  </si>
  <si>
    <t xml:space="preserve">Note n°6 (12:06) 77.85 € ; Note n°7 (12:07) 77.85 €</t>
  </si>
  <si>
    <t xml:space="preserve">partage-17</t>
  </si>
  <si>
    <t xml:space="preserve">2023-08-27</t>
  </si>
  <si>
    <t xml:space="preserve">Note n°12 (13:00) 26.60 € ; Note n°13 (13:01) 26.60 € ; Note n°14 (13:02) 71.60 € ; Note n°15 (13:02) 71.60 €</t>
  </si>
  <si>
    <t xml:space="preserve">partage-18</t>
  </si>
  <si>
    <t xml:space="preserve">2023-09-13</t>
  </si>
  <si>
    <t xml:space="preserve">Note n°31 (19:56) 53.20 € ; Note n°32 (19:57) 26.64 € ; Note n°33 (19:57) 26.56 €</t>
  </si>
  <si>
    <t xml:space="preserve">partage-19</t>
  </si>
  <si>
    <t xml:space="preserve">2023-10-13</t>
  </si>
  <si>
    <t xml:space="preserve">Note n°36 (20:23) 69.70 € ; Note n°37 (20:24) 69.70 €</t>
  </si>
  <si>
    <t xml:space="preserve">partage-20</t>
  </si>
  <si>
    <t xml:space="preserve">Note n°30 (20:57) 115.75 € ; Note n°31 (20:58) 115.75 €</t>
  </si>
  <si>
    <t xml:space="preserve">partage-21</t>
  </si>
  <si>
    <t xml:space="preserve">2023-12-06</t>
  </si>
  <si>
    <t xml:space="preserve">Note n°14 (19:57) 28.75 € ; Note n°15 (19:57) 28.75 €</t>
  </si>
  <si>
    <t xml:space="preserve">partage-22</t>
  </si>
  <si>
    <t xml:space="preserve">2024-01-06</t>
  </si>
  <si>
    <t xml:space="preserve">Note n°7 (12:44) 60.90 € ; Note n°8 (12:45) 60.90 €</t>
  </si>
  <si>
    <t xml:space="preserve">partage-23</t>
  </si>
  <si>
    <t xml:space="preserve">2024-03-21</t>
  </si>
  <si>
    <t xml:space="preserve">Note n°13 (19:58) 35.11 € ; Note n°14 (20:00) 88.59 €</t>
  </si>
  <si>
    <t xml:space="preserve">partage-24</t>
  </si>
  <si>
    <t xml:space="preserve">2024-04-27</t>
  </si>
  <si>
    <t xml:space="preserve">Note n°29 (21:09) 141.95 € ; Note n°30 (21:10) 141.95 €</t>
  </si>
  <si>
    <t xml:space="preserve">partage-25</t>
  </si>
  <si>
    <t xml:space="preserve">2024-05-11</t>
  </si>
  <si>
    <t xml:space="preserve">Note n°31 (20:42) 108.05 € ; Note n°32 (20:43) 108.05 €</t>
  </si>
  <si>
    <t xml:space="preserve">partage-26</t>
  </si>
  <si>
    <t xml:space="preserve">2024-06-05</t>
  </si>
  <si>
    <t xml:space="preserve">Note n°20 (19:34) 26.25 € ; Note n°21 (19:35) 26.25 € ; Note n°23 (19:44) 31.10 € ; Note n°24 (19:44) 31.10 €</t>
  </si>
  <si>
    <t xml:space="preserve">partage-27</t>
  </si>
  <si>
    <t xml:space="preserve">2024-07-20</t>
  </si>
  <si>
    <t xml:space="preserve">Note n°12 (12:59) 67.60 € ; Note n°13 (13:00) 67.60 €</t>
  </si>
  <si>
    <t xml:space="preserve">partage-28</t>
  </si>
  <si>
    <t xml:space="preserve">2024-08-03</t>
  </si>
  <si>
    <t xml:space="preserve">Note n°25 (20:01) 48.85 € ; Note n°26 (20:02) 48.85 €</t>
  </si>
  <si>
    <t xml:space="preserve">partage-29</t>
  </si>
  <si>
    <t xml:space="preserve">2024-09-29</t>
  </si>
  <si>
    <t xml:space="preserve">Note n°5 (12:42) 118.10 € ; Note n°6 (12:43) 118.10 € ; Note n°8 (12:49) 42.60 € ; Note n°9 (12:49) 42.60 € ; Note n°10 (12:53) 92.55 € ; Note n°11 (12:54) 92.55 €</t>
  </si>
  <si>
    <t xml:space="preserve">partage-30</t>
  </si>
  <si>
    <t xml:space="preserve">2024-10-30</t>
  </si>
  <si>
    <t xml:space="preserve">Note n°21 (19:56) 115.45 € ; Note n°22 (19:57) 115.45 €</t>
  </si>
  <si>
    <t xml:space="preserve">partage-31</t>
  </si>
  <si>
    <t xml:space="preserve">2024-11-22</t>
  </si>
  <si>
    <t xml:space="preserve">Note n°15 (20:41) 31.10 € ; Note n°16 (20:41) 31.10 €</t>
  </si>
  <si>
    <t xml:space="preserve">partage-32</t>
  </si>
  <si>
    <t xml:space="preserve">Note n°10 (19:48) 86.10 € ; Note n°11 (19:48) 86.10 €</t>
  </si>
  <si>
    <t xml:space="preserve">partage-33</t>
  </si>
  <si>
    <t xml:space="preserve">2025-01-04</t>
  </si>
  <si>
    <t xml:space="preserve">Note n°21 (20:03) 77.75 € ; Note n°22 (20:03) 77.75 €</t>
  </si>
  <si>
    <t xml:space="preserve">partage-34</t>
  </si>
  <si>
    <t xml:space="preserve">Note n°24 (20:16) 53.05 € ; Note n°25 (20:16) 53.05 €</t>
  </si>
  <si>
    <t xml:space="preserve">deplacement-01</t>
  </si>
  <si>
    <t xml:space="preserve">deplacement</t>
  </si>
  <si>
    <t xml:space="preserve">2022-04-24</t>
  </si>
  <si>
    <t xml:space="preserve">Note n°1 (11:54) 73.10 €</t>
  </si>
  <si>
    <t xml:space="preserve">deplacement-02</t>
  </si>
  <si>
    <t xml:space="preserve">2022-05-25</t>
  </si>
  <si>
    <t xml:space="preserve">Note n°29 (20:19) 86.45 €</t>
  </si>
  <si>
    <t xml:space="preserve">deplacement-03</t>
  </si>
  <si>
    <t xml:space="preserve">2022-06-01</t>
  </si>
  <si>
    <t xml:space="preserve">Note n°5 (12:25) 47.10 €</t>
  </si>
  <si>
    <t xml:space="preserve">deplacement-04</t>
  </si>
  <si>
    <t xml:space="preserve">2022-07-06</t>
  </si>
  <si>
    <t xml:space="preserve">Note n°13 (18:10) 31.60 €</t>
  </si>
  <si>
    <t xml:space="preserve">deplacement-05</t>
  </si>
  <si>
    <t xml:space="preserve">2022-08-11</t>
  </si>
  <si>
    <t xml:space="preserve">Note n°23 (19:39) 22.95 €</t>
  </si>
  <si>
    <t xml:space="preserve">deplacement-06</t>
  </si>
  <si>
    <t xml:space="preserve">2022-09-04</t>
  </si>
  <si>
    <t xml:space="preserve">Note n°24 (20:04) 71.85 €</t>
  </si>
  <si>
    <t xml:space="preserve">deplacement-07</t>
  </si>
  <si>
    <t xml:space="preserve">2022-10-05</t>
  </si>
  <si>
    <t xml:space="preserve">Note n°20 (20:26) 38.05 €</t>
  </si>
  <si>
    <t xml:space="preserve">deplacement-08</t>
  </si>
  <si>
    <t xml:space="preserve">2022-12-07</t>
  </si>
  <si>
    <t xml:space="preserve">Note n°14 (19:37) 28.35 €</t>
  </si>
  <si>
    <t xml:space="preserve">deplacement-09</t>
  </si>
  <si>
    <t xml:space="preserve">Note n°13 (19:33) 59.10 €</t>
  </si>
  <si>
    <t xml:space="preserve">deplacement-10</t>
  </si>
  <si>
    <t xml:space="preserve">2023-03-26</t>
  </si>
  <si>
    <t xml:space="preserve">Note n°4 (12:26) 25.60 €</t>
  </si>
  <si>
    <t xml:space="preserve">deplacement-11</t>
  </si>
  <si>
    <t xml:space="preserve">2023-04-30</t>
  </si>
  <si>
    <t xml:space="preserve">Note n°19 (19:49) 36.35 €</t>
  </si>
  <si>
    <t xml:space="preserve">deplacement-12</t>
  </si>
  <si>
    <t xml:space="preserve">2023-05-07</t>
  </si>
  <si>
    <t xml:space="preserve">Note n°18 (19:31) 35.75 €</t>
  </si>
  <si>
    <t xml:space="preserve">deplacement-13</t>
  </si>
  <si>
    <t xml:space="preserve">2023-06-02</t>
  </si>
  <si>
    <t xml:space="preserve">Note n°29 (20:02) 22.35 €</t>
  </si>
  <si>
    <t xml:space="preserve">deplacement-14</t>
  </si>
  <si>
    <t xml:space="preserve">2023-07-13</t>
  </si>
  <si>
    <t xml:space="preserve">Note n°19 (19:44) 70.90 €</t>
  </si>
  <si>
    <t xml:space="preserve">deplacement-15</t>
  </si>
  <si>
    <t xml:space="preserve">2023-08-11</t>
  </si>
  <si>
    <t xml:space="preserve">Note n°20 (19:10) 68.90 €</t>
  </si>
  <si>
    <t xml:space="preserve">deplacement-16</t>
  </si>
  <si>
    <t xml:space="preserve">2023-09-02</t>
  </si>
  <si>
    <t xml:space="preserve">Note n°22 (19:54) 57.50 €</t>
  </si>
  <si>
    <t xml:space="preserve">deplacement-17</t>
  </si>
  <si>
    <t xml:space="preserve">2023-10-19</t>
  </si>
  <si>
    <t xml:space="preserve">Note n°16 (20:15) 70.80 €</t>
  </si>
  <si>
    <t xml:space="preserve">deplacement-18</t>
  </si>
  <si>
    <t xml:space="preserve">2023-12-09</t>
  </si>
  <si>
    <t xml:space="preserve">Note n°15 (20:07) 85.00 €</t>
  </si>
  <si>
    <t xml:space="preserve">deplacement-19</t>
  </si>
  <si>
    <t xml:space="preserve">2024-05-18</t>
  </si>
  <si>
    <t xml:space="preserve">Note n°2 (11:49) 38.70 €</t>
  </si>
  <si>
    <t xml:space="preserve">deplacement-20</t>
  </si>
  <si>
    <t xml:space="preserve">2024-06-13</t>
  </si>
  <si>
    <t xml:space="preserve">Note n°4 (12:15) 66.85 €</t>
  </si>
  <si>
    <t xml:space="preserve">deplacement-21</t>
  </si>
  <si>
    <t xml:space="preserve">2024-07-03</t>
  </si>
  <si>
    <t xml:space="preserve">Note n°32 (21:01) 42.35 €</t>
  </si>
  <si>
    <t xml:space="preserve">deplacement-22</t>
  </si>
  <si>
    <t xml:space="preserve">2024-09-28</t>
  </si>
  <si>
    <t xml:space="preserve">Note n°17 (20:00) 76.60 €</t>
  </si>
  <si>
    <t xml:space="preserve">deplacement-23</t>
  </si>
  <si>
    <t xml:space="preserve">2024-10-18</t>
  </si>
  <si>
    <t xml:space="preserve">Note n°2 (12:26) 42.80 €</t>
  </si>
  <si>
    <t xml:space="preserve">deplacement-24</t>
  </si>
  <si>
    <t xml:space="preserve">2024-12-06</t>
  </si>
  <si>
    <t xml:space="preserve">Note n°19 (19:55) 86.90 €</t>
  </si>
  <si>
    <t xml:space="preserve">heure</t>
  </si>
  <si>
    <t xml:space="preserve">montant (€)</t>
  </si>
  <si>
    <t xml:space="preserve">devient (article)</t>
  </si>
  <si>
    <t xml:space="preserve">tables</t>
  </si>
  <si>
    <t xml:space="preserve">12:58</t>
  </si>
  <si>
    <t xml:space="preserve">19:05</t>
  </si>
  <si>
    <t xml:space="preserve">11:59</t>
  </si>
  <si>
    <t xml:space="preserve">19:32</t>
  </si>
  <si>
    <t xml:space="preserve">12:13</t>
  </si>
  <si>
    <t xml:space="preserve">12:07</t>
  </si>
  <si>
    <t xml:space="preserve">19:34</t>
  </si>
  <si>
    <t xml:space="preserve">13:19</t>
  </si>
  <si>
    <t xml:space="preserve">12:30</t>
  </si>
  <si>
    <t xml:space="preserve">12:20</t>
  </si>
  <si>
    <t xml:space="preserve">20:36</t>
  </si>
  <si>
    <t xml:space="preserve">18:56</t>
  </si>
  <si>
    <t xml:space="preserve">12:26</t>
  </si>
  <si>
    <t xml:space="preserve">11:53</t>
  </si>
  <si>
    <t xml:space="preserve">18:47</t>
  </si>
  <si>
    <t xml:space="preserve">19:55</t>
  </si>
  <si>
    <t xml:space="preserve">12:44</t>
  </si>
  <si>
    <t xml:space="preserve">20:08</t>
  </si>
  <si>
    <t xml:space="preserve">13:00</t>
  </si>
  <si>
    <t xml:space="preserve">12:23</t>
  </si>
  <si>
    <t xml:space="preserve">11:35</t>
  </si>
  <si>
    <t xml:space="preserve">11:48</t>
  </si>
  <si>
    <t xml:space="preserve">20:17</t>
  </si>
  <si>
    <t xml:space="preserve">20:45</t>
  </si>
  <si>
    <t xml:space="preserve">13:13</t>
  </si>
  <si>
    <t xml:space="preserve">19:39</t>
  </si>
  <si>
    <t xml:space="preserve">11:41</t>
  </si>
  <si>
    <t xml:space="preserve">18:54</t>
  </si>
  <si>
    <t xml:space="preserve">19:38</t>
  </si>
  <si>
    <t xml:space="preserve">20:07</t>
  </si>
  <si>
    <t xml:space="preserve">Jus de Fruit / POMMES FRITES</t>
  </si>
  <si>
    <t xml:space="preserve">n°23, n°24</t>
  </si>
  <si>
    <t xml:space="preserve">Crêpe Marrons</t>
  </si>
  <si>
    <t xml:space="preserve">Pinte</t>
  </si>
  <si>
    <t xml:space="preserve">Pavlova</t>
  </si>
  <si>
    <t xml:space="preserve">19:47</t>
  </si>
  <si>
    <t xml:space="preserve">Whisky L.J (2cl) Bab</t>
  </si>
  <si>
    <t xml:space="preserve">n°22, n°23</t>
  </si>
  <si>
    <t xml:space="preserve">Pichet 50cl vin</t>
  </si>
  <si>
    <t xml:space="preserve">Croûtes Morilles</t>
  </si>
  <si>
    <t xml:space="preserve">TRUITE JURASSIENNE</t>
  </si>
  <si>
    <t xml:space="preserve">20:16</t>
  </si>
  <si>
    <t xml:space="preserve">Jambon Blanc</t>
  </si>
  <si>
    <t xml:space="preserve">n°27, n°28</t>
  </si>
  <si>
    <t xml:space="preserve">POMMES FRITES</t>
  </si>
  <si>
    <t xml:space="preserve">n°25, n°26</t>
  </si>
  <si>
    <t xml:space="preserve">13:18</t>
  </si>
  <si>
    <t xml:space="preserve">Chantilly</t>
  </si>
  <si>
    <t xml:space="preserve">n°9, n°10</t>
  </si>
  <si>
    <t xml:space="preserve">Fuze Tea / GLACE 2 BOULES / Panaché</t>
  </si>
  <si>
    <t xml:space="preserve">n°9, n°10, n°12, n°13</t>
  </si>
  <si>
    <t xml:space="preserve">Beaujolais Moulin à</t>
  </si>
  <si>
    <t xml:space="preserve">n°12, n°13</t>
  </si>
  <si>
    <t xml:space="preserve">Mambo</t>
  </si>
  <si>
    <t xml:space="preserve">19:49</t>
  </si>
  <si>
    <t xml:space="preserve">Expresso</t>
  </si>
  <si>
    <t xml:space="preserve">n°29, n°30</t>
  </si>
  <si>
    <t xml:space="preserve">Chat perché</t>
  </si>
  <si>
    <t xml:space="preserve">n°26, n°27</t>
  </si>
  <si>
    <t xml:space="preserve">19:50</t>
  </si>
  <si>
    <t xml:space="preserve">n°20, n°21</t>
  </si>
  <si>
    <t xml:space="preserve">CREME BRULEE</t>
  </si>
  <si>
    <t xml:space="preserve">20:04</t>
  </si>
  <si>
    <t xml:space="preserve">GLACE 1 BOULE</t>
  </si>
  <si>
    <t xml:space="preserve">n°21, n°22</t>
  </si>
  <si>
    <t xml:space="preserve">Orangina (25cl) / Pommes grenailles</t>
  </si>
  <si>
    <t xml:space="preserve">GLACE 2 BOULES</t>
  </si>
  <si>
    <t xml:space="preserve">n°28, n°29</t>
  </si>
  <si>
    <t xml:space="preserve">Ambrée / Salade Verte / Vittel litre</t>
  </si>
  <si>
    <t xml:space="preserve">12:41</t>
  </si>
  <si>
    <t xml:space="preserve">n°6, n°7</t>
  </si>
  <si>
    <t xml:space="preserve">Jus de Fruit</t>
  </si>
  <si>
    <t xml:space="preserve">19:09</t>
  </si>
  <si>
    <t xml:space="preserve">Jamhon Persillé / Savagnin verre</t>
  </si>
  <si>
    <t xml:space="preserve">n°8, n°9, n°11, n°12</t>
  </si>
  <si>
    <t xml:space="preserve">12:06</t>
  </si>
  <si>
    <t xml:space="preserve">Assortiment charcute</t>
  </si>
  <si>
    <t xml:space="preserve">n°4, n°6</t>
  </si>
  <si>
    <t xml:space="preserve">Chat perché / La Vouivre</t>
  </si>
  <si>
    <t xml:space="preserve">n°5, n°6</t>
  </si>
  <si>
    <t xml:space="preserve">Jamhon Persillé</t>
  </si>
  <si>
    <t xml:space="preserve">POULET JURASSIENNE</t>
  </si>
  <si>
    <t xml:space="preserve">21:07</t>
  </si>
  <si>
    <t xml:space="preserve">n°13, n°14</t>
  </si>
  <si>
    <t xml:space="preserve">Macvin du Jura</t>
  </si>
  <si>
    <t xml:space="preserve">GLACE 3 BOULES / PASSION</t>
  </si>
  <si>
    <t xml:space="preserve">12:16</t>
  </si>
  <si>
    <t xml:space="preserve">Panaché / pression</t>
  </si>
  <si>
    <t xml:space="preserve">n°4, n°5</t>
  </si>
  <si>
    <t xml:space="preserve">Menu 'Galette'</t>
  </si>
  <si>
    <t xml:space="preserve">19:48</t>
  </si>
  <si>
    <t xml:space="preserve">VERRE ROSE</t>
  </si>
  <si>
    <t xml:space="preserve">n°17, n°18</t>
  </si>
  <si>
    <t xml:space="preserve">12:08</t>
  </si>
  <si>
    <t xml:space="preserve">Père Gregoire</t>
  </si>
  <si>
    <t xml:space="preserve">CAMEMBERT ROTI</t>
  </si>
  <si>
    <t xml:space="preserve">13:17</t>
  </si>
  <si>
    <t xml:space="preserve">n°12, n°13, n°14, n°15</t>
  </si>
  <si>
    <t xml:space="preserve">Menu Bourguignon</t>
  </si>
  <si>
    <t xml:space="preserve">n°14, n°15</t>
  </si>
  <si>
    <t xml:space="preserve">Crêpe au sucre / Galette nature</t>
  </si>
  <si>
    <t xml:space="preserve">n°31, n°32, n°33</t>
  </si>
  <si>
    <t xml:space="preserve">Comté</t>
  </si>
  <si>
    <t xml:space="preserve">n°32, n°33</t>
  </si>
  <si>
    <t xml:space="preserve">Panaché</t>
  </si>
  <si>
    <t xml:space="preserve">20:09</t>
  </si>
  <si>
    <t xml:space="preserve">Cancoillotte / Crêpe au sucre</t>
  </si>
  <si>
    <t xml:space="preserve">n°36, n°37</t>
  </si>
  <si>
    <t xml:space="preserve">Saucisse de Morteau</t>
  </si>
  <si>
    <t xml:space="preserve">n°30, n°31</t>
  </si>
  <si>
    <t xml:space="preserve">BALIDOU</t>
  </si>
  <si>
    <t xml:space="preserve">19:33</t>
  </si>
  <si>
    <t xml:space="preserve">Crêpe Salidou</t>
  </si>
  <si>
    <t xml:space="preserve">12:52</t>
  </si>
  <si>
    <t xml:space="preserve">MORTEAU GRILLEE</t>
  </si>
  <si>
    <t xml:space="preserve">n°7, n°8</t>
  </si>
  <si>
    <t xml:space="preserve">Entrecôte Forestiére</t>
  </si>
  <si>
    <t xml:space="preserve">Savagnin verre</t>
  </si>
  <si>
    <t xml:space="preserve">Baba</t>
  </si>
  <si>
    <t xml:space="preserve">PAYSANNE</t>
  </si>
  <si>
    <t xml:space="preserve">21:26</t>
  </si>
  <si>
    <t xml:space="preserve">Salade Verte</t>
  </si>
  <si>
    <t xml:space="preserve">Crêpe Flambée</t>
  </si>
  <si>
    <t xml:space="preserve">20:43</t>
  </si>
  <si>
    <t xml:space="preserve">Pontarlier</t>
  </si>
  <si>
    <t xml:space="preserve">n°31, n°32</t>
  </si>
  <si>
    <t xml:space="preserve">KITTYKIR</t>
  </si>
  <si>
    <t xml:space="preserve">Macvin du Jura / Père Gregoire / Salade Verte</t>
  </si>
  <si>
    <t xml:space="preserve">ASSIETTE PERE GREGOI / MORTEAU GRILLEE</t>
  </si>
  <si>
    <t xml:space="preserve">n°20, n°21, n°23, n°24</t>
  </si>
  <si>
    <t xml:space="preserve">Entrecôte grillée</t>
  </si>
  <si>
    <t xml:space="preserve">12:54</t>
  </si>
  <si>
    <t xml:space="preserve">19:51</t>
  </si>
  <si>
    <t xml:space="preserve">FANTA</t>
  </si>
  <si>
    <t xml:space="preserve">Crémeux du Jura</t>
  </si>
  <si>
    <t xml:space="preserve">12:38</t>
  </si>
  <si>
    <t xml:space="preserve">PEUTE</t>
  </si>
  <si>
    <t xml:space="preserve">ASSIETTE FRANC-COMTO / MORTEAU GRILLEE / POULET JURASSIENNE</t>
  </si>
  <si>
    <t xml:space="preserve">n°5, n°6, n°8, n°9, n°10, n°11</t>
  </si>
  <si>
    <t xml:space="preserve">Truite Morilles</t>
  </si>
  <si>
    <t xml:space="preserve">n°8, n°9</t>
  </si>
  <si>
    <t xml:space="preserve">MACHON GOURMET</t>
  </si>
  <si>
    <t xml:space="preserve">20:40</t>
  </si>
  <si>
    <t xml:space="preserve">Ricard</t>
  </si>
  <si>
    <t xml:space="preserve">n°15, n°16</t>
  </si>
  <si>
    <t xml:space="preserve">19:45</t>
  </si>
  <si>
    <t xml:space="preserve">n°10, n°11</t>
  </si>
  <si>
    <t xml:space="preserve">19:37</t>
  </si>
  <si>
    <t xml:space="preserve">Jus de Fruit / Ricard</t>
  </si>
  <si>
    <t xml:space="preserve">20:30</t>
  </si>
  <si>
    <t xml:space="preserve">1 Boule Glace / Morbier</t>
  </si>
  <si>
    <t xml:space="preserve">n°24, n°25</t>
  </si>
  <si>
    <t xml:space="preserve">Sauce Forestière</t>
  </si>
  <si>
    <t xml:space="preserve">MAEVA</t>
  </si>
  <si>
    <t xml:space="preserve">11:58</t>
  </si>
  <si>
    <t xml:space="preserve">20:20</t>
  </si>
  <si>
    <t xml:space="preserve">12:25</t>
  </si>
  <si>
    <t xml:space="preserve">18:10</t>
  </si>
  <si>
    <t xml:space="preserve">20:26</t>
  </si>
  <si>
    <t xml:space="preserve">12:27</t>
  </si>
  <si>
    <t xml:space="preserve">19:31</t>
  </si>
  <si>
    <t xml:space="preserve">20:03</t>
  </si>
  <si>
    <t xml:space="preserve">19:36</t>
  </si>
  <si>
    <t xml:space="preserve">19:15</t>
  </si>
  <si>
    <t xml:space="preserve">19:56</t>
  </si>
  <si>
    <t xml:space="preserve">20:12</t>
  </si>
  <si>
    <t xml:space="preserve">11:51</t>
  </si>
  <si>
    <t xml:space="preserve">21:06</t>
  </si>
  <si>
    <t xml:space="preserve">20:00</t>
  </si>
  <si>
    <t xml:space="preserve">12:19</t>
  </si>
  <si>
    <t xml:space="preserve">note</t>
  </si>
  <si>
    <t xml:space="preserve">total (€)</t>
  </si>
  <si>
    <t xml:space="preserve">nb articles</t>
  </si>
  <si>
    <t xml:space="preserve">somme articles (€)</t>
  </si>
  <si>
    <t xml:space="preserve">Note n°17</t>
  </si>
  <si>
    <t xml:space="preserve">12:59</t>
  </si>
  <si>
    <t xml:space="preserve">Note n°13</t>
  </si>
  <si>
    <t xml:space="preserve">Note n°2</t>
  </si>
  <si>
    <t xml:space="preserve">Note n°11</t>
  </si>
  <si>
    <t xml:space="preserve">12:14</t>
  </si>
  <si>
    <t xml:space="preserve">Note n°3</t>
  </si>
  <si>
    <t xml:space="preserve">Note n°26</t>
  </si>
  <si>
    <t xml:space="preserve">Note n°6</t>
  </si>
  <si>
    <t xml:space="preserve">12:31</t>
  </si>
  <si>
    <t xml:space="preserve">Note n°4</t>
  </si>
  <si>
    <t xml:space="preserve">Note n°12</t>
  </si>
  <si>
    <t xml:space="preserve">20:37</t>
  </si>
  <si>
    <t xml:space="preserve">Note n°8</t>
  </si>
  <si>
    <t xml:space="preserve">Note n°15</t>
  </si>
  <si>
    <t xml:space="preserve">Note n°25</t>
  </si>
  <si>
    <t xml:space="preserve">12:45</t>
  </si>
  <si>
    <t xml:space="preserve">Note n°27</t>
  </si>
  <si>
    <t xml:space="preserve">Note n°7</t>
  </si>
  <si>
    <t xml:space="preserve">Note n°1</t>
  </si>
  <si>
    <t xml:space="preserve">Note n°24</t>
  </si>
  <si>
    <t xml:space="preserve">Note n°20</t>
  </si>
  <si>
    <t xml:space="preserve">11:42</t>
  </si>
  <si>
    <t xml:space="preserve">Note n°14</t>
  </si>
  <si>
    <t xml:space="preserve">Note n°18</t>
  </si>
  <si>
    <t xml:space="preserve">Note n°23</t>
  </si>
  <si>
    <t xml:space="preserve">20:22</t>
  </si>
  <si>
    <t xml:space="preserve">Note n°22</t>
  </si>
  <si>
    <t xml:space="preserve">19:35</t>
  </si>
  <si>
    <t xml:space="preserve">Note n°28</t>
  </si>
  <si>
    <t xml:space="preserve">20:18</t>
  </si>
  <si>
    <t xml:space="preserve">Note n°9</t>
  </si>
  <si>
    <t xml:space="preserve">13:08</t>
  </si>
  <si>
    <t xml:space="preserve">Note n°10</t>
  </si>
  <si>
    <t xml:space="preserve">Note n°29</t>
  </si>
  <si>
    <t xml:space="preserve">19:43</t>
  </si>
  <si>
    <t xml:space="preserve">Note n°30</t>
  </si>
  <si>
    <t xml:space="preserve">Note n°21</t>
  </si>
  <si>
    <t xml:space="preserve">20:23</t>
  </si>
  <si>
    <t xml:space="preserve">20:05</t>
  </si>
  <si>
    <t xml:space="preserve">20:06</t>
  </si>
  <si>
    <t xml:space="preserve">13:02</t>
  </si>
  <si>
    <t xml:space="preserve">13:03</t>
  </si>
  <si>
    <t xml:space="preserve">19:12</t>
  </si>
  <si>
    <t xml:space="preserve">19:13</t>
  </si>
  <si>
    <t xml:space="preserve">19:22</t>
  </si>
  <si>
    <t xml:space="preserve">12:18</t>
  </si>
  <si>
    <t xml:space="preserve">Note n°5</t>
  </si>
  <si>
    <t xml:space="preserve">13:07</t>
  </si>
  <si>
    <t xml:space="preserve">21:09</t>
  </si>
  <si>
    <t xml:space="preserve">21:10</t>
  </si>
  <si>
    <t xml:space="preserve">12:11</t>
  </si>
  <si>
    <t xml:space="preserve">12:12</t>
  </si>
  <si>
    <t xml:space="preserve">20:13</t>
  </si>
  <si>
    <t xml:space="preserve">20:14</t>
  </si>
  <si>
    <t xml:space="preserve">13:01</t>
  </si>
  <si>
    <t xml:space="preserve">Note n°31</t>
  </si>
  <si>
    <t xml:space="preserve">Note n°32</t>
  </si>
  <si>
    <t xml:space="preserve">19:57</t>
  </si>
  <si>
    <t xml:space="preserve">Note n°33</t>
  </si>
  <si>
    <t xml:space="preserve">Note n°36</t>
  </si>
  <si>
    <t xml:space="preserve">Note n°37</t>
  </si>
  <si>
    <t xml:space="preserve">20:24</t>
  </si>
  <si>
    <t xml:space="preserve">20:57</t>
  </si>
  <si>
    <t xml:space="preserve">20:58</t>
  </si>
  <si>
    <t xml:space="preserve">19:58</t>
  </si>
  <si>
    <t xml:space="preserve">20:42</t>
  </si>
  <si>
    <t xml:space="preserve">19:44</t>
  </si>
  <si>
    <t xml:space="preserve">20:01</t>
  </si>
  <si>
    <t xml:space="preserve">20:02</t>
  </si>
  <si>
    <t xml:space="preserve">12:42</t>
  </si>
  <si>
    <t xml:space="preserve">12:43</t>
  </si>
  <si>
    <t xml:space="preserve">12:49</t>
  </si>
  <si>
    <t xml:space="preserve">12:53</t>
  </si>
  <si>
    <t xml:space="preserve">20:41</t>
  </si>
  <si>
    <t xml:space="preserve">Note n°16</t>
  </si>
  <si>
    <t xml:space="preserve">11:54</t>
  </si>
  <si>
    <t xml:space="preserve">20:19</t>
  </si>
  <si>
    <t xml:space="preserve">Note n°19</t>
  </si>
  <si>
    <t xml:space="preserve">19:10</t>
  </si>
  <si>
    <t xml:space="preserve">19:54</t>
  </si>
  <si>
    <t xml:space="preserve">20:15</t>
  </si>
  <si>
    <t xml:space="preserve">11:49</t>
  </si>
  <si>
    <t xml:space="preserve">12:15</t>
  </si>
  <si>
    <t xml:space="preserve">21:01</t>
  </si>
  <si>
    <t xml:space="preserve">article</t>
  </si>
  <si>
    <t xml:space="preserve">qte</t>
  </si>
  <si>
    <t xml:space="preserve">prix unitaire (€)</t>
  </si>
  <si>
    <t xml:space="preserve">check pu x qte</t>
  </si>
  <si>
    <t xml:space="preserve">article partagé</t>
  </si>
  <si>
    <t xml:space="preserve">Menu 'Demi Lune'</t>
  </si>
  <si>
    <t xml:space="preserve">Menu du jour</t>
  </si>
  <si>
    <t xml:space="preserve">FORMULE EXPRESS</t>
  </si>
  <si>
    <t xml:space="preserve">Formule Express</t>
  </si>
  <si>
    <t xml:space="preserve">Menu Franc-Comtois</t>
  </si>
  <si>
    <t xml:space="preserve">Menu Végétarien</t>
  </si>
  <si>
    <t xml:space="preserve">Crémant</t>
  </si>
  <si>
    <t xml:space="preserve">Salade Franc-Comptoi</t>
  </si>
  <si>
    <t xml:space="preserve">CANCOINE</t>
  </si>
  <si>
    <t xml:space="preserve">San Pelegrino</t>
  </si>
  <si>
    <t xml:space="preserve">DOUCEUR</t>
  </si>
  <si>
    <t xml:space="preserve">Ambrée</t>
  </si>
  <si>
    <t xml:space="preserve">Luna</t>
  </si>
  <si>
    <t xml:space="preserve">DADOULET</t>
  </si>
  <si>
    <t xml:space="preserve">TANTELIN</t>
  </si>
  <si>
    <t xml:space="preserve">Saint Véran Verre</t>
  </si>
  <si>
    <t xml:space="preserve">Galette nature</t>
  </si>
  <si>
    <t xml:space="preserve">Jambon Sec</t>
  </si>
  <si>
    <t xml:space="preserve">Fuze Tea</t>
  </si>
  <si>
    <t xml:space="preserve">Picon bière</t>
  </si>
  <si>
    <t xml:space="preserve">Rosé Pamplemousse</t>
  </si>
  <si>
    <t xml:space="preserve">Salade Végétarienne</t>
  </si>
  <si>
    <t xml:space="preserve">FROMAGES REGIONAUX</t>
  </si>
  <si>
    <t xml:space="preserve">Kir Bourgogne</t>
  </si>
  <si>
    <t xml:space="preserve">Salade Verte aux Noi</t>
  </si>
  <si>
    <t xml:space="preserve">CABRICHOU</t>
  </si>
  <si>
    <t xml:space="preserve">TRUITE PESTO</t>
  </si>
  <si>
    <t xml:space="preserve">Expresso Crème</t>
  </si>
  <si>
    <t xml:space="preserve">Bohème</t>
  </si>
  <si>
    <t xml:space="preserve">Perrier 33cl</t>
  </si>
  <si>
    <t xml:space="preserve">ASSIETTE FRANC-COMTO</t>
  </si>
  <si>
    <t xml:space="preserve">Mi</t>
  </si>
  <si>
    <t xml:space="preserve">La Vouivre</t>
  </si>
  <si>
    <t xml:space="preserve">Infusion</t>
  </si>
  <si>
    <t xml:space="preserve">Whisky-Coca</t>
  </si>
  <si>
    <t xml:space="preserve">Orangina (25cl)</t>
  </si>
  <si>
    <t xml:space="preserve">Whisky L.J (4cl)</t>
  </si>
  <si>
    <t xml:space="preserve">Arbois Trousseau Bou</t>
  </si>
  <si>
    <t xml:space="preserve">FONDUE VIN JAUNE</t>
  </si>
  <si>
    <t xml:space="preserve">Fondue Forestière</t>
  </si>
  <si>
    <t xml:space="preserve">Pommes grenailles</t>
  </si>
  <si>
    <t xml:space="preserve">Eau de Vie de Poire</t>
  </si>
  <si>
    <t xml:space="preserve">Marc du Jura (4cl)</t>
  </si>
  <si>
    <t xml:space="preserve">Fondue Jurassienne</t>
  </si>
  <si>
    <t xml:space="preserve">Arbois Savagnin</t>
  </si>
  <si>
    <t xml:space="preserve">Vittel litre</t>
  </si>
  <si>
    <t xml:space="preserve">Blanche des plateaux</t>
  </si>
  <si>
    <t xml:space="preserve">Baba au Macvin</t>
  </si>
  <si>
    <t xml:space="preserve">Normandine</t>
  </si>
  <si>
    <t xml:space="preserve">Crepe Chocolat</t>
  </si>
  <si>
    <t xml:space="preserve">1/2 Arbois Béthanie</t>
  </si>
  <si>
    <t xml:space="preserve">Cancoillotte</t>
  </si>
  <si>
    <t xml:space="preserve">Pommes de Terre</t>
  </si>
  <si>
    <t xml:space="preserve">DAMES VERTES</t>
  </si>
  <si>
    <t xml:space="preserve">Thé</t>
  </si>
  <si>
    <t xml:space="preserve">Kir Princier</t>
  </si>
  <si>
    <t xml:space="preserve">Feuilleté Forestier</t>
  </si>
  <si>
    <t xml:space="preserve">Vin de Paille</t>
  </si>
  <si>
    <t xml:space="preserve">H.C.DE BEAUNE  VERRE</t>
  </si>
  <si>
    <t xml:space="preserve">San Pelegrino 50cl</t>
  </si>
  <si>
    <t xml:space="preserve">C du  Rhone St Josep</t>
  </si>
  <si>
    <t xml:space="preserve">BURGER COMTOIS</t>
  </si>
  <si>
    <t xml:space="preserve">GLACE 3 BOULES</t>
  </si>
  <si>
    <t xml:space="preserve">SAUCE CHOCO/CAFE/CAR</t>
  </si>
  <si>
    <t xml:space="preserve">Chèvre  chaud</t>
  </si>
  <si>
    <t xml:space="preserve">PiCHET TROUSSEAU</t>
  </si>
  <si>
    <t xml:space="preserve">Coca (25cl)</t>
  </si>
  <si>
    <t xml:space="preserve">Crêpe Nutella</t>
  </si>
  <si>
    <t xml:space="preserve">PASSION</t>
  </si>
  <si>
    <t xml:space="preserve">pression</t>
  </si>
  <si>
    <t xml:space="preserve">Menu 'Enfant'</t>
  </si>
  <si>
    <t xml:space="preserve">Bacon</t>
  </si>
  <si>
    <t xml:space="preserve">LOURNETTE</t>
  </si>
  <si>
    <t xml:space="preserve">Crepe CHOCO/BANANE</t>
  </si>
  <si>
    <t xml:space="preserve">ENTRECOTE MORILLES</t>
  </si>
  <si>
    <t xml:space="preserve">Salade Régionale</t>
  </si>
  <si>
    <t xml:space="preserve">PICHET SAVAGNIN</t>
  </si>
  <si>
    <t xml:space="preserve">PICHET ROSE</t>
  </si>
  <si>
    <t xml:space="preserve">Poulet aux Morilles</t>
  </si>
  <si>
    <t xml:space="preserve">CUPIDON</t>
  </si>
  <si>
    <t xml:space="preserve">Martini Blanc</t>
  </si>
  <si>
    <t xml:space="preserve">Œuf</t>
  </si>
  <si>
    <t xml:space="preserve">Crème Fraîche</t>
  </si>
  <si>
    <t xml:space="preserve">Crêpe au sucre</t>
  </si>
  <si>
    <t xml:space="preserve">Noix</t>
  </si>
  <si>
    <t xml:space="preserve">SAUCE JURASSIENNE</t>
  </si>
  <si>
    <t xml:space="preserve">TANTE ARIE</t>
  </si>
  <si>
    <t xml:space="preserve">BAGATELLE</t>
  </si>
  <si>
    <t xml:space="preserve">Sirop à l'eau</t>
  </si>
  <si>
    <t xml:space="preserve">pichet Saint Joseph</t>
  </si>
  <si>
    <t xml:space="preserve">FLAMME</t>
  </si>
  <si>
    <t xml:space="preserve">BASILIC</t>
  </si>
  <si>
    <t xml:space="preserve">FLIRT</t>
  </si>
  <si>
    <t xml:space="preserve">Verre ALIGOTE</t>
  </si>
  <si>
    <t xml:space="preserve">Morbier</t>
  </si>
  <si>
    <t xml:space="preserve">BARBEULENET</t>
  </si>
  <si>
    <t xml:space="preserve">Crêpe Confiture</t>
  </si>
  <si>
    <t xml:space="preserve">1 Boule Glace</t>
  </si>
  <si>
    <t xml:space="preserve">Ratatouille</t>
  </si>
  <si>
    <t xml:space="preserve">PIGNONS PIN</t>
  </si>
  <si>
    <t xml:space="preserve">Champignons frais</t>
  </si>
  <si>
    <t xml:space="preserve">Arbois Béthanie</t>
  </si>
  <si>
    <t xml:space="preserve">Amandes grillées</t>
  </si>
  <si>
    <t xml:space="preserve">Liqueur de Sapin</t>
  </si>
  <si>
    <t xml:space="preserve">Gewurztraminer Le ve</t>
  </si>
  <si>
    <t xml:space="preserve">ASSIETTE PERE GREGOI</t>
  </si>
  <si>
    <t xml:space="preserve">Porto</t>
  </si>
  <si>
    <t xml:space="preserve">CHANTILLY</t>
  </si>
  <si>
    <t xml:space="preserve">Sprintz</t>
  </si>
  <si>
    <t xml:space="preserve">H.C.B BEAUNE BTL</t>
  </si>
  <si>
    <t xml:space="preserve">Escargots de Bourgog</t>
  </si>
  <si>
    <t xml:space="preserve">FRELEE</t>
  </si>
  <si>
    <t xml:space="preserve">VOUIVRE</t>
  </si>
  <si>
    <t xml:space="preserve">VOGEOTTE</t>
  </si>
  <si>
    <t xml:space="preserve">BANANE</t>
  </si>
  <si>
    <t xml:space="preserve">LIGOUSE</t>
  </si>
  <si>
    <t xml:space="preserve">CREPE NUTELLA CHANTI</t>
  </si>
  <si>
    <t xml:space="preserve">VERRE CHUSCLAN</t>
  </si>
  <si>
    <t xml:space="preserve">NIOLERIES</t>
  </si>
  <si>
    <t xml:space="preserve">Crêpe Pommes</t>
  </si>
  <si>
    <t xml:space="preserve">Arbois Trousseau Le</t>
  </si>
  <si>
    <t xml:space="preserve">IVRESSE</t>
  </si>
  <si>
    <t xml:space="preserve">BEGUIN</t>
  </si>
  <si>
    <t xml:space="preserve">Pichet 75cl vin</t>
  </si>
  <si>
    <t xml:space="preserve">Menu du Dahu</t>
  </si>
  <si>
    <t xml:space="preserve">Verre de vin</t>
  </si>
  <si>
    <t xml:space="preserve">Déca</t>
  </si>
  <si>
    <t xml:space="preserve">Schweppes</t>
  </si>
  <si>
    <t xml:space="preserve">CALIN</t>
  </si>
  <si>
    <t xml:space="preserve">Limonade (25cl)</t>
  </si>
  <si>
    <t xml:space="preserve">CONQUÊTE</t>
  </si>
  <si>
    <t xml:space="preserve">Pichet CdR CHUSCLAN</t>
  </si>
  <si>
    <t xml:space="preserve">Verre Rosé</t>
  </si>
  <si>
    <t xml:space="preserve">VERDELET</t>
  </si>
  <si>
    <t xml:space="preserve">Cognac (4cl)</t>
  </si>
  <si>
    <t xml:space="preserve">Arbois Chardonnay Le</t>
  </si>
  <si>
    <t xml:space="preserve">Formule à 12.5</t>
  </si>
  <si>
    <t xml:space="preserve">somme des quantités sur les notes</t>
  </si>
  <si>
    <t xml:space="preserve">entier ? (1 = oui)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</si>
</sst>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EF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F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28.3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customFormat="false" ht="15" hidden="false" customHeight="false" outlineLevel="0" collapsed="false">
      <c r="A2" s="0" t="s">
        <v>21</v>
      </c>
      <c r="B2" s="0" t="n">
        <f aca="false">COUNTIF(Exemples!$B$2:$B$90,"forfait")</f>
        <v>31</v>
      </c>
      <c r="C2" s="0" t="n">
        <f aca="false">COUNTIFS(Exemples!$B$2:$B$90,"forfait",Exemples!$C$2:$C$90,"2022-2023")</f>
        <v>11</v>
      </c>
      <c r="D2" s="0" t="n">
        <f aca="false">COUNTIFS(Exemples!$B$2:$B$90,"forfait",Exemples!$C$2:$C$90,"2023-2024")</f>
        <v>10</v>
      </c>
      <c r="E2" s="0" t="n">
        <f aca="false">COUNTIFS(Exemples!$B$2:$B$90,"forfait",Exemples!$C$2:$C$90,"2024-2025")</f>
        <v>10</v>
      </c>
      <c r="F2" s="0" t="n">
        <f aca="false">COUNTIF(Suppressions!$B:$B,"forfait")</f>
        <v>172</v>
      </c>
      <c r="G2" s="0" t="n">
        <f aca="false">ROUND(SUMIF(Suppressions!$B:$B,"forfait",Suppressions!$E:$E),2)</f>
        <v>2315.5</v>
      </c>
      <c r="H2" s="0" t="n">
        <f aca="false">ROUND(SUMIF(Notes!$B:$B,"forfait",Notes!$F:$F),2)</f>
        <v>2315.5</v>
      </c>
      <c r="I2" s="0" t="n">
        <f aca="false">COUNTIFS(Exemples!$B$2:$B$90,"forfait",Exemples!$J$2:$J$90,"somme DEL = total note")</f>
        <v>31</v>
      </c>
      <c r="J2" s="0" t="n">
        <f aca="false">B2-I2</f>
        <v>0</v>
      </c>
    </row>
    <row r="3" customFormat="false" ht="15" hidden="false" customHeight="false" outlineLevel="0" collapsed="false">
      <c r="A3" s="0" t="s">
        <v>22</v>
      </c>
      <c r="B3" s="0" t="n">
        <f aca="false">COUNTIF(Exemples!$B$2:$B$90,"partage")</f>
        <v>34</v>
      </c>
      <c r="C3" s="0" t="n">
        <f aca="false">COUNTIFS(Exemples!$B$2:$B$90,"partage",Exemples!$C$2:$C$90,"2022-2023")</f>
        <v>12</v>
      </c>
      <c r="D3" s="0" t="n">
        <f aca="false">COUNTIFS(Exemples!$B$2:$B$90,"partage",Exemples!$C$2:$C$90,"2023-2024")</f>
        <v>11</v>
      </c>
      <c r="E3" s="0" t="n">
        <f aca="false">COUNTIFS(Exemples!$B$2:$B$90,"partage",Exemples!$C$2:$C$90,"2024-2025")</f>
        <v>11</v>
      </c>
      <c r="F3" s="0" t="n">
        <f aca="false">COUNTIF(Suppressions!$B:$B,"partage")</f>
        <v>85</v>
      </c>
      <c r="G3" s="0" t="n">
        <f aca="false">ROUND(SUMIF(Suppressions!$B:$B,"partage",Suppressions!$E:$E),2)</f>
        <v>745.8</v>
      </c>
      <c r="H3" s="0" t="n">
        <f aca="false">ROUND(SUMIF(Notes!$B:$B,"partage",Notes!$F:$F),2)</f>
        <v>5440.3</v>
      </c>
      <c r="I3" s="0" t="n">
        <f aca="false">COUNTIFS(Exemples!$B$2:$B$90,"partage",Exemples!$J$2:$J$90,"partage entier")</f>
        <v>34</v>
      </c>
      <c r="J3" s="0" t="n">
        <f aca="false">B3-I3</f>
        <v>0</v>
      </c>
    </row>
    <row r="4" customFormat="false" ht="15" hidden="false" customHeight="false" outlineLevel="0" collapsed="false">
      <c r="A4" s="0" t="s">
        <v>23</v>
      </c>
      <c r="B4" s="0" t="n">
        <f aca="false">COUNTIF(Exemples!$B$2:$B$90,"deplacement")</f>
        <v>24</v>
      </c>
      <c r="C4" s="0" t="n">
        <f aca="false">COUNTIFS(Exemples!$B$2:$B$90,"deplacement",Exemples!$C$2:$C$90,"2022-2023")</f>
        <v>10</v>
      </c>
      <c r="D4" s="0" t="n">
        <f aca="false">COUNTIFS(Exemples!$B$2:$B$90,"deplacement",Exemples!$C$2:$C$90,"2023-2024")</f>
        <v>8</v>
      </c>
      <c r="E4" s="0" t="n">
        <f aca="false">COUNTIFS(Exemples!$B$2:$B$90,"deplacement",Exemples!$C$2:$C$90,"2024-2025")</f>
        <v>6</v>
      </c>
      <c r="F4" s="0" t="n">
        <f aca="false">COUNTIF(Suppressions!$B:$B,"deplacement")</f>
        <v>135</v>
      </c>
      <c r="G4" s="0" t="n">
        <f aca="false">ROUND(SUMIF(Suppressions!$B:$B,"deplacement",Suppressions!$E:$E),2)</f>
        <v>1285.9</v>
      </c>
      <c r="H4" s="0" t="n">
        <f aca="false">ROUND(SUMIF(Notes!$B:$B,"deplacement",Notes!$F:$F),2)</f>
        <v>1285.9</v>
      </c>
      <c r="I4" s="0" t="n">
        <f aca="false">COUNTIFS(Exemples!$B$2:$B$90,"deplacement",Exemples!$J$2:$J$90,"somme DEL = total note")</f>
        <v>24</v>
      </c>
      <c r="J4" s="0" t="n">
        <f aca="false">B4-I4</f>
        <v>0</v>
      </c>
    </row>
    <row r="5" customFormat="false" ht="15" hidden="false" customHeight="false" outlineLevel="0" collapsed="false">
      <c r="A5" s="2" t="s">
        <v>24</v>
      </c>
      <c r="B5" s="2" t="n">
        <f aca="false">SUM(B2:B4)</f>
        <v>89</v>
      </c>
      <c r="C5" s="2" t="n">
        <f aca="false">SUM(C2:C4)</f>
        <v>33</v>
      </c>
      <c r="D5" s="2" t="n">
        <f aca="false">SUM(D2:D4)</f>
        <v>29</v>
      </c>
      <c r="E5" s="2" t="n">
        <f aca="false">SUM(E2:E4)</f>
        <v>27</v>
      </c>
      <c r="F5" s="2" t="n">
        <f aca="false">SUM(F2:F4)</f>
        <v>392</v>
      </c>
      <c r="G5" s="2" t="n">
        <f aca="false">SUM(G2:G4)</f>
        <v>4347.2</v>
      </c>
      <c r="H5" s="2" t="n">
        <f aca="false">SUM(H2:H4)</f>
        <v>9041.7</v>
      </c>
      <c r="I5" s="2" t="n">
        <f aca="false">SUM(I2:I4)</f>
        <v>89</v>
      </c>
      <c r="J5" s="2" t="n">
        <f aca="false">SUM(J2:J4)</f>
        <v>0</v>
      </c>
    </row>
    <row r="7" customFormat="false" ht="15" hidden="false" customHeight="false" outlineLevel="0" collapsed="false">
      <c r="A7" s="0" t="s">
        <v>25</v>
      </c>
      <c r="B7" s="0" t="n">
        <f aca="false">SUM(Articles!$I:$I)</f>
        <v>1041</v>
      </c>
      <c r="C7" s="0" t="n">
        <f aca="false">COUNTA(Articles!$A:$A)-1</f>
        <v>1047</v>
      </c>
    </row>
    <row r="8" customFormat="false" ht="15" hidden="false" customHeight="false" outlineLevel="0" collapsed="false">
      <c r="A8" s="0" t="s">
        <v>26</v>
      </c>
      <c r="B8" s="0" t="n">
        <f aca="false">COUNTIF(Notes!$I:$I,0)</f>
        <v>138</v>
      </c>
      <c r="C8" s="0" t="n">
        <f aca="false">COUNTA(Notes!$A:$A)-1</f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70"/>
  </cols>
  <sheetData>
    <row r="1" customFormat="false" ht="41.75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n">
        <f aca="false">COUNTIF(Suppressions!$A:$A,A2)</f>
        <v>3</v>
      </c>
      <c r="F2" s="0" t="n">
        <f aca="false">ROUND(SUMIF(Suppressions!$A:$A,A2,Suppressions!$E:$E),2)</f>
        <v>30.4</v>
      </c>
      <c r="G2" s="0" t="n">
        <f aca="false">COUNTIF(Notes!$A:$A,A2)</f>
        <v>1</v>
      </c>
      <c r="H2" s="0" t="n">
        <f aca="false">ROUND(SUMIF(Notes!$A:$A,A2,Notes!$F:$F),2)</f>
        <v>30.4</v>
      </c>
      <c r="I2" s="0" t="n">
        <f aca="false">ROUND(H2-F2,2)</f>
        <v>0</v>
      </c>
      <c r="J2" s="0" t="str">
        <f aca="false">IF(ABS(I2)&lt;=0.01,"somme DEL = total note","écart")</f>
        <v>somme DEL = total note</v>
      </c>
      <c r="K2" s="0" t="s">
        <v>42</v>
      </c>
    </row>
    <row r="3" customFormat="false" ht="15" hidden="false" customHeight="false" outlineLevel="0" collapsed="false">
      <c r="A3" s="0" t="s">
        <v>43</v>
      </c>
      <c r="B3" s="0" t="s">
        <v>39</v>
      </c>
      <c r="C3" s="0" t="s">
        <v>40</v>
      </c>
      <c r="D3" s="0" t="s">
        <v>44</v>
      </c>
      <c r="E3" s="0" t="n">
        <f aca="false">COUNTIF(Suppressions!$A:$A,A3)</f>
        <v>3</v>
      </c>
      <c r="F3" s="0" t="n">
        <f aca="false">ROUND(SUMIF(Suppressions!$A:$A,A3,Suppressions!$E:$E),2)</f>
        <v>63.6</v>
      </c>
      <c r="G3" s="0" t="n">
        <f aca="false">COUNTIF(Notes!$A:$A,A3)</f>
        <v>1</v>
      </c>
      <c r="H3" s="0" t="n">
        <f aca="false">ROUND(SUMIF(Notes!$A:$A,A3,Notes!$F:$F),2)</f>
        <v>63.6</v>
      </c>
      <c r="I3" s="0" t="n">
        <f aca="false">ROUND(H3-F3,2)</f>
        <v>0</v>
      </c>
      <c r="J3" s="0" t="str">
        <f aca="false">IF(ABS(I3)&lt;=0.01,"somme DEL = total note","écart")</f>
        <v>somme DEL = total note</v>
      </c>
      <c r="K3" s="0" t="s">
        <v>45</v>
      </c>
    </row>
    <row r="4" customFormat="false" ht="15" hidden="false" customHeight="false" outlineLevel="0" collapsed="false">
      <c r="A4" s="0" t="s">
        <v>46</v>
      </c>
      <c r="B4" s="0" t="s">
        <v>39</v>
      </c>
      <c r="C4" s="0" t="s">
        <v>40</v>
      </c>
      <c r="D4" s="0" t="s">
        <v>47</v>
      </c>
      <c r="E4" s="0" t="n">
        <f aca="false">COUNTIF(Suppressions!$A:$A,A4)</f>
        <v>7</v>
      </c>
      <c r="F4" s="0" t="n">
        <f aca="false">ROUND(SUMIF(Suppressions!$A:$A,A4,Suppressions!$E:$E),2)</f>
        <v>76.9</v>
      </c>
      <c r="G4" s="0" t="n">
        <f aca="false">COUNTIF(Notes!$A:$A,A4)</f>
        <v>1</v>
      </c>
      <c r="H4" s="0" t="n">
        <f aca="false">ROUND(SUMIF(Notes!$A:$A,A4,Notes!$F:$F),2)</f>
        <v>76.9</v>
      </c>
      <c r="I4" s="0" t="n">
        <f aca="false">ROUND(H4-F4,2)</f>
        <v>0</v>
      </c>
      <c r="J4" s="0" t="str">
        <f aca="false">IF(ABS(I4)&lt;=0.01,"somme DEL = total note","écart")</f>
        <v>somme DEL = total note</v>
      </c>
      <c r="K4" s="0" t="s">
        <v>48</v>
      </c>
    </row>
    <row r="5" customFormat="false" ht="15" hidden="false" customHeight="false" outlineLevel="0" collapsed="false">
      <c r="A5" s="0" t="s">
        <v>49</v>
      </c>
      <c r="B5" s="0" t="s">
        <v>39</v>
      </c>
      <c r="C5" s="0" t="s">
        <v>40</v>
      </c>
      <c r="D5" s="0" t="s">
        <v>50</v>
      </c>
      <c r="E5" s="0" t="n">
        <f aca="false">COUNTIF(Suppressions!$A:$A,A5)</f>
        <v>5</v>
      </c>
      <c r="F5" s="0" t="n">
        <f aca="false">ROUND(SUMIF(Suppressions!$A:$A,A5,Suppressions!$E:$E),2)</f>
        <v>57.1</v>
      </c>
      <c r="G5" s="0" t="n">
        <f aca="false">COUNTIF(Notes!$A:$A,A5)</f>
        <v>1</v>
      </c>
      <c r="H5" s="0" t="n">
        <f aca="false">ROUND(SUMIF(Notes!$A:$A,A5,Notes!$F:$F),2)</f>
        <v>57.1</v>
      </c>
      <c r="I5" s="0" t="n">
        <f aca="false">ROUND(H5-F5,2)</f>
        <v>0</v>
      </c>
      <c r="J5" s="0" t="str">
        <f aca="false">IF(ABS(I5)&lt;=0.01,"somme DEL = total note","écart")</f>
        <v>somme DEL = total note</v>
      </c>
      <c r="K5" s="0" t="s">
        <v>51</v>
      </c>
    </row>
    <row r="6" customFormat="false" ht="15" hidden="false" customHeight="false" outlineLevel="0" collapsed="false">
      <c r="A6" s="0" t="s">
        <v>52</v>
      </c>
      <c r="B6" s="0" t="s">
        <v>39</v>
      </c>
      <c r="C6" s="0" t="s">
        <v>40</v>
      </c>
      <c r="D6" s="0" t="s">
        <v>53</v>
      </c>
      <c r="E6" s="0" t="n">
        <f aca="false">COUNTIF(Suppressions!$A:$A,A6)</f>
        <v>4</v>
      </c>
      <c r="F6" s="0" t="n">
        <f aca="false">ROUND(SUMIF(Suppressions!$A:$A,A6,Suppressions!$E:$E),2)</f>
        <v>45.6</v>
      </c>
      <c r="G6" s="0" t="n">
        <f aca="false">COUNTIF(Notes!$A:$A,A6)</f>
        <v>1</v>
      </c>
      <c r="H6" s="0" t="n">
        <f aca="false">ROUND(SUMIF(Notes!$A:$A,A6,Notes!$F:$F),2)</f>
        <v>45.6</v>
      </c>
      <c r="I6" s="0" t="n">
        <f aca="false">ROUND(H6-F6,2)</f>
        <v>0</v>
      </c>
      <c r="J6" s="0" t="str">
        <f aca="false">IF(ABS(I6)&lt;=0.01,"somme DEL = total note","écart")</f>
        <v>somme DEL = total note</v>
      </c>
      <c r="K6" s="0" t="s">
        <v>54</v>
      </c>
    </row>
    <row r="7" customFormat="false" ht="15" hidden="false" customHeight="false" outlineLevel="0" collapsed="false">
      <c r="A7" s="0" t="s">
        <v>55</v>
      </c>
      <c r="B7" s="0" t="s">
        <v>39</v>
      </c>
      <c r="C7" s="0" t="s">
        <v>40</v>
      </c>
      <c r="D7" s="0" t="s">
        <v>56</v>
      </c>
      <c r="E7" s="0" t="n">
        <f aca="false">COUNTIF(Suppressions!$A:$A,A7)</f>
        <v>7</v>
      </c>
      <c r="F7" s="0" t="n">
        <f aca="false">ROUND(SUMIF(Suppressions!$A:$A,A7,Suppressions!$E:$E),2)</f>
        <v>76.9</v>
      </c>
      <c r="G7" s="0" t="n">
        <f aca="false">COUNTIF(Notes!$A:$A,A7)</f>
        <v>1</v>
      </c>
      <c r="H7" s="0" t="n">
        <f aca="false">ROUND(SUMIF(Notes!$A:$A,A7,Notes!$F:$F),2)</f>
        <v>76.9</v>
      </c>
      <c r="I7" s="0" t="n">
        <f aca="false">ROUND(H7-F7,2)</f>
        <v>0</v>
      </c>
      <c r="J7" s="0" t="str">
        <f aca="false">IF(ABS(I7)&lt;=0.01,"somme DEL = total note","écart")</f>
        <v>somme DEL = total note</v>
      </c>
      <c r="K7" s="0" t="s">
        <v>57</v>
      </c>
    </row>
    <row r="8" customFormat="false" ht="15" hidden="false" customHeight="false" outlineLevel="0" collapsed="false">
      <c r="A8" s="0" t="s">
        <v>58</v>
      </c>
      <c r="B8" s="0" t="s">
        <v>39</v>
      </c>
      <c r="C8" s="0" t="s">
        <v>40</v>
      </c>
      <c r="D8" s="0" t="s">
        <v>59</v>
      </c>
      <c r="E8" s="0" t="n">
        <f aca="false">COUNTIF(Suppressions!$A:$A,A8)</f>
        <v>2</v>
      </c>
      <c r="F8" s="0" t="n">
        <f aca="false">ROUND(SUMIF(Suppressions!$A:$A,A8,Suppressions!$E:$E),2)</f>
        <v>21.1</v>
      </c>
      <c r="G8" s="0" t="n">
        <f aca="false">COUNTIF(Notes!$A:$A,A8)</f>
        <v>1</v>
      </c>
      <c r="H8" s="0" t="n">
        <f aca="false">ROUND(SUMIF(Notes!$A:$A,A8,Notes!$F:$F),2)</f>
        <v>21.1</v>
      </c>
      <c r="I8" s="0" t="n">
        <f aca="false">ROUND(H8-F8,2)</f>
        <v>0</v>
      </c>
      <c r="J8" s="0" t="str">
        <f aca="false">IF(ABS(I8)&lt;=0.01,"somme DEL = total note","écart")</f>
        <v>somme DEL = total note</v>
      </c>
      <c r="K8" s="0" t="s">
        <v>60</v>
      </c>
    </row>
    <row r="9" customFormat="false" ht="15" hidden="false" customHeight="false" outlineLevel="0" collapsed="false">
      <c r="A9" s="0" t="s">
        <v>61</v>
      </c>
      <c r="B9" s="0" t="s">
        <v>39</v>
      </c>
      <c r="C9" s="0" t="s">
        <v>40</v>
      </c>
      <c r="D9" s="0" t="s">
        <v>62</v>
      </c>
      <c r="E9" s="0" t="n">
        <f aca="false">COUNTIF(Suppressions!$A:$A,A9)</f>
        <v>4</v>
      </c>
      <c r="F9" s="0" t="n">
        <f aca="false">ROUND(SUMIF(Suppressions!$A:$A,A9,Suppressions!$E:$E),2)</f>
        <v>47.7</v>
      </c>
      <c r="G9" s="0" t="n">
        <f aca="false">COUNTIF(Notes!$A:$A,A9)</f>
        <v>1</v>
      </c>
      <c r="H9" s="0" t="n">
        <f aca="false">ROUND(SUMIF(Notes!$A:$A,A9,Notes!$F:$F),2)</f>
        <v>47.7</v>
      </c>
      <c r="I9" s="0" t="n">
        <f aca="false">ROUND(H9-F9,2)</f>
        <v>0</v>
      </c>
      <c r="J9" s="0" t="str">
        <f aca="false">IF(ABS(I9)&lt;=0.01,"somme DEL = total note","écart")</f>
        <v>somme DEL = total note</v>
      </c>
      <c r="K9" s="0" t="s">
        <v>63</v>
      </c>
    </row>
    <row r="10" customFormat="false" ht="15" hidden="false" customHeight="false" outlineLevel="0" collapsed="false">
      <c r="A10" s="0" t="s">
        <v>64</v>
      </c>
      <c r="B10" s="0" t="s">
        <v>39</v>
      </c>
      <c r="C10" s="0" t="s">
        <v>40</v>
      </c>
      <c r="D10" s="0" t="s">
        <v>65</v>
      </c>
      <c r="E10" s="0" t="n">
        <f aca="false">COUNTIF(Suppressions!$A:$A,A10)</f>
        <v>5</v>
      </c>
      <c r="F10" s="0" t="n">
        <f aca="false">ROUND(SUMIF(Suppressions!$A:$A,A10,Suppressions!$E:$E),2)</f>
        <v>53.5</v>
      </c>
      <c r="G10" s="0" t="n">
        <f aca="false">COUNTIF(Notes!$A:$A,A10)</f>
        <v>1</v>
      </c>
      <c r="H10" s="0" t="n">
        <f aca="false">ROUND(SUMIF(Notes!$A:$A,A10,Notes!$F:$F),2)</f>
        <v>53.5</v>
      </c>
      <c r="I10" s="0" t="n">
        <f aca="false">ROUND(H10-F10,2)</f>
        <v>0</v>
      </c>
      <c r="J10" s="0" t="str">
        <f aca="false">IF(ABS(I10)&lt;=0.01,"somme DEL = total note","écart")</f>
        <v>somme DEL = total note</v>
      </c>
      <c r="K10" s="0" t="s">
        <v>66</v>
      </c>
    </row>
    <row r="11" customFormat="false" ht="15" hidden="false" customHeight="false" outlineLevel="0" collapsed="false">
      <c r="A11" s="0" t="s">
        <v>67</v>
      </c>
      <c r="B11" s="0" t="s">
        <v>39</v>
      </c>
      <c r="C11" s="0" t="s">
        <v>40</v>
      </c>
      <c r="D11" s="0" t="s">
        <v>68</v>
      </c>
      <c r="E11" s="0" t="n">
        <f aca="false">COUNTIF(Suppressions!$A:$A,A11)</f>
        <v>4</v>
      </c>
      <c r="F11" s="0" t="n">
        <f aca="false">ROUND(SUMIF(Suppressions!$A:$A,A11,Suppressions!$E:$E),2)</f>
        <v>64.7</v>
      </c>
      <c r="G11" s="0" t="n">
        <f aca="false">COUNTIF(Notes!$A:$A,A11)</f>
        <v>1</v>
      </c>
      <c r="H11" s="0" t="n">
        <f aca="false">ROUND(SUMIF(Notes!$A:$A,A11,Notes!$F:$F),2)</f>
        <v>64.7</v>
      </c>
      <c r="I11" s="0" t="n">
        <f aca="false">ROUND(H11-F11,2)</f>
        <v>0</v>
      </c>
      <c r="J11" s="0" t="str">
        <f aca="false">IF(ABS(I11)&lt;=0.01,"somme DEL = total note","écart")</f>
        <v>somme DEL = total note</v>
      </c>
      <c r="K11" s="0" t="s">
        <v>69</v>
      </c>
    </row>
    <row r="12" customFormat="false" ht="15" hidden="false" customHeight="false" outlineLevel="0" collapsed="false">
      <c r="A12" s="0" t="s">
        <v>70</v>
      </c>
      <c r="B12" s="0" t="s">
        <v>39</v>
      </c>
      <c r="C12" s="0" t="s">
        <v>40</v>
      </c>
      <c r="D12" s="0" t="s">
        <v>71</v>
      </c>
      <c r="E12" s="0" t="n">
        <f aca="false">COUNTIF(Suppressions!$A:$A,A12)</f>
        <v>12</v>
      </c>
      <c r="F12" s="0" t="n">
        <f aca="false">ROUND(SUMIF(Suppressions!$A:$A,A12,Suppressions!$E:$E),2)</f>
        <v>194.3</v>
      </c>
      <c r="G12" s="0" t="n">
        <f aca="false">COUNTIF(Notes!$A:$A,A12)</f>
        <v>1</v>
      </c>
      <c r="H12" s="0" t="n">
        <f aca="false">ROUND(SUMIF(Notes!$A:$A,A12,Notes!$F:$F),2)</f>
        <v>194.3</v>
      </c>
      <c r="I12" s="0" t="n">
        <f aca="false">ROUND(H12-F12,2)</f>
        <v>0</v>
      </c>
      <c r="J12" s="0" t="str">
        <f aca="false">IF(ABS(I12)&lt;=0.01,"somme DEL = total note","écart")</f>
        <v>somme DEL = total note</v>
      </c>
      <c r="K12" s="0" t="s">
        <v>72</v>
      </c>
    </row>
    <row r="13" customFormat="false" ht="15" hidden="false" customHeight="false" outlineLevel="0" collapsed="false">
      <c r="A13" s="0" t="s">
        <v>73</v>
      </c>
      <c r="B13" s="0" t="s">
        <v>39</v>
      </c>
      <c r="C13" s="0" t="s">
        <v>74</v>
      </c>
      <c r="D13" s="0" t="s">
        <v>75</v>
      </c>
      <c r="E13" s="0" t="n">
        <f aca="false">COUNTIF(Suppressions!$A:$A,A13)</f>
        <v>3</v>
      </c>
      <c r="F13" s="0" t="n">
        <f aca="false">ROUND(SUMIF(Suppressions!$A:$A,A13,Suppressions!$E:$E),2)</f>
        <v>38</v>
      </c>
      <c r="G13" s="0" t="n">
        <f aca="false">COUNTIF(Notes!$A:$A,A13)</f>
        <v>1</v>
      </c>
      <c r="H13" s="0" t="n">
        <f aca="false">ROUND(SUMIF(Notes!$A:$A,A13,Notes!$F:$F),2)</f>
        <v>38</v>
      </c>
      <c r="I13" s="0" t="n">
        <f aca="false">ROUND(H13-F13,2)</f>
        <v>0</v>
      </c>
      <c r="J13" s="0" t="str">
        <f aca="false">IF(ABS(I13)&lt;=0.01,"somme DEL = total note","écart")</f>
        <v>somme DEL = total note</v>
      </c>
      <c r="K13" s="0" t="s">
        <v>76</v>
      </c>
    </row>
    <row r="14" customFormat="false" ht="15" hidden="false" customHeight="false" outlineLevel="0" collapsed="false">
      <c r="A14" s="0" t="s">
        <v>77</v>
      </c>
      <c r="B14" s="0" t="s">
        <v>39</v>
      </c>
      <c r="C14" s="0" t="s">
        <v>74</v>
      </c>
      <c r="D14" s="0" t="s">
        <v>78</v>
      </c>
      <c r="E14" s="0" t="n">
        <f aca="false">COUNTIF(Suppressions!$A:$A,A14)</f>
        <v>3</v>
      </c>
      <c r="F14" s="0" t="n">
        <f aca="false">ROUND(SUMIF(Suppressions!$A:$A,A14,Suppressions!$E:$E),2)</f>
        <v>18.7</v>
      </c>
      <c r="G14" s="0" t="n">
        <f aca="false">COUNTIF(Notes!$A:$A,A14)</f>
        <v>1</v>
      </c>
      <c r="H14" s="0" t="n">
        <f aca="false">ROUND(SUMIF(Notes!$A:$A,A14,Notes!$F:$F),2)</f>
        <v>18.7</v>
      </c>
      <c r="I14" s="0" t="n">
        <f aca="false">ROUND(H14-F14,2)</f>
        <v>0</v>
      </c>
      <c r="J14" s="0" t="str">
        <f aca="false">IF(ABS(I14)&lt;=0.01,"somme DEL = total note","écart")</f>
        <v>somme DEL = total note</v>
      </c>
      <c r="K14" s="0" t="s">
        <v>79</v>
      </c>
    </row>
    <row r="15" customFormat="false" ht="15" hidden="false" customHeight="false" outlineLevel="0" collapsed="false">
      <c r="A15" s="0" t="s">
        <v>80</v>
      </c>
      <c r="B15" s="0" t="s">
        <v>39</v>
      </c>
      <c r="C15" s="0" t="s">
        <v>74</v>
      </c>
      <c r="D15" s="0" t="s">
        <v>81</v>
      </c>
      <c r="E15" s="0" t="n">
        <f aca="false">COUNTIF(Suppressions!$A:$A,A15)</f>
        <v>2</v>
      </c>
      <c r="F15" s="0" t="n">
        <f aca="false">ROUND(SUMIF(Suppressions!$A:$A,A15,Suppressions!$E:$E),2)</f>
        <v>26.9</v>
      </c>
      <c r="G15" s="0" t="n">
        <f aca="false">COUNTIF(Notes!$A:$A,A15)</f>
        <v>1</v>
      </c>
      <c r="H15" s="0" t="n">
        <f aca="false">ROUND(SUMIF(Notes!$A:$A,A15,Notes!$F:$F),2)</f>
        <v>26.9</v>
      </c>
      <c r="I15" s="0" t="n">
        <f aca="false">ROUND(H15-F15,2)</f>
        <v>0</v>
      </c>
      <c r="J15" s="0" t="str">
        <f aca="false">IF(ABS(I15)&lt;=0.01,"somme DEL = total note","écart")</f>
        <v>somme DEL = total note</v>
      </c>
      <c r="K15" s="0" t="s">
        <v>82</v>
      </c>
    </row>
    <row r="16" customFormat="false" ht="15" hidden="false" customHeight="false" outlineLevel="0" collapsed="false">
      <c r="A16" s="0" t="s">
        <v>83</v>
      </c>
      <c r="B16" s="0" t="s">
        <v>39</v>
      </c>
      <c r="C16" s="0" t="s">
        <v>74</v>
      </c>
      <c r="D16" s="0" t="s">
        <v>84</v>
      </c>
      <c r="E16" s="0" t="n">
        <f aca="false">COUNTIF(Suppressions!$A:$A,A16)</f>
        <v>8</v>
      </c>
      <c r="F16" s="0" t="n">
        <f aca="false">ROUND(SUMIF(Suppressions!$A:$A,A16,Suppressions!$E:$E),2)</f>
        <v>71.6</v>
      </c>
      <c r="G16" s="0" t="n">
        <f aca="false">COUNTIF(Notes!$A:$A,A16)</f>
        <v>1</v>
      </c>
      <c r="H16" s="0" t="n">
        <f aca="false">ROUND(SUMIF(Notes!$A:$A,A16,Notes!$F:$F),2)</f>
        <v>71.6</v>
      </c>
      <c r="I16" s="0" t="n">
        <f aca="false">ROUND(H16-F16,2)</f>
        <v>0</v>
      </c>
      <c r="J16" s="0" t="str">
        <f aca="false">IF(ABS(I16)&lt;=0.01,"somme DEL = total note","écart")</f>
        <v>somme DEL = total note</v>
      </c>
      <c r="K16" s="0" t="s">
        <v>85</v>
      </c>
    </row>
    <row r="17" customFormat="false" ht="15" hidden="false" customHeight="false" outlineLevel="0" collapsed="false">
      <c r="A17" s="0" t="s">
        <v>86</v>
      </c>
      <c r="B17" s="0" t="s">
        <v>39</v>
      </c>
      <c r="C17" s="0" t="s">
        <v>74</v>
      </c>
      <c r="D17" s="0" t="s">
        <v>87</v>
      </c>
      <c r="E17" s="0" t="n">
        <f aca="false">COUNTIF(Suppressions!$A:$A,A17)</f>
        <v>5</v>
      </c>
      <c r="F17" s="0" t="n">
        <f aca="false">ROUND(SUMIF(Suppressions!$A:$A,A17,Suppressions!$E:$E),2)</f>
        <v>60.6</v>
      </c>
      <c r="G17" s="0" t="n">
        <f aca="false">COUNTIF(Notes!$A:$A,A17)</f>
        <v>1</v>
      </c>
      <c r="H17" s="0" t="n">
        <f aca="false">ROUND(SUMIF(Notes!$A:$A,A17,Notes!$F:$F),2)</f>
        <v>60.6</v>
      </c>
      <c r="I17" s="0" t="n">
        <f aca="false">ROUND(H17-F17,2)</f>
        <v>0</v>
      </c>
      <c r="J17" s="0" t="str">
        <f aca="false">IF(ABS(I17)&lt;=0.01,"somme DEL = total note","écart")</f>
        <v>somme DEL = total note</v>
      </c>
      <c r="K17" s="0" t="s">
        <v>88</v>
      </c>
    </row>
    <row r="18" customFormat="false" ht="15" hidden="false" customHeight="false" outlineLevel="0" collapsed="false">
      <c r="A18" s="0" t="s">
        <v>89</v>
      </c>
      <c r="B18" s="0" t="s">
        <v>39</v>
      </c>
      <c r="C18" s="0" t="s">
        <v>74</v>
      </c>
      <c r="D18" s="0" t="s">
        <v>90</v>
      </c>
      <c r="E18" s="0" t="n">
        <f aca="false">COUNTIF(Suppressions!$A:$A,A18)</f>
        <v>7</v>
      </c>
      <c r="F18" s="0" t="n">
        <f aca="false">ROUND(SUMIF(Suppressions!$A:$A,A18,Suppressions!$E:$E),2)</f>
        <v>128.8</v>
      </c>
      <c r="G18" s="0" t="n">
        <f aca="false">COUNTIF(Notes!$A:$A,A18)</f>
        <v>1</v>
      </c>
      <c r="H18" s="0" t="n">
        <f aca="false">ROUND(SUMIF(Notes!$A:$A,A18,Notes!$F:$F),2)</f>
        <v>128.8</v>
      </c>
      <c r="I18" s="0" t="n">
        <f aca="false">ROUND(H18-F18,2)</f>
        <v>0</v>
      </c>
      <c r="J18" s="0" t="str">
        <f aca="false">IF(ABS(I18)&lt;=0.01,"somme DEL = total note","écart")</f>
        <v>somme DEL = total note</v>
      </c>
      <c r="K18" s="0" t="s">
        <v>91</v>
      </c>
    </row>
    <row r="19" customFormat="false" ht="15" hidden="false" customHeight="false" outlineLevel="0" collapsed="false">
      <c r="A19" s="0" t="s">
        <v>92</v>
      </c>
      <c r="B19" s="0" t="s">
        <v>39</v>
      </c>
      <c r="C19" s="0" t="s">
        <v>74</v>
      </c>
      <c r="D19" s="0" t="s">
        <v>93</v>
      </c>
      <c r="E19" s="0" t="n">
        <f aca="false">COUNTIF(Suppressions!$A:$A,A19)</f>
        <v>12</v>
      </c>
      <c r="F19" s="0" t="n">
        <f aca="false">ROUND(SUMIF(Suppressions!$A:$A,A19,Suppressions!$E:$E),2)</f>
        <v>208.5</v>
      </c>
      <c r="G19" s="0" t="n">
        <f aca="false">COUNTIF(Notes!$A:$A,A19)</f>
        <v>1</v>
      </c>
      <c r="H19" s="0" t="n">
        <f aca="false">ROUND(SUMIF(Notes!$A:$A,A19,Notes!$F:$F),2)</f>
        <v>208.5</v>
      </c>
      <c r="I19" s="0" t="n">
        <f aca="false">ROUND(H19-F19,2)</f>
        <v>0</v>
      </c>
      <c r="J19" s="0" t="str">
        <f aca="false">IF(ABS(I19)&lt;=0.01,"somme DEL = total note","écart")</f>
        <v>somme DEL = total note</v>
      </c>
      <c r="K19" s="0" t="s">
        <v>94</v>
      </c>
    </row>
    <row r="20" customFormat="false" ht="15" hidden="false" customHeight="false" outlineLevel="0" collapsed="false">
      <c r="A20" s="0" t="s">
        <v>95</v>
      </c>
      <c r="B20" s="0" t="s">
        <v>39</v>
      </c>
      <c r="C20" s="0" t="s">
        <v>74</v>
      </c>
      <c r="D20" s="0" t="s">
        <v>96</v>
      </c>
      <c r="E20" s="0" t="n">
        <f aca="false">COUNTIF(Suppressions!$A:$A,A20)</f>
        <v>11</v>
      </c>
      <c r="F20" s="0" t="n">
        <f aca="false">ROUND(SUMIF(Suppressions!$A:$A,A20,Suppressions!$E:$E),2)</f>
        <v>184.2</v>
      </c>
      <c r="G20" s="0" t="n">
        <f aca="false">COUNTIF(Notes!$A:$A,A20)</f>
        <v>1</v>
      </c>
      <c r="H20" s="0" t="n">
        <f aca="false">ROUND(SUMIF(Notes!$A:$A,A20,Notes!$F:$F),2)</f>
        <v>184.2</v>
      </c>
      <c r="I20" s="0" t="n">
        <f aca="false">ROUND(H20-F20,2)</f>
        <v>0</v>
      </c>
      <c r="J20" s="0" t="str">
        <f aca="false">IF(ABS(I20)&lt;=0.01,"somme DEL = total note","écart")</f>
        <v>somme DEL = total note</v>
      </c>
      <c r="K20" s="0" t="s">
        <v>97</v>
      </c>
    </row>
    <row r="21" customFormat="false" ht="15" hidden="false" customHeight="false" outlineLevel="0" collapsed="false">
      <c r="A21" s="0" t="s">
        <v>98</v>
      </c>
      <c r="B21" s="0" t="s">
        <v>39</v>
      </c>
      <c r="C21" s="0" t="s">
        <v>74</v>
      </c>
      <c r="D21" s="0" t="s">
        <v>99</v>
      </c>
      <c r="E21" s="0" t="n">
        <f aca="false">COUNTIF(Suppressions!$A:$A,A21)</f>
        <v>4</v>
      </c>
      <c r="F21" s="0" t="n">
        <f aca="false">ROUND(SUMIF(Suppressions!$A:$A,A21,Suppressions!$E:$E),2)</f>
        <v>48.7</v>
      </c>
      <c r="G21" s="0" t="n">
        <f aca="false">COUNTIF(Notes!$A:$A,A21)</f>
        <v>1</v>
      </c>
      <c r="H21" s="0" t="n">
        <f aca="false">ROUND(SUMIF(Notes!$A:$A,A21,Notes!$F:$F),2)</f>
        <v>48.7</v>
      </c>
      <c r="I21" s="0" t="n">
        <f aca="false">ROUND(H21-F21,2)</f>
        <v>0</v>
      </c>
      <c r="J21" s="0" t="str">
        <f aca="false">IF(ABS(I21)&lt;=0.01,"somme DEL = total note","écart")</f>
        <v>somme DEL = total note</v>
      </c>
      <c r="K21" s="0" t="s">
        <v>100</v>
      </c>
    </row>
    <row r="22" customFormat="false" ht="15" hidden="false" customHeight="false" outlineLevel="0" collapsed="false">
      <c r="A22" s="0" t="s">
        <v>101</v>
      </c>
      <c r="B22" s="0" t="s">
        <v>39</v>
      </c>
      <c r="C22" s="0" t="s">
        <v>74</v>
      </c>
      <c r="D22" s="0" t="s">
        <v>102</v>
      </c>
      <c r="E22" s="0" t="n">
        <f aca="false">COUNTIF(Suppressions!$A:$A,A22)</f>
        <v>6</v>
      </c>
      <c r="F22" s="0" t="n">
        <f aca="false">ROUND(SUMIF(Suppressions!$A:$A,A22,Suppressions!$E:$E),2)</f>
        <v>70.6</v>
      </c>
      <c r="G22" s="0" t="n">
        <f aca="false">COUNTIF(Notes!$A:$A,A22)</f>
        <v>1</v>
      </c>
      <c r="H22" s="0" t="n">
        <f aca="false">ROUND(SUMIF(Notes!$A:$A,A22,Notes!$F:$F),2)</f>
        <v>70.6</v>
      </c>
      <c r="I22" s="0" t="n">
        <f aca="false">ROUND(H22-F22,2)</f>
        <v>0</v>
      </c>
      <c r="J22" s="0" t="str">
        <f aca="false">IF(ABS(I22)&lt;=0.01,"somme DEL = total note","écart")</f>
        <v>somme DEL = total note</v>
      </c>
      <c r="K22" s="0" t="s">
        <v>103</v>
      </c>
    </row>
    <row r="23" customFormat="false" ht="15" hidden="false" customHeight="false" outlineLevel="0" collapsed="false">
      <c r="A23" s="0" t="s">
        <v>104</v>
      </c>
      <c r="B23" s="0" t="s">
        <v>39</v>
      </c>
      <c r="C23" s="0" t="s">
        <v>105</v>
      </c>
      <c r="D23" s="0" t="s">
        <v>106</v>
      </c>
      <c r="E23" s="0" t="n">
        <f aca="false">COUNTIF(Suppressions!$A:$A,A23)</f>
        <v>2</v>
      </c>
      <c r="F23" s="0" t="n">
        <f aca="false">ROUND(SUMIF(Suppressions!$A:$A,A23,Suppressions!$E:$E),2)</f>
        <v>22.9</v>
      </c>
      <c r="G23" s="0" t="n">
        <f aca="false">COUNTIF(Notes!$A:$A,A23)</f>
        <v>1</v>
      </c>
      <c r="H23" s="0" t="n">
        <f aca="false">ROUND(SUMIF(Notes!$A:$A,A23,Notes!$F:$F),2)</f>
        <v>22.9</v>
      </c>
      <c r="I23" s="0" t="n">
        <f aca="false">ROUND(H23-F23,2)</f>
        <v>0</v>
      </c>
      <c r="J23" s="0" t="str">
        <f aca="false">IF(ABS(I23)&lt;=0.01,"somme DEL = total note","écart")</f>
        <v>somme DEL = total note</v>
      </c>
      <c r="K23" s="0" t="s">
        <v>107</v>
      </c>
    </row>
    <row r="24" customFormat="false" ht="15" hidden="false" customHeight="false" outlineLevel="0" collapsed="false">
      <c r="A24" s="0" t="s">
        <v>108</v>
      </c>
      <c r="B24" s="0" t="s">
        <v>39</v>
      </c>
      <c r="C24" s="0" t="s">
        <v>105</v>
      </c>
      <c r="D24" s="0" t="s">
        <v>109</v>
      </c>
      <c r="E24" s="0" t="n">
        <f aca="false">COUNTIF(Suppressions!$A:$A,A24)</f>
        <v>7</v>
      </c>
      <c r="F24" s="0" t="n">
        <f aca="false">ROUND(SUMIF(Suppressions!$A:$A,A24,Suppressions!$E:$E),2)</f>
        <v>61.3</v>
      </c>
      <c r="G24" s="0" t="n">
        <f aca="false">COUNTIF(Notes!$A:$A,A24)</f>
        <v>1</v>
      </c>
      <c r="H24" s="0" t="n">
        <f aca="false">ROUND(SUMIF(Notes!$A:$A,A24,Notes!$F:$F),2)</f>
        <v>61.3</v>
      </c>
      <c r="I24" s="0" t="n">
        <f aca="false">ROUND(H24-F24,2)</f>
        <v>0</v>
      </c>
      <c r="J24" s="0" t="str">
        <f aca="false">IF(ABS(I24)&lt;=0.01,"somme DEL = total note","écart")</f>
        <v>somme DEL = total note</v>
      </c>
      <c r="K24" s="0" t="s">
        <v>110</v>
      </c>
    </row>
    <row r="25" customFormat="false" ht="15" hidden="false" customHeight="false" outlineLevel="0" collapsed="false">
      <c r="A25" s="0" t="s">
        <v>111</v>
      </c>
      <c r="B25" s="0" t="s">
        <v>39</v>
      </c>
      <c r="C25" s="0" t="s">
        <v>105</v>
      </c>
      <c r="D25" s="0" t="s">
        <v>112</v>
      </c>
      <c r="E25" s="0" t="n">
        <f aca="false">COUNTIF(Suppressions!$A:$A,A25)</f>
        <v>4</v>
      </c>
      <c r="F25" s="0" t="n">
        <f aca="false">ROUND(SUMIF(Suppressions!$A:$A,A25,Suppressions!$E:$E),2)</f>
        <v>61.8</v>
      </c>
      <c r="G25" s="0" t="n">
        <f aca="false">COUNTIF(Notes!$A:$A,A25)</f>
        <v>1</v>
      </c>
      <c r="H25" s="0" t="n">
        <f aca="false">ROUND(SUMIF(Notes!$A:$A,A25,Notes!$F:$F),2)</f>
        <v>61.8</v>
      </c>
      <c r="I25" s="0" t="n">
        <f aca="false">ROUND(H25-F25,2)</f>
        <v>0</v>
      </c>
      <c r="J25" s="0" t="str">
        <f aca="false">IF(ABS(I25)&lt;=0.01,"somme DEL = total note","écart")</f>
        <v>somme DEL = total note</v>
      </c>
      <c r="K25" s="0" t="s">
        <v>113</v>
      </c>
    </row>
    <row r="26" customFormat="false" ht="15" hidden="false" customHeight="false" outlineLevel="0" collapsed="false">
      <c r="A26" s="0" t="s">
        <v>114</v>
      </c>
      <c r="B26" s="0" t="s">
        <v>39</v>
      </c>
      <c r="C26" s="0" t="s">
        <v>105</v>
      </c>
      <c r="D26" s="0" t="s">
        <v>115</v>
      </c>
      <c r="E26" s="0" t="n">
        <f aca="false">COUNTIF(Suppressions!$A:$A,A26)</f>
        <v>6</v>
      </c>
      <c r="F26" s="0" t="n">
        <f aca="false">ROUND(SUMIF(Suppressions!$A:$A,A26,Suppressions!$E:$E),2)</f>
        <v>60.5</v>
      </c>
      <c r="G26" s="0" t="n">
        <f aca="false">COUNTIF(Notes!$A:$A,A26)</f>
        <v>1</v>
      </c>
      <c r="H26" s="0" t="n">
        <f aca="false">ROUND(SUMIF(Notes!$A:$A,A26,Notes!$F:$F),2)</f>
        <v>60.5</v>
      </c>
      <c r="I26" s="0" t="n">
        <f aca="false">ROUND(H26-F26,2)</f>
        <v>0</v>
      </c>
      <c r="J26" s="0" t="str">
        <f aca="false">IF(ABS(I26)&lt;=0.01,"somme DEL = total note","écart")</f>
        <v>somme DEL = total note</v>
      </c>
      <c r="K26" s="0" t="s">
        <v>116</v>
      </c>
    </row>
    <row r="27" customFormat="false" ht="15" hidden="false" customHeight="false" outlineLevel="0" collapsed="false">
      <c r="A27" s="0" t="s">
        <v>117</v>
      </c>
      <c r="B27" s="0" t="s">
        <v>39</v>
      </c>
      <c r="C27" s="0" t="s">
        <v>105</v>
      </c>
      <c r="D27" s="0" t="s">
        <v>118</v>
      </c>
      <c r="E27" s="0" t="n">
        <f aca="false">COUNTIF(Suppressions!$A:$A,A27)</f>
        <v>5</v>
      </c>
      <c r="F27" s="0" t="n">
        <f aca="false">ROUND(SUMIF(Suppressions!$A:$A,A27,Suppressions!$E:$E),2)</f>
        <v>49.9</v>
      </c>
      <c r="G27" s="0" t="n">
        <f aca="false">COUNTIF(Notes!$A:$A,A27)</f>
        <v>1</v>
      </c>
      <c r="H27" s="0" t="n">
        <f aca="false">ROUND(SUMIF(Notes!$A:$A,A27,Notes!$F:$F),2)</f>
        <v>49.9</v>
      </c>
      <c r="I27" s="0" t="n">
        <f aca="false">ROUND(H27-F27,2)</f>
        <v>0</v>
      </c>
      <c r="J27" s="0" t="str">
        <f aca="false">IF(ABS(I27)&lt;=0.01,"somme DEL = total note","écart")</f>
        <v>somme DEL = total note</v>
      </c>
      <c r="K27" s="0" t="s">
        <v>119</v>
      </c>
    </row>
    <row r="28" customFormat="false" ht="15" hidden="false" customHeight="false" outlineLevel="0" collapsed="false">
      <c r="A28" s="0" t="s">
        <v>120</v>
      </c>
      <c r="B28" s="0" t="s">
        <v>39</v>
      </c>
      <c r="C28" s="0" t="s">
        <v>105</v>
      </c>
      <c r="D28" s="0" t="s">
        <v>121</v>
      </c>
      <c r="E28" s="0" t="n">
        <f aca="false">COUNTIF(Suppressions!$A:$A,A28)</f>
        <v>3</v>
      </c>
      <c r="F28" s="0" t="n">
        <f aca="false">ROUND(SUMIF(Suppressions!$A:$A,A28,Suppressions!$E:$E),2)</f>
        <v>21.6</v>
      </c>
      <c r="G28" s="0" t="n">
        <f aca="false">COUNTIF(Notes!$A:$A,A28)</f>
        <v>1</v>
      </c>
      <c r="H28" s="0" t="n">
        <f aca="false">ROUND(SUMIF(Notes!$A:$A,A28,Notes!$F:$F),2)</f>
        <v>21.6</v>
      </c>
      <c r="I28" s="0" t="n">
        <f aca="false">ROUND(H28-F28,2)</f>
        <v>0</v>
      </c>
      <c r="J28" s="0" t="str">
        <f aca="false">IF(ABS(I28)&lt;=0.01,"somme DEL = total note","écart")</f>
        <v>somme DEL = total note</v>
      </c>
      <c r="K28" s="0" t="s">
        <v>122</v>
      </c>
    </row>
    <row r="29" customFormat="false" ht="15" hidden="false" customHeight="false" outlineLevel="0" collapsed="false">
      <c r="A29" s="0" t="s">
        <v>123</v>
      </c>
      <c r="B29" s="0" t="s">
        <v>39</v>
      </c>
      <c r="C29" s="0" t="s">
        <v>105</v>
      </c>
      <c r="D29" s="0" t="s">
        <v>124</v>
      </c>
      <c r="E29" s="0" t="n">
        <f aca="false">COUNTIF(Suppressions!$A:$A,A29)</f>
        <v>8</v>
      </c>
      <c r="F29" s="0" t="n">
        <f aca="false">ROUND(SUMIF(Suppressions!$A:$A,A29,Suppressions!$E:$E),2)</f>
        <v>115.9</v>
      </c>
      <c r="G29" s="0" t="n">
        <f aca="false">COUNTIF(Notes!$A:$A,A29)</f>
        <v>1</v>
      </c>
      <c r="H29" s="0" t="n">
        <f aca="false">ROUND(SUMIF(Notes!$A:$A,A29,Notes!$F:$F),2)</f>
        <v>115.9</v>
      </c>
      <c r="I29" s="0" t="n">
        <f aca="false">ROUND(H29-F29,2)</f>
        <v>0</v>
      </c>
      <c r="J29" s="0" t="str">
        <f aca="false">IF(ABS(I29)&lt;=0.01,"somme DEL = total note","écart")</f>
        <v>somme DEL = total note</v>
      </c>
      <c r="K29" s="0" t="s">
        <v>125</v>
      </c>
    </row>
    <row r="30" customFormat="false" ht="15" hidden="false" customHeight="false" outlineLevel="0" collapsed="false">
      <c r="A30" s="0" t="s">
        <v>126</v>
      </c>
      <c r="B30" s="0" t="s">
        <v>39</v>
      </c>
      <c r="C30" s="0" t="s">
        <v>105</v>
      </c>
      <c r="D30" s="0" t="s">
        <v>127</v>
      </c>
      <c r="E30" s="0" t="n">
        <f aca="false">COUNTIF(Suppressions!$A:$A,A30)</f>
        <v>4</v>
      </c>
      <c r="F30" s="0" t="n">
        <f aca="false">ROUND(SUMIF(Suppressions!$A:$A,A30,Suppressions!$E:$E),2)</f>
        <v>59.2</v>
      </c>
      <c r="G30" s="0" t="n">
        <f aca="false">COUNTIF(Notes!$A:$A,A30)</f>
        <v>1</v>
      </c>
      <c r="H30" s="0" t="n">
        <f aca="false">ROUND(SUMIF(Notes!$A:$A,A30,Notes!$F:$F),2)</f>
        <v>59.2</v>
      </c>
      <c r="I30" s="0" t="n">
        <f aca="false">ROUND(H30-F30,2)</f>
        <v>0</v>
      </c>
      <c r="J30" s="0" t="str">
        <f aca="false">IF(ABS(I30)&lt;=0.01,"somme DEL = total note","écart")</f>
        <v>somme DEL = total note</v>
      </c>
      <c r="K30" s="0" t="s">
        <v>128</v>
      </c>
    </row>
    <row r="31" customFormat="false" ht="15" hidden="false" customHeight="false" outlineLevel="0" collapsed="false">
      <c r="A31" s="0" t="s">
        <v>129</v>
      </c>
      <c r="B31" s="0" t="s">
        <v>39</v>
      </c>
      <c r="C31" s="0" t="s">
        <v>105</v>
      </c>
      <c r="D31" s="0" t="s">
        <v>130</v>
      </c>
      <c r="E31" s="0" t="n">
        <f aca="false">COUNTIF(Suppressions!$A:$A,A31)</f>
        <v>10</v>
      </c>
      <c r="F31" s="0" t="n">
        <f aca="false">ROUND(SUMIF(Suppressions!$A:$A,A31,Suppressions!$E:$E),2)</f>
        <v>202.1</v>
      </c>
      <c r="G31" s="0" t="n">
        <f aca="false">COUNTIF(Notes!$A:$A,A31)</f>
        <v>1</v>
      </c>
      <c r="H31" s="0" t="n">
        <f aca="false">ROUND(SUMIF(Notes!$A:$A,A31,Notes!$F:$F),2)</f>
        <v>202.1</v>
      </c>
      <c r="I31" s="0" t="n">
        <f aca="false">ROUND(H31-F31,2)</f>
        <v>0</v>
      </c>
      <c r="J31" s="0" t="str">
        <f aca="false">IF(ABS(I31)&lt;=0.01,"somme DEL = total note","écart")</f>
        <v>somme DEL = total note</v>
      </c>
      <c r="K31" s="0" t="s">
        <v>131</v>
      </c>
    </row>
    <row r="32" customFormat="false" ht="15" hidden="false" customHeight="false" outlineLevel="0" collapsed="false">
      <c r="A32" s="0" t="s">
        <v>132</v>
      </c>
      <c r="B32" s="0" t="s">
        <v>39</v>
      </c>
      <c r="C32" s="0" t="s">
        <v>105</v>
      </c>
      <c r="D32" s="0" t="s">
        <v>133</v>
      </c>
      <c r="E32" s="0" t="n">
        <f aca="false">COUNTIF(Suppressions!$A:$A,A32)</f>
        <v>6</v>
      </c>
      <c r="F32" s="0" t="n">
        <f aca="false">ROUND(SUMIF(Suppressions!$A:$A,A32,Suppressions!$E:$E),2)</f>
        <v>71.9</v>
      </c>
      <c r="G32" s="0" t="n">
        <f aca="false">COUNTIF(Notes!$A:$A,A32)</f>
        <v>1</v>
      </c>
      <c r="H32" s="0" t="n">
        <f aca="false">ROUND(SUMIF(Notes!$A:$A,A32,Notes!$F:$F),2)</f>
        <v>71.9</v>
      </c>
      <c r="I32" s="0" t="n">
        <f aca="false">ROUND(H32-F32,2)</f>
        <v>0</v>
      </c>
      <c r="J32" s="0" t="str">
        <f aca="false">IF(ABS(I32)&lt;=0.01,"somme DEL = total note","écart")</f>
        <v>somme DEL = total note</v>
      </c>
      <c r="K32" s="0" t="s">
        <v>134</v>
      </c>
    </row>
    <row r="33" customFormat="false" ht="15" hidden="false" customHeight="false" outlineLevel="0" collapsed="false">
      <c r="A33" s="0" t="s">
        <v>135</v>
      </c>
      <c r="B33" s="0" t="s">
        <v>136</v>
      </c>
      <c r="C33" s="0" t="s">
        <v>40</v>
      </c>
      <c r="D33" s="0" t="s">
        <v>137</v>
      </c>
      <c r="E33" s="0" t="n">
        <f aca="false">COUNTIF(Suppressions!$A:$A,A33)</f>
        <v>4</v>
      </c>
      <c r="F33" s="0" t="n">
        <f aca="false">ROUND(SUMIF(Suppressions!$A:$A,A33,Suppressions!$E:$E),2)</f>
        <v>25.1</v>
      </c>
      <c r="G33" s="0" t="n">
        <f aca="false">COUNTIF(Notes!$A:$A,A33)</f>
        <v>2</v>
      </c>
      <c r="H33" s="0" t="n">
        <f aca="false">ROUND(SUMIF(Notes!$A:$A,A33,Notes!$F:$F),2)</f>
        <v>68.8</v>
      </c>
      <c r="I33" s="0" t="n">
        <f aca="false">ROUND(H33-F33,2)</f>
        <v>43.7</v>
      </c>
      <c r="J33" s="0" t="str">
        <f aca="false">IF(COUNTIFS(Partage_qte!$A:$A,A33,Partage_qte!$E:$E,0)=0,"partage entier","fraction non entière")</f>
        <v>partage entier</v>
      </c>
      <c r="K33" s="0" t="s">
        <v>138</v>
      </c>
    </row>
    <row r="34" customFormat="false" ht="15" hidden="false" customHeight="false" outlineLevel="0" collapsed="false">
      <c r="A34" s="0" t="s">
        <v>139</v>
      </c>
      <c r="B34" s="0" t="s">
        <v>136</v>
      </c>
      <c r="C34" s="0" t="s">
        <v>40</v>
      </c>
      <c r="D34" s="0" t="s">
        <v>140</v>
      </c>
      <c r="E34" s="0" t="n">
        <f aca="false">COUNTIF(Suppressions!$A:$A,A34)</f>
        <v>4</v>
      </c>
      <c r="F34" s="0" t="n">
        <f aca="false">ROUND(SUMIF(Suppressions!$A:$A,A34,Suppressions!$E:$E),2)</f>
        <v>48.1</v>
      </c>
      <c r="G34" s="0" t="n">
        <f aca="false">COUNTIF(Notes!$A:$A,A34)</f>
        <v>2</v>
      </c>
      <c r="H34" s="0" t="n">
        <f aca="false">ROUND(SUMIF(Notes!$A:$A,A34,Notes!$F:$F),2)</f>
        <v>113.5</v>
      </c>
      <c r="I34" s="0" t="n">
        <f aca="false">ROUND(H34-F34,2)</f>
        <v>65.4</v>
      </c>
      <c r="J34" s="0" t="str">
        <f aca="false">IF(COUNTIFS(Partage_qte!$A:$A,A34,Partage_qte!$E:$E,0)=0,"partage entier","fraction non entière")</f>
        <v>partage entier</v>
      </c>
      <c r="K34" s="0" t="s">
        <v>141</v>
      </c>
    </row>
    <row r="35" customFormat="false" ht="15" hidden="false" customHeight="false" outlineLevel="0" collapsed="false">
      <c r="A35" s="0" t="s">
        <v>142</v>
      </c>
      <c r="B35" s="0" t="s">
        <v>136</v>
      </c>
      <c r="C35" s="0" t="s">
        <v>40</v>
      </c>
      <c r="D35" s="0" t="s">
        <v>143</v>
      </c>
      <c r="E35" s="0" t="n">
        <f aca="false">COUNTIF(Suppressions!$A:$A,A35)</f>
        <v>2</v>
      </c>
      <c r="F35" s="0" t="n">
        <f aca="false">ROUND(SUMIF(Suppressions!$A:$A,A35,Suppressions!$E:$E),2)</f>
        <v>7.7</v>
      </c>
      <c r="G35" s="0" t="n">
        <f aca="false">COUNTIF(Notes!$A:$A,A35)</f>
        <v>4</v>
      </c>
      <c r="H35" s="0" t="n">
        <f aca="false">ROUND(SUMIF(Notes!$A:$A,A35,Notes!$F:$F),2)</f>
        <v>103.7</v>
      </c>
      <c r="I35" s="0" t="n">
        <f aca="false">ROUND(H35-F35,2)</f>
        <v>96</v>
      </c>
      <c r="J35" s="0" t="str">
        <f aca="false">IF(COUNTIFS(Partage_qte!$A:$A,A35,Partage_qte!$E:$E,0)=0,"partage entier","fraction non entière")</f>
        <v>partage entier</v>
      </c>
      <c r="K35" s="0" t="s">
        <v>144</v>
      </c>
    </row>
    <row r="36" customFormat="false" ht="15" hidden="false" customHeight="false" outlineLevel="0" collapsed="false">
      <c r="A36" s="0" t="s">
        <v>145</v>
      </c>
      <c r="B36" s="0" t="s">
        <v>136</v>
      </c>
      <c r="C36" s="0" t="s">
        <v>40</v>
      </c>
      <c r="D36" s="0" t="s">
        <v>146</v>
      </c>
      <c r="E36" s="0" t="n">
        <f aca="false">COUNTIF(Suppressions!$A:$A,A36)</f>
        <v>4</v>
      </c>
      <c r="F36" s="0" t="n">
        <f aca="false">ROUND(SUMIF(Suppressions!$A:$A,A36,Suppressions!$E:$E),2)</f>
        <v>18</v>
      </c>
      <c r="G36" s="0" t="n">
        <f aca="false">COUNTIF(Notes!$A:$A,A36)</f>
        <v>4</v>
      </c>
      <c r="H36" s="0" t="n">
        <f aca="false">ROUND(SUMIF(Notes!$A:$A,A36,Notes!$F:$F),2)</f>
        <v>154.2</v>
      </c>
      <c r="I36" s="0" t="n">
        <f aca="false">ROUND(H36-F36,2)</f>
        <v>136.2</v>
      </c>
      <c r="J36" s="0" t="str">
        <f aca="false">IF(COUNTIFS(Partage_qte!$A:$A,A36,Partage_qte!$E:$E,0)=0,"partage entier","fraction non entière")</f>
        <v>partage entier</v>
      </c>
      <c r="K36" s="0" t="s">
        <v>147</v>
      </c>
    </row>
    <row r="37" customFormat="false" ht="15" hidden="false" customHeight="false" outlineLevel="0" collapsed="false">
      <c r="A37" s="0" t="s">
        <v>148</v>
      </c>
      <c r="B37" s="0" t="s">
        <v>136</v>
      </c>
      <c r="C37" s="0" t="s">
        <v>40</v>
      </c>
      <c r="D37" s="0" t="s">
        <v>149</v>
      </c>
      <c r="E37" s="0" t="n">
        <f aca="false">COUNTIF(Suppressions!$A:$A,A37)</f>
        <v>2</v>
      </c>
      <c r="F37" s="0" t="n">
        <f aca="false">ROUND(SUMIF(Suppressions!$A:$A,A37,Suppressions!$E:$E),2)</f>
        <v>7.4</v>
      </c>
      <c r="G37" s="0" t="n">
        <f aca="false">COUNTIF(Notes!$A:$A,A37)</f>
        <v>4</v>
      </c>
      <c r="H37" s="0" t="n">
        <f aca="false">ROUND(SUMIF(Notes!$A:$A,A37,Notes!$F:$F),2)</f>
        <v>212.8</v>
      </c>
      <c r="I37" s="0" t="n">
        <f aca="false">ROUND(H37-F37,2)</f>
        <v>205.4</v>
      </c>
      <c r="J37" s="0" t="str">
        <f aca="false">IF(COUNTIFS(Partage_qte!$A:$A,A37,Partage_qte!$E:$E,0)=0,"partage entier","fraction non entière")</f>
        <v>partage entier</v>
      </c>
      <c r="K37" s="0" t="s">
        <v>150</v>
      </c>
    </row>
    <row r="38" customFormat="false" ht="15" hidden="false" customHeight="false" outlineLevel="0" collapsed="false">
      <c r="A38" s="0" t="s">
        <v>151</v>
      </c>
      <c r="B38" s="0" t="s">
        <v>136</v>
      </c>
      <c r="C38" s="0" t="s">
        <v>40</v>
      </c>
      <c r="D38" s="0" t="s">
        <v>152</v>
      </c>
      <c r="E38" s="0" t="n">
        <f aca="false">COUNTIF(Suppressions!$A:$A,A38)</f>
        <v>2</v>
      </c>
      <c r="F38" s="0" t="n">
        <f aca="false">ROUND(SUMIF(Suppressions!$A:$A,A38,Suppressions!$E:$E),2)</f>
        <v>9.1</v>
      </c>
      <c r="G38" s="0" t="n">
        <f aca="false">COUNTIF(Notes!$A:$A,A38)</f>
        <v>2</v>
      </c>
      <c r="H38" s="0" t="n">
        <f aca="false">ROUND(SUMIF(Notes!$A:$A,A38,Notes!$F:$F),2)</f>
        <v>66.5</v>
      </c>
      <c r="I38" s="0" t="n">
        <f aca="false">ROUND(H38-F38,2)</f>
        <v>57.4</v>
      </c>
      <c r="J38" s="0" t="str">
        <f aca="false">IF(COUNTIFS(Partage_qte!$A:$A,A38,Partage_qte!$E:$E,0)=0,"partage entier","fraction non entière")</f>
        <v>partage entier</v>
      </c>
      <c r="K38" s="0" t="s">
        <v>153</v>
      </c>
    </row>
    <row r="39" customFormat="false" ht="15" hidden="false" customHeight="false" outlineLevel="0" collapsed="false">
      <c r="A39" s="0" t="s">
        <v>154</v>
      </c>
      <c r="B39" s="0" t="s">
        <v>136</v>
      </c>
      <c r="C39" s="0" t="s">
        <v>40</v>
      </c>
      <c r="D39" s="0" t="s">
        <v>155</v>
      </c>
      <c r="E39" s="0" t="n">
        <f aca="false">COUNTIF(Suppressions!$A:$A,A39)</f>
        <v>3</v>
      </c>
      <c r="F39" s="0" t="n">
        <f aca="false">ROUND(SUMIF(Suppressions!$A:$A,A39,Suppressions!$E:$E),2)</f>
        <v>11.1</v>
      </c>
      <c r="G39" s="0" t="n">
        <f aca="false">COUNTIF(Notes!$A:$A,A39)</f>
        <v>2</v>
      </c>
      <c r="H39" s="0" t="n">
        <f aca="false">ROUND(SUMIF(Notes!$A:$A,A39,Notes!$F:$F),2)</f>
        <v>266.2</v>
      </c>
      <c r="I39" s="0" t="n">
        <f aca="false">ROUND(H39-F39,2)</f>
        <v>255.1</v>
      </c>
      <c r="J39" s="0" t="str">
        <f aca="false">IF(COUNTIFS(Partage_qte!$A:$A,A39,Partage_qte!$E:$E,0)=0,"partage entier","fraction non entière")</f>
        <v>partage entier</v>
      </c>
      <c r="K39" s="0" t="s">
        <v>156</v>
      </c>
    </row>
    <row r="40" customFormat="false" ht="15" hidden="false" customHeight="false" outlineLevel="0" collapsed="false">
      <c r="A40" s="0" t="s">
        <v>157</v>
      </c>
      <c r="B40" s="0" t="s">
        <v>136</v>
      </c>
      <c r="C40" s="0" t="s">
        <v>40</v>
      </c>
      <c r="D40" s="0" t="s">
        <v>158</v>
      </c>
      <c r="E40" s="0" t="n">
        <f aca="false">COUNTIF(Suppressions!$A:$A,A40)</f>
        <v>3</v>
      </c>
      <c r="F40" s="0" t="n">
        <f aca="false">ROUND(SUMIF(Suppressions!$A:$A,A40,Suppressions!$E:$E),2)</f>
        <v>12</v>
      </c>
      <c r="G40" s="0" t="n">
        <f aca="false">COUNTIF(Notes!$A:$A,A40)</f>
        <v>4</v>
      </c>
      <c r="H40" s="0" t="n">
        <f aca="false">ROUND(SUMIF(Notes!$A:$A,A40,Notes!$F:$F),2)</f>
        <v>253</v>
      </c>
      <c r="I40" s="0" t="n">
        <f aca="false">ROUND(H40-F40,2)</f>
        <v>241</v>
      </c>
      <c r="J40" s="0" t="str">
        <f aca="false">IF(COUNTIFS(Partage_qte!$A:$A,A40,Partage_qte!$E:$E,0)=0,"partage entier","fraction non entière")</f>
        <v>partage entier</v>
      </c>
      <c r="K40" s="0" t="s">
        <v>159</v>
      </c>
    </row>
    <row r="41" customFormat="false" ht="15" hidden="false" customHeight="false" outlineLevel="0" collapsed="false">
      <c r="A41" s="0" t="s">
        <v>160</v>
      </c>
      <c r="B41" s="0" t="s">
        <v>136</v>
      </c>
      <c r="C41" s="0" t="s">
        <v>40</v>
      </c>
      <c r="D41" s="0" t="s">
        <v>161</v>
      </c>
      <c r="E41" s="0" t="n">
        <f aca="false">COUNTIF(Suppressions!$A:$A,A41)</f>
        <v>2</v>
      </c>
      <c r="F41" s="0" t="n">
        <f aca="false">ROUND(SUMIF(Suppressions!$A:$A,A41,Suppressions!$E:$E),2)</f>
        <v>6.1</v>
      </c>
      <c r="G41" s="0" t="n">
        <f aca="false">COUNTIF(Notes!$A:$A,A41)</f>
        <v>2</v>
      </c>
      <c r="H41" s="0" t="n">
        <f aca="false">ROUND(SUMIF(Notes!$A:$A,A41,Notes!$F:$F),2)</f>
        <v>67.4</v>
      </c>
      <c r="I41" s="0" t="n">
        <f aca="false">ROUND(H41-F41,2)</f>
        <v>61.3</v>
      </c>
      <c r="J41" s="0" t="str">
        <f aca="false">IF(COUNTIFS(Partage_qte!$A:$A,A41,Partage_qte!$E:$E,0)=0,"partage entier","fraction non entière")</f>
        <v>partage entier</v>
      </c>
      <c r="K41" s="0" t="s">
        <v>162</v>
      </c>
    </row>
    <row r="42" customFormat="false" ht="15" hidden="false" customHeight="false" outlineLevel="0" collapsed="false">
      <c r="A42" s="0" t="s">
        <v>163</v>
      </c>
      <c r="B42" s="0" t="s">
        <v>136</v>
      </c>
      <c r="C42" s="0" t="s">
        <v>40</v>
      </c>
      <c r="D42" s="0" t="s">
        <v>164</v>
      </c>
      <c r="E42" s="0" t="n">
        <f aca="false">COUNTIF(Suppressions!$A:$A,A42)</f>
        <v>1</v>
      </c>
      <c r="F42" s="0" t="n">
        <f aca="false">ROUND(SUMIF(Suppressions!$A:$A,A42,Suppressions!$E:$E),2)</f>
        <v>7.2</v>
      </c>
      <c r="G42" s="0" t="n">
        <f aca="false">COUNTIF(Notes!$A:$A,A42)</f>
        <v>4</v>
      </c>
      <c r="H42" s="0" t="n">
        <f aca="false">ROUND(SUMIF(Notes!$A:$A,A42,Notes!$F:$F),2)</f>
        <v>161.6</v>
      </c>
      <c r="I42" s="0" t="n">
        <f aca="false">ROUND(H42-F42,2)</f>
        <v>154.4</v>
      </c>
      <c r="J42" s="0" t="str">
        <f aca="false">IF(COUNTIFS(Partage_qte!$A:$A,A42,Partage_qte!$E:$E,0)=0,"partage entier","fraction non entière")</f>
        <v>partage entier</v>
      </c>
      <c r="K42" s="0" t="s">
        <v>165</v>
      </c>
    </row>
    <row r="43" customFormat="false" ht="15" hidden="false" customHeight="false" outlineLevel="0" collapsed="false">
      <c r="A43" s="0" t="s">
        <v>166</v>
      </c>
      <c r="B43" s="0" t="s">
        <v>136</v>
      </c>
      <c r="C43" s="0" t="s">
        <v>40</v>
      </c>
      <c r="D43" s="0" t="s">
        <v>167</v>
      </c>
      <c r="E43" s="0" t="n">
        <f aca="false">COUNTIF(Suppressions!$A:$A,A43)</f>
        <v>1</v>
      </c>
      <c r="F43" s="0" t="n">
        <f aca="false">ROUND(SUMIF(Suppressions!$A:$A,A43,Suppressions!$E:$E),2)</f>
        <v>8.9</v>
      </c>
      <c r="G43" s="0" t="n">
        <f aca="false">COUNTIF(Notes!$A:$A,A43)</f>
        <v>2</v>
      </c>
      <c r="H43" s="0" t="n">
        <f aca="false">ROUND(SUMIF(Notes!$A:$A,A43,Notes!$F:$F),2)</f>
        <v>156.5</v>
      </c>
      <c r="I43" s="0" t="n">
        <f aca="false">ROUND(H43-F43,2)</f>
        <v>147.6</v>
      </c>
      <c r="J43" s="0" t="str">
        <f aca="false">IF(COUNTIFS(Partage_qte!$A:$A,A43,Partage_qte!$E:$E,0)=0,"partage entier","fraction non entière")</f>
        <v>partage entier</v>
      </c>
      <c r="K43" s="0" t="s">
        <v>168</v>
      </c>
    </row>
    <row r="44" customFormat="false" ht="15" hidden="false" customHeight="false" outlineLevel="0" collapsed="false">
      <c r="A44" s="0" t="s">
        <v>169</v>
      </c>
      <c r="B44" s="0" t="s">
        <v>136</v>
      </c>
      <c r="C44" s="0" t="s">
        <v>40</v>
      </c>
      <c r="D44" s="0" t="s">
        <v>170</v>
      </c>
      <c r="E44" s="0" t="n">
        <f aca="false">COUNTIF(Suppressions!$A:$A,A44)</f>
        <v>3</v>
      </c>
      <c r="F44" s="0" t="n">
        <f aca="false">ROUND(SUMIF(Suppressions!$A:$A,A44,Suppressions!$E:$E),2)</f>
        <v>31</v>
      </c>
      <c r="G44" s="0" t="n">
        <f aca="false">COUNTIF(Notes!$A:$A,A44)</f>
        <v>2</v>
      </c>
      <c r="H44" s="0" t="n">
        <f aca="false">ROUND(SUMIF(Notes!$A:$A,A44,Notes!$F:$F),2)</f>
        <v>178.2</v>
      </c>
      <c r="I44" s="0" t="n">
        <f aca="false">ROUND(H44-F44,2)</f>
        <v>147.2</v>
      </c>
      <c r="J44" s="0" t="str">
        <f aca="false">IF(COUNTIFS(Partage_qte!$A:$A,A44,Partage_qte!$E:$E,0)=0,"partage entier","fraction non entière")</f>
        <v>partage entier</v>
      </c>
      <c r="K44" s="0" t="s">
        <v>171</v>
      </c>
    </row>
    <row r="45" customFormat="false" ht="15" hidden="false" customHeight="false" outlineLevel="0" collapsed="false">
      <c r="A45" s="0" t="s">
        <v>172</v>
      </c>
      <c r="B45" s="0" t="s">
        <v>136</v>
      </c>
      <c r="C45" s="0" t="s">
        <v>74</v>
      </c>
      <c r="D45" s="0" t="s">
        <v>173</v>
      </c>
      <c r="E45" s="0" t="n">
        <f aca="false">COUNTIF(Suppressions!$A:$A,A45)</f>
        <v>3</v>
      </c>
      <c r="F45" s="0" t="n">
        <f aca="false">ROUND(SUMIF(Suppressions!$A:$A,A45,Suppressions!$E:$E),2)</f>
        <v>12.5</v>
      </c>
      <c r="G45" s="0" t="n">
        <f aca="false">COUNTIF(Notes!$A:$A,A45)</f>
        <v>2</v>
      </c>
      <c r="H45" s="0" t="n">
        <f aca="false">ROUND(SUMIF(Notes!$A:$A,A45,Notes!$F:$F),2)</f>
        <v>233.2</v>
      </c>
      <c r="I45" s="0" t="n">
        <f aca="false">ROUND(H45-F45,2)</f>
        <v>220.7</v>
      </c>
      <c r="J45" s="0" t="str">
        <f aca="false">IF(COUNTIFS(Partage_qte!$A:$A,A45,Partage_qte!$E:$E,0)=0,"partage entier","fraction non entière")</f>
        <v>partage entier</v>
      </c>
      <c r="K45" s="0" t="s">
        <v>174</v>
      </c>
    </row>
    <row r="46" customFormat="false" ht="15" hidden="false" customHeight="false" outlineLevel="0" collapsed="false">
      <c r="A46" s="0" t="s">
        <v>175</v>
      </c>
      <c r="B46" s="0" t="s">
        <v>136</v>
      </c>
      <c r="C46" s="0" t="s">
        <v>74</v>
      </c>
      <c r="D46" s="0" t="s">
        <v>176</v>
      </c>
      <c r="E46" s="0" t="n">
        <f aca="false">COUNTIF(Suppressions!$A:$A,A46)</f>
        <v>2</v>
      </c>
      <c r="F46" s="0" t="n">
        <f aca="false">ROUND(SUMIF(Suppressions!$A:$A,A46,Suppressions!$E:$E),2)</f>
        <v>23.7</v>
      </c>
      <c r="G46" s="0" t="n">
        <f aca="false">COUNTIF(Notes!$A:$A,A46)</f>
        <v>2</v>
      </c>
      <c r="H46" s="0" t="n">
        <f aca="false">ROUND(SUMIF(Notes!$A:$A,A46,Notes!$F:$F),2)</f>
        <v>98.8</v>
      </c>
      <c r="I46" s="0" t="n">
        <f aca="false">ROUND(H46-F46,2)</f>
        <v>75.1</v>
      </c>
      <c r="J46" s="0" t="str">
        <f aca="false">IF(COUNTIFS(Partage_qte!$A:$A,A46,Partage_qte!$E:$E,0)=0,"partage entier","fraction non entière")</f>
        <v>partage entier</v>
      </c>
      <c r="K46" s="0" t="s">
        <v>177</v>
      </c>
    </row>
    <row r="47" customFormat="false" ht="15" hidden="false" customHeight="false" outlineLevel="0" collapsed="false">
      <c r="A47" s="0" t="s">
        <v>178</v>
      </c>
      <c r="B47" s="0" t="s">
        <v>136</v>
      </c>
      <c r="C47" s="0" t="s">
        <v>74</v>
      </c>
      <c r="D47" s="0" t="s">
        <v>179</v>
      </c>
      <c r="E47" s="0" t="n">
        <f aca="false">COUNTIF(Suppressions!$A:$A,A47)</f>
        <v>2</v>
      </c>
      <c r="F47" s="0" t="n">
        <f aca="false">ROUND(SUMIF(Suppressions!$A:$A,A47,Suppressions!$E:$E),2)</f>
        <v>9.8</v>
      </c>
      <c r="G47" s="0" t="n">
        <f aca="false">COUNTIF(Notes!$A:$A,A47)</f>
        <v>2</v>
      </c>
      <c r="H47" s="0" t="n">
        <f aca="false">ROUND(SUMIF(Notes!$A:$A,A47,Notes!$F:$F),2)</f>
        <v>92.5</v>
      </c>
      <c r="I47" s="0" t="n">
        <f aca="false">ROUND(H47-F47,2)</f>
        <v>82.7</v>
      </c>
      <c r="J47" s="0" t="str">
        <f aca="false">IF(COUNTIFS(Partage_qte!$A:$A,A47,Partage_qte!$E:$E,0)=0,"partage entier","fraction non entière")</f>
        <v>partage entier</v>
      </c>
      <c r="K47" s="0" t="s">
        <v>180</v>
      </c>
    </row>
    <row r="48" customFormat="false" ht="15" hidden="false" customHeight="false" outlineLevel="0" collapsed="false">
      <c r="A48" s="0" t="s">
        <v>181</v>
      </c>
      <c r="B48" s="0" t="s">
        <v>136</v>
      </c>
      <c r="C48" s="0" t="s">
        <v>74</v>
      </c>
      <c r="D48" s="0" t="s">
        <v>182</v>
      </c>
      <c r="E48" s="0" t="n">
        <f aca="false">COUNTIF(Suppressions!$A:$A,A48)</f>
        <v>2</v>
      </c>
      <c r="F48" s="0" t="n">
        <f aca="false">ROUND(SUMIF(Suppressions!$A:$A,A48,Suppressions!$E:$E),2)</f>
        <v>24.5</v>
      </c>
      <c r="G48" s="0" t="n">
        <f aca="false">COUNTIF(Notes!$A:$A,A48)</f>
        <v>2</v>
      </c>
      <c r="H48" s="0" t="n">
        <f aca="false">ROUND(SUMIF(Notes!$A:$A,A48,Notes!$F:$F),2)</f>
        <v>155.7</v>
      </c>
      <c r="I48" s="0" t="n">
        <f aca="false">ROUND(H48-F48,2)</f>
        <v>131.2</v>
      </c>
      <c r="J48" s="0" t="str">
        <f aca="false">IF(COUNTIFS(Partage_qte!$A:$A,A48,Partage_qte!$E:$E,0)=0,"partage entier","fraction non entière")</f>
        <v>partage entier</v>
      </c>
      <c r="K48" s="0" t="s">
        <v>183</v>
      </c>
    </row>
    <row r="49" customFormat="false" ht="15" hidden="false" customHeight="false" outlineLevel="0" collapsed="false">
      <c r="A49" s="0" t="s">
        <v>184</v>
      </c>
      <c r="B49" s="0" t="s">
        <v>136</v>
      </c>
      <c r="C49" s="0" t="s">
        <v>74</v>
      </c>
      <c r="D49" s="0" t="s">
        <v>185</v>
      </c>
      <c r="E49" s="0" t="n">
        <f aca="false">COUNTIF(Suppressions!$A:$A,A49)</f>
        <v>2</v>
      </c>
      <c r="F49" s="0" t="n">
        <f aca="false">ROUND(SUMIF(Suppressions!$A:$A,A49,Suppressions!$E:$E),2)</f>
        <v>36.2</v>
      </c>
      <c r="G49" s="0" t="n">
        <f aca="false">COUNTIF(Notes!$A:$A,A49)</f>
        <v>4</v>
      </c>
      <c r="H49" s="0" t="n">
        <f aca="false">ROUND(SUMIF(Notes!$A:$A,A49,Notes!$F:$F),2)</f>
        <v>196.4</v>
      </c>
      <c r="I49" s="0" t="n">
        <f aca="false">ROUND(H49-F49,2)</f>
        <v>160.2</v>
      </c>
      <c r="J49" s="0" t="str">
        <f aca="false">IF(COUNTIFS(Partage_qte!$A:$A,A49,Partage_qte!$E:$E,0)=0,"partage entier","fraction non entière")</f>
        <v>partage entier</v>
      </c>
      <c r="K49" s="0" t="s">
        <v>186</v>
      </c>
    </row>
    <row r="50" customFormat="false" ht="15" hidden="false" customHeight="false" outlineLevel="0" collapsed="false">
      <c r="A50" s="0" t="s">
        <v>187</v>
      </c>
      <c r="B50" s="0" t="s">
        <v>136</v>
      </c>
      <c r="C50" s="0" t="s">
        <v>74</v>
      </c>
      <c r="D50" s="0" t="s">
        <v>188</v>
      </c>
      <c r="E50" s="0" t="n">
        <f aca="false">COUNTIF(Suppressions!$A:$A,A50)</f>
        <v>3</v>
      </c>
      <c r="F50" s="0" t="n">
        <f aca="false">ROUND(SUMIF(Suppressions!$A:$A,A50,Suppressions!$E:$E),2)</f>
        <v>12.1</v>
      </c>
      <c r="G50" s="0" t="n">
        <f aca="false">COUNTIF(Notes!$A:$A,A50)</f>
        <v>3</v>
      </c>
      <c r="H50" s="0" t="n">
        <f aca="false">ROUND(SUMIF(Notes!$A:$A,A50,Notes!$F:$F),2)</f>
        <v>106.4</v>
      </c>
      <c r="I50" s="0" t="n">
        <f aca="false">ROUND(H50-F50,2)</f>
        <v>94.3</v>
      </c>
      <c r="J50" s="0" t="str">
        <f aca="false">IF(COUNTIFS(Partage_qte!$A:$A,A50,Partage_qte!$E:$E,0)=0,"partage entier","fraction non entière")</f>
        <v>partage entier</v>
      </c>
      <c r="K50" s="0" t="s">
        <v>189</v>
      </c>
    </row>
    <row r="51" customFormat="false" ht="15" hidden="false" customHeight="false" outlineLevel="0" collapsed="false">
      <c r="A51" s="0" t="s">
        <v>190</v>
      </c>
      <c r="B51" s="0" t="s">
        <v>136</v>
      </c>
      <c r="C51" s="0" t="s">
        <v>74</v>
      </c>
      <c r="D51" s="0" t="s">
        <v>191</v>
      </c>
      <c r="E51" s="0" t="n">
        <f aca="false">COUNTIF(Suppressions!$A:$A,A51)</f>
        <v>2</v>
      </c>
      <c r="F51" s="0" t="n">
        <f aca="false">ROUND(SUMIF(Suppressions!$A:$A,A51,Suppressions!$E:$E),2)</f>
        <v>12.8</v>
      </c>
      <c r="G51" s="0" t="n">
        <f aca="false">COUNTIF(Notes!$A:$A,A51)</f>
        <v>2</v>
      </c>
      <c r="H51" s="0" t="n">
        <f aca="false">ROUND(SUMIF(Notes!$A:$A,A51,Notes!$F:$F),2)</f>
        <v>139.4</v>
      </c>
      <c r="I51" s="0" t="n">
        <f aca="false">ROUND(H51-F51,2)</f>
        <v>126.6</v>
      </c>
      <c r="J51" s="0" t="str">
        <f aca="false">IF(COUNTIFS(Partage_qte!$A:$A,A51,Partage_qte!$E:$E,0)=0,"partage entier","fraction non entière")</f>
        <v>partage entier</v>
      </c>
      <c r="K51" s="0" t="s">
        <v>192</v>
      </c>
    </row>
    <row r="52" customFormat="false" ht="15" hidden="false" customHeight="false" outlineLevel="0" collapsed="false">
      <c r="A52" s="0" t="s">
        <v>193</v>
      </c>
      <c r="B52" s="0" t="s">
        <v>136</v>
      </c>
      <c r="C52" s="0" t="s">
        <v>74</v>
      </c>
      <c r="D52" s="0" t="s">
        <v>93</v>
      </c>
      <c r="E52" s="0" t="n">
        <f aca="false">COUNTIF(Suppressions!$A:$A,A52)</f>
        <v>3</v>
      </c>
      <c r="F52" s="0" t="n">
        <f aca="false">ROUND(SUMIF(Suppressions!$A:$A,A52,Suppressions!$E:$E),2)</f>
        <v>21.4</v>
      </c>
      <c r="G52" s="0" t="n">
        <f aca="false">COUNTIF(Notes!$A:$A,A52)</f>
        <v>2</v>
      </c>
      <c r="H52" s="0" t="n">
        <f aca="false">ROUND(SUMIF(Notes!$A:$A,A52,Notes!$F:$F),2)</f>
        <v>231.5</v>
      </c>
      <c r="I52" s="0" t="n">
        <f aca="false">ROUND(H52-F52,2)</f>
        <v>210.1</v>
      </c>
      <c r="J52" s="0" t="str">
        <f aca="false">IF(COUNTIFS(Partage_qte!$A:$A,A52,Partage_qte!$E:$E,0)=0,"partage entier","fraction non entière")</f>
        <v>partage entier</v>
      </c>
      <c r="K52" s="0" t="s">
        <v>194</v>
      </c>
    </row>
    <row r="53" customFormat="false" ht="15" hidden="false" customHeight="false" outlineLevel="0" collapsed="false">
      <c r="A53" s="0" t="s">
        <v>195</v>
      </c>
      <c r="B53" s="0" t="s">
        <v>136</v>
      </c>
      <c r="C53" s="0" t="s">
        <v>74</v>
      </c>
      <c r="D53" s="0" t="s">
        <v>196</v>
      </c>
      <c r="E53" s="0" t="n">
        <f aca="false">COUNTIF(Suppressions!$A:$A,A53)</f>
        <v>3</v>
      </c>
      <c r="F53" s="0" t="n">
        <f aca="false">ROUND(SUMIF(Suppressions!$A:$A,A53,Suppressions!$E:$E),2)</f>
        <v>14.1</v>
      </c>
      <c r="G53" s="0" t="n">
        <f aca="false">COUNTIF(Notes!$A:$A,A53)</f>
        <v>2</v>
      </c>
      <c r="H53" s="0" t="n">
        <f aca="false">ROUND(SUMIF(Notes!$A:$A,A53,Notes!$F:$F),2)</f>
        <v>57.5</v>
      </c>
      <c r="I53" s="0" t="n">
        <f aca="false">ROUND(H53-F53,2)</f>
        <v>43.4</v>
      </c>
      <c r="J53" s="0" t="str">
        <f aca="false">IF(COUNTIFS(Partage_qte!$A:$A,A53,Partage_qte!$E:$E,0)=0,"partage entier","fraction non entière")</f>
        <v>partage entier</v>
      </c>
      <c r="K53" s="0" t="s">
        <v>197</v>
      </c>
    </row>
    <row r="54" customFormat="false" ht="15" hidden="false" customHeight="false" outlineLevel="0" collapsed="false">
      <c r="A54" s="0" t="s">
        <v>198</v>
      </c>
      <c r="B54" s="0" t="s">
        <v>136</v>
      </c>
      <c r="C54" s="0" t="s">
        <v>74</v>
      </c>
      <c r="D54" s="0" t="s">
        <v>199</v>
      </c>
      <c r="E54" s="0" t="n">
        <f aca="false">COUNTIF(Suppressions!$A:$A,A54)</f>
        <v>2</v>
      </c>
      <c r="F54" s="0" t="n">
        <f aca="false">ROUND(SUMIF(Suppressions!$A:$A,A54,Suppressions!$E:$E),2)</f>
        <v>46.4</v>
      </c>
      <c r="G54" s="0" t="n">
        <f aca="false">COUNTIF(Notes!$A:$A,A54)</f>
        <v>2</v>
      </c>
      <c r="H54" s="0" t="n">
        <f aca="false">ROUND(SUMIF(Notes!$A:$A,A54,Notes!$F:$F),2)</f>
        <v>121.8</v>
      </c>
      <c r="I54" s="0" t="n">
        <f aca="false">ROUND(H54-F54,2)</f>
        <v>75.4</v>
      </c>
      <c r="J54" s="0" t="str">
        <f aca="false">IF(COUNTIFS(Partage_qte!$A:$A,A54,Partage_qte!$E:$E,0)=0,"partage entier","fraction non entière")</f>
        <v>partage entier</v>
      </c>
      <c r="K54" s="0" t="s">
        <v>200</v>
      </c>
    </row>
    <row r="55" customFormat="false" ht="15" hidden="false" customHeight="false" outlineLevel="0" collapsed="false">
      <c r="A55" s="0" t="s">
        <v>201</v>
      </c>
      <c r="B55" s="0" t="s">
        <v>136</v>
      </c>
      <c r="C55" s="0" t="s">
        <v>74</v>
      </c>
      <c r="D55" s="0" t="s">
        <v>202</v>
      </c>
      <c r="E55" s="0" t="n">
        <f aca="false">COUNTIF(Suppressions!$A:$A,A55)</f>
        <v>3</v>
      </c>
      <c r="F55" s="0" t="n">
        <f aca="false">ROUND(SUMIF(Suppressions!$A:$A,A55,Suppressions!$E:$E),2)</f>
        <v>37.1</v>
      </c>
      <c r="G55" s="0" t="n">
        <f aca="false">COUNTIF(Notes!$A:$A,A55)</f>
        <v>2</v>
      </c>
      <c r="H55" s="0" t="n">
        <f aca="false">ROUND(SUMIF(Notes!$A:$A,A55,Notes!$F:$F),2)</f>
        <v>123.7</v>
      </c>
      <c r="I55" s="0" t="n">
        <f aca="false">ROUND(H55-F55,2)</f>
        <v>86.6</v>
      </c>
      <c r="J55" s="0" t="str">
        <f aca="false">IF(COUNTIFS(Partage_qte!$A:$A,A55,Partage_qte!$E:$E,0)=0,"partage entier","fraction non entière")</f>
        <v>partage entier</v>
      </c>
      <c r="K55" s="0" t="s">
        <v>203</v>
      </c>
    </row>
    <row r="56" customFormat="false" ht="15" hidden="false" customHeight="false" outlineLevel="0" collapsed="false">
      <c r="A56" s="0" t="s">
        <v>204</v>
      </c>
      <c r="B56" s="0" t="s">
        <v>136</v>
      </c>
      <c r="C56" s="0" t="s">
        <v>105</v>
      </c>
      <c r="D56" s="0" t="s">
        <v>205</v>
      </c>
      <c r="E56" s="0" t="n">
        <f aca="false">COUNTIF(Suppressions!$A:$A,A56)</f>
        <v>4</v>
      </c>
      <c r="F56" s="0" t="n">
        <f aca="false">ROUND(SUMIF(Suppressions!$A:$A,A56,Suppressions!$E:$E),2)</f>
        <v>25.4</v>
      </c>
      <c r="G56" s="0" t="n">
        <f aca="false">COUNTIF(Notes!$A:$A,A56)</f>
        <v>2</v>
      </c>
      <c r="H56" s="0" t="n">
        <f aca="false">ROUND(SUMIF(Notes!$A:$A,A56,Notes!$F:$F),2)</f>
        <v>283.9</v>
      </c>
      <c r="I56" s="0" t="n">
        <f aca="false">ROUND(H56-F56,2)</f>
        <v>258.5</v>
      </c>
      <c r="J56" s="0" t="str">
        <f aca="false">IF(COUNTIFS(Partage_qte!$A:$A,A56,Partage_qte!$E:$E,0)=0,"partage entier","fraction non entière")</f>
        <v>partage entier</v>
      </c>
      <c r="K56" s="0" t="s">
        <v>206</v>
      </c>
    </row>
    <row r="57" customFormat="false" ht="15" hidden="false" customHeight="false" outlineLevel="0" collapsed="false">
      <c r="A57" s="0" t="s">
        <v>207</v>
      </c>
      <c r="B57" s="0" t="s">
        <v>136</v>
      </c>
      <c r="C57" s="0" t="s">
        <v>105</v>
      </c>
      <c r="D57" s="0" t="s">
        <v>208</v>
      </c>
      <c r="E57" s="0" t="n">
        <f aca="false">COUNTIF(Suppressions!$A:$A,A57)</f>
        <v>3</v>
      </c>
      <c r="F57" s="0" t="n">
        <f aca="false">ROUND(SUMIF(Suppressions!$A:$A,A57,Suppressions!$E:$E),2)</f>
        <v>15.3</v>
      </c>
      <c r="G57" s="0" t="n">
        <f aca="false">COUNTIF(Notes!$A:$A,A57)</f>
        <v>2</v>
      </c>
      <c r="H57" s="0" t="n">
        <f aca="false">ROUND(SUMIF(Notes!$A:$A,A57,Notes!$F:$F),2)</f>
        <v>216.1</v>
      </c>
      <c r="I57" s="0" t="n">
        <f aca="false">ROUND(H57-F57,2)</f>
        <v>200.8</v>
      </c>
      <c r="J57" s="0" t="str">
        <f aca="false">IF(COUNTIFS(Partage_qte!$A:$A,A57,Partage_qte!$E:$E,0)=0,"partage entier","fraction non entière")</f>
        <v>partage entier</v>
      </c>
      <c r="K57" s="0" t="s">
        <v>209</v>
      </c>
    </row>
    <row r="58" customFormat="false" ht="15" hidden="false" customHeight="false" outlineLevel="0" collapsed="false">
      <c r="A58" s="0" t="s">
        <v>210</v>
      </c>
      <c r="B58" s="0" t="s">
        <v>136</v>
      </c>
      <c r="C58" s="0" t="s">
        <v>105</v>
      </c>
      <c r="D58" s="0" t="s">
        <v>211</v>
      </c>
      <c r="E58" s="0" t="n">
        <f aca="false">COUNTIF(Suppressions!$A:$A,A58)</f>
        <v>2</v>
      </c>
      <c r="F58" s="0" t="n">
        <f aca="false">ROUND(SUMIF(Suppressions!$A:$A,A58,Suppressions!$E:$E),2)</f>
        <v>38.5</v>
      </c>
      <c r="G58" s="0" t="n">
        <f aca="false">COUNTIF(Notes!$A:$A,A58)</f>
        <v>4</v>
      </c>
      <c r="H58" s="0" t="n">
        <f aca="false">ROUND(SUMIF(Notes!$A:$A,A58,Notes!$F:$F),2)</f>
        <v>114.7</v>
      </c>
      <c r="I58" s="0" t="n">
        <f aca="false">ROUND(H58-F58,2)</f>
        <v>76.2</v>
      </c>
      <c r="J58" s="0" t="str">
        <f aca="false">IF(COUNTIFS(Partage_qte!$A:$A,A58,Partage_qte!$E:$E,0)=0,"partage entier","fraction non entière")</f>
        <v>partage entier</v>
      </c>
      <c r="K58" s="0" t="s">
        <v>212</v>
      </c>
    </row>
    <row r="59" customFormat="false" ht="15" hidden="false" customHeight="false" outlineLevel="0" collapsed="false">
      <c r="A59" s="0" t="s">
        <v>213</v>
      </c>
      <c r="B59" s="0" t="s">
        <v>136</v>
      </c>
      <c r="C59" s="0" t="s">
        <v>105</v>
      </c>
      <c r="D59" s="0" t="s">
        <v>214</v>
      </c>
      <c r="E59" s="0" t="n">
        <f aca="false">COUNTIF(Suppressions!$A:$A,A59)</f>
        <v>2</v>
      </c>
      <c r="F59" s="0" t="n">
        <f aca="false">ROUND(SUMIF(Suppressions!$A:$A,A59,Suppressions!$E:$E),2)</f>
        <v>27.5</v>
      </c>
      <c r="G59" s="0" t="n">
        <f aca="false">COUNTIF(Notes!$A:$A,A59)</f>
        <v>2</v>
      </c>
      <c r="H59" s="0" t="n">
        <f aca="false">ROUND(SUMIF(Notes!$A:$A,A59,Notes!$F:$F),2)</f>
        <v>135.2</v>
      </c>
      <c r="I59" s="0" t="n">
        <f aca="false">ROUND(H59-F59,2)</f>
        <v>107.7</v>
      </c>
      <c r="J59" s="0" t="str">
        <f aca="false">IF(COUNTIFS(Partage_qte!$A:$A,A59,Partage_qte!$E:$E,0)=0,"partage entier","fraction non entière")</f>
        <v>partage entier</v>
      </c>
      <c r="K59" s="0" t="s">
        <v>215</v>
      </c>
    </row>
    <row r="60" customFormat="false" ht="15" hidden="false" customHeight="false" outlineLevel="0" collapsed="false">
      <c r="A60" s="0" t="s">
        <v>216</v>
      </c>
      <c r="B60" s="0" t="s">
        <v>136</v>
      </c>
      <c r="C60" s="0" t="s">
        <v>105</v>
      </c>
      <c r="D60" s="0" t="s">
        <v>217</v>
      </c>
      <c r="E60" s="0" t="n">
        <f aca="false">COUNTIF(Suppressions!$A:$A,A60)</f>
        <v>2</v>
      </c>
      <c r="F60" s="0" t="n">
        <f aca="false">ROUND(SUMIF(Suppressions!$A:$A,A60,Suppressions!$E:$E),2)</f>
        <v>22.9</v>
      </c>
      <c r="G60" s="0" t="n">
        <f aca="false">COUNTIF(Notes!$A:$A,A60)</f>
        <v>2</v>
      </c>
      <c r="H60" s="0" t="n">
        <f aca="false">ROUND(SUMIF(Notes!$A:$A,A60,Notes!$F:$F),2)</f>
        <v>97.7</v>
      </c>
      <c r="I60" s="0" t="n">
        <f aca="false">ROUND(H60-F60,2)</f>
        <v>74.8</v>
      </c>
      <c r="J60" s="0" t="str">
        <f aca="false">IF(COUNTIFS(Partage_qte!$A:$A,A60,Partage_qte!$E:$E,0)=0,"partage entier","fraction non entière")</f>
        <v>partage entier</v>
      </c>
      <c r="K60" s="0" t="s">
        <v>218</v>
      </c>
    </row>
    <row r="61" customFormat="false" ht="15" hidden="false" customHeight="false" outlineLevel="0" collapsed="false">
      <c r="A61" s="0" t="s">
        <v>219</v>
      </c>
      <c r="B61" s="0" t="s">
        <v>136</v>
      </c>
      <c r="C61" s="0" t="s">
        <v>105</v>
      </c>
      <c r="D61" s="0" t="s">
        <v>220</v>
      </c>
      <c r="E61" s="0" t="n">
        <f aca="false">COUNTIF(Suppressions!$A:$A,A61)</f>
        <v>3</v>
      </c>
      <c r="F61" s="0" t="n">
        <f aca="false">ROUND(SUMIF(Suppressions!$A:$A,A61,Suppressions!$E:$E),2)</f>
        <v>64.2</v>
      </c>
      <c r="G61" s="0" t="n">
        <f aca="false">COUNTIF(Notes!$A:$A,A61)</f>
        <v>6</v>
      </c>
      <c r="H61" s="0" t="n">
        <f aca="false">ROUND(SUMIF(Notes!$A:$A,A61,Notes!$F:$F),2)</f>
        <v>506.5</v>
      </c>
      <c r="I61" s="0" t="n">
        <f aca="false">ROUND(H61-F61,2)</f>
        <v>442.3</v>
      </c>
      <c r="J61" s="0" t="str">
        <f aca="false">IF(COUNTIFS(Partage_qte!$A:$A,A61,Partage_qte!$E:$E,0)=0,"partage entier","fraction non entière")</f>
        <v>partage entier</v>
      </c>
      <c r="K61" s="0" t="s">
        <v>221</v>
      </c>
    </row>
    <row r="62" customFormat="false" ht="15" hidden="false" customHeight="false" outlineLevel="0" collapsed="false">
      <c r="A62" s="0" t="s">
        <v>222</v>
      </c>
      <c r="B62" s="0" t="s">
        <v>136</v>
      </c>
      <c r="C62" s="0" t="s">
        <v>105</v>
      </c>
      <c r="D62" s="0" t="s">
        <v>223</v>
      </c>
      <c r="E62" s="0" t="n">
        <f aca="false">COUNTIF(Suppressions!$A:$A,A62)</f>
        <v>2</v>
      </c>
      <c r="F62" s="0" t="n">
        <f aca="false">ROUND(SUMIF(Suppressions!$A:$A,A62,Suppressions!$E:$E),2)</f>
        <v>43.6</v>
      </c>
      <c r="G62" s="0" t="n">
        <f aca="false">COUNTIF(Notes!$A:$A,A62)</f>
        <v>2</v>
      </c>
      <c r="H62" s="0" t="n">
        <f aca="false">ROUND(SUMIF(Notes!$A:$A,A62,Notes!$F:$F),2)</f>
        <v>230.9</v>
      </c>
      <c r="I62" s="0" t="n">
        <f aca="false">ROUND(H62-F62,2)</f>
        <v>187.3</v>
      </c>
      <c r="J62" s="0" t="str">
        <f aca="false">IF(COUNTIFS(Partage_qte!$A:$A,A62,Partage_qte!$E:$E,0)=0,"partage entier","fraction non entière")</f>
        <v>partage entier</v>
      </c>
      <c r="K62" s="0" t="s">
        <v>224</v>
      </c>
    </row>
    <row r="63" customFormat="false" ht="15" hidden="false" customHeight="false" outlineLevel="0" collapsed="false">
      <c r="A63" s="0" t="s">
        <v>225</v>
      </c>
      <c r="B63" s="0" t="s">
        <v>136</v>
      </c>
      <c r="C63" s="0" t="s">
        <v>105</v>
      </c>
      <c r="D63" s="0" t="s">
        <v>226</v>
      </c>
      <c r="E63" s="0" t="n">
        <f aca="false">COUNTIF(Suppressions!$A:$A,A63)</f>
        <v>1</v>
      </c>
      <c r="F63" s="0" t="n">
        <f aca="false">ROUND(SUMIF(Suppressions!$A:$A,A63,Suppressions!$E:$E),2)</f>
        <v>4.2</v>
      </c>
      <c r="G63" s="0" t="n">
        <f aca="false">COUNTIF(Notes!$A:$A,A63)</f>
        <v>2</v>
      </c>
      <c r="H63" s="0" t="n">
        <f aca="false">ROUND(SUMIF(Notes!$A:$A,A63,Notes!$F:$F),2)</f>
        <v>62.2</v>
      </c>
      <c r="I63" s="0" t="n">
        <f aca="false">ROUND(H63-F63,2)</f>
        <v>58</v>
      </c>
      <c r="J63" s="0" t="str">
        <f aca="false">IF(COUNTIFS(Partage_qte!$A:$A,A63,Partage_qte!$E:$E,0)=0,"partage entier","fraction non entière")</f>
        <v>partage entier</v>
      </c>
      <c r="K63" s="0" t="s">
        <v>227</v>
      </c>
    </row>
    <row r="64" customFormat="false" ht="15" hidden="false" customHeight="false" outlineLevel="0" collapsed="false">
      <c r="A64" s="0" t="s">
        <v>228</v>
      </c>
      <c r="B64" s="0" t="s">
        <v>136</v>
      </c>
      <c r="C64" s="0" t="s">
        <v>105</v>
      </c>
      <c r="D64" s="0" t="s">
        <v>130</v>
      </c>
      <c r="E64" s="0" t="n">
        <f aca="false">COUNTIF(Suppressions!$A:$A,A64)</f>
        <v>2</v>
      </c>
      <c r="F64" s="0" t="n">
        <f aca="false">ROUND(SUMIF(Suppressions!$A:$A,A64,Suppressions!$E:$E),2)</f>
        <v>14.8</v>
      </c>
      <c r="G64" s="0" t="n">
        <f aca="false">COUNTIF(Notes!$A:$A,A64)</f>
        <v>2</v>
      </c>
      <c r="H64" s="0" t="n">
        <f aca="false">ROUND(SUMIF(Notes!$A:$A,A64,Notes!$F:$F),2)</f>
        <v>172.2</v>
      </c>
      <c r="I64" s="0" t="n">
        <f aca="false">ROUND(H64-F64,2)</f>
        <v>157.4</v>
      </c>
      <c r="J64" s="0" t="str">
        <f aca="false">IF(COUNTIFS(Partage_qte!$A:$A,A64,Partage_qte!$E:$E,0)=0,"partage entier","fraction non entière")</f>
        <v>partage entier</v>
      </c>
      <c r="K64" s="0" t="s">
        <v>229</v>
      </c>
    </row>
    <row r="65" customFormat="false" ht="15" hidden="false" customHeight="false" outlineLevel="0" collapsed="false">
      <c r="A65" s="0" t="s">
        <v>230</v>
      </c>
      <c r="B65" s="0" t="s">
        <v>136</v>
      </c>
      <c r="C65" s="0" t="s">
        <v>105</v>
      </c>
      <c r="D65" s="0" t="s">
        <v>231</v>
      </c>
      <c r="E65" s="0" t="n">
        <f aca="false">COUNTIF(Suppressions!$A:$A,A65)</f>
        <v>2</v>
      </c>
      <c r="F65" s="0" t="n">
        <f aca="false">ROUND(SUMIF(Suppressions!$A:$A,A65,Suppressions!$E:$E),2)</f>
        <v>22.8</v>
      </c>
      <c r="G65" s="0" t="n">
        <f aca="false">COUNTIF(Notes!$A:$A,A65)</f>
        <v>2</v>
      </c>
      <c r="H65" s="0" t="n">
        <f aca="false">ROUND(SUMIF(Notes!$A:$A,A65,Notes!$F:$F),2)</f>
        <v>155.5</v>
      </c>
      <c r="I65" s="0" t="n">
        <f aca="false">ROUND(H65-F65,2)</f>
        <v>132.7</v>
      </c>
      <c r="J65" s="0" t="str">
        <f aca="false">IF(COUNTIFS(Partage_qte!$A:$A,A65,Partage_qte!$E:$E,0)=0,"partage entier","fraction non entière")</f>
        <v>partage entier</v>
      </c>
      <c r="K65" s="0" t="s">
        <v>232</v>
      </c>
    </row>
    <row r="66" customFormat="false" ht="15" hidden="false" customHeight="false" outlineLevel="0" collapsed="false">
      <c r="A66" s="0" t="s">
        <v>233</v>
      </c>
      <c r="B66" s="0" t="s">
        <v>136</v>
      </c>
      <c r="C66" s="0" t="s">
        <v>105</v>
      </c>
      <c r="D66" s="0" t="s">
        <v>133</v>
      </c>
      <c r="E66" s="0" t="n">
        <f aca="false">COUNTIF(Suppressions!$A:$A,A66)</f>
        <v>4</v>
      </c>
      <c r="F66" s="0" t="n">
        <f aca="false">ROUND(SUMIF(Suppressions!$A:$A,A66,Suppressions!$E:$E),2)</f>
        <v>24.3</v>
      </c>
      <c r="G66" s="0" t="n">
        <f aca="false">COUNTIF(Notes!$A:$A,A66)</f>
        <v>2</v>
      </c>
      <c r="H66" s="0" t="n">
        <f aca="false">ROUND(SUMIF(Notes!$A:$A,A66,Notes!$F:$F),2)</f>
        <v>106.1</v>
      </c>
      <c r="I66" s="0" t="n">
        <f aca="false">ROUND(H66-F66,2)</f>
        <v>81.8</v>
      </c>
      <c r="J66" s="0" t="str">
        <f aca="false">IF(COUNTIFS(Partage_qte!$A:$A,A66,Partage_qte!$E:$E,0)=0,"partage entier","fraction non entière")</f>
        <v>partage entier</v>
      </c>
      <c r="K66" s="0" t="s">
        <v>234</v>
      </c>
    </row>
    <row r="67" customFormat="false" ht="15" hidden="false" customHeight="false" outlineLevel="0" collapsed="false">
      <c r="A67" s="0" t="s">
        <v>235</v>
      </c>
      <c r="B67" s="0" t="s">
        <v>236</v>
      </c>
      <c r="C67" s="0" t="s">
        <v>40</v>
      </c>
      <c r="D67" s="0" t="s">
        <v>237</v>
      </c>
      <c r="E67" s="0" t="n">
        <f aca="false">COUNTIF(Suppressions!$A:$A,A67)</f>
        <v>4</v>
      </c>
      <c r="F67" s="0" t="n">
        <f aca="false">ROUND(SUMIF(Suppressions!$A:$A,A67,Suppressions!$E:$E),2)</f>
        <v>73.1</v>
      </c>
      <c r="G67" s="0" t="n">
        <f aca="false">COUNTIF(Notes!$A:$A,A67)</f>
        <v>1</v>
      </c>
      <c r="H67" s="0" t="n">
        <f aca="false">ROUND(SUMIF(Notes!$A:$A,A67,Notes!$F:$F),2)</f>
        <v>73.1</v>
      </c>
      <c r="I67" s="0" t="n">
        <f aca="false">ROUND(H67-F67,2)</f>
        <v>0</v>
      </c>
      <c r="J67" s="0" t="str">
        <f aca="false">IF(ABS(I67)&lt;=0.01,"somme DEL = total note","écart")</f>
        <v>somme DEL = total note</v>
      </c>
      <c r="K67" s="0" t="s">
        <v>238</v>
      </c>
    </row>
    <row r="68" customFormat="false" ht="15" hidden="false" customHeight="false" outlineLevel="0" collapsed="false">
      <c r="A68" s="0" t="s">
        <v>239</v>
      </c>
      <c r="B68" s="0" t="s">
        <v>236</v>
      </c>
      <c r="C68" s="0" t="s">
        <v>40</v>
      </c>
      <c r="D68" s="0" t="s">
        <v>240</v>
      </c>
      <c r="E68" s="0" t="n">
        <f aca="false">COUNTIF(Suppressions!$A:$A,A68)</f>
        <v>5</v>
      </c>
      <c r="F68" s="0" t="n">
        <f aca="false">ROUND(SUMIF(Suppressions!$A:$A,A68,Suppressions!$E:$E),2)</f>
        <v>86.45</v>
      </c>
      <c r="G68" s="0" t="n">
        <f aca="false">COUNTIF(Notes!$A:$A,A68)</f>
        <v>1</v>
      </c>
      <c r="H68" s="0" t="n">
        <f aca="false">ROUND(SUMIF(Notes!$A:$A,A68,Notes!$F:$F),2)</f>
        <v>86.45</v>
      </c>
      <c r="I68" s="0" t="n">
        <f aca="false">ROUND(H68-F68,2)</f>
        <v>0</v>
      </c>
      <c r="J68" s="0" t="str">
        <f aca="false">IF(ABS(I68)&lt;=0.01,"somme DEL = total note","écart")</f>
        <v>somme DEL = total note</v>
      </c>
      <c r="K68" s="0" t="s">
        <v>241</v>
      </c>
    </row>
    <row r="69" customFormat="false" ht="15" hidden="false" customHeight="false" outlineLevel="0" collapsed="false">
      <c r="A69" s="0" t="s">
        <v>242</v>
      </c>
      <c r="B69" s="0" t="s">
        <v>236</v>
      </c>
      <c r="C69" s="0" t="s">
        <v>40</v>
      </c>
      <c r="D69" s="0" t="s">
        <v>243</v>
      </c>
      <c r="E69" s="0" t="n">
        <f aca="false">COUNTIF(Suppressions!$A:$A,A69)</f>
        <v>8</v>
      </c>
      <c r="F69" s="0" t="n">
        <f aca="false">ROUND(SUMIF(Suppressions!$A:$A,A69,Suppressions!$E:$E),2)</f>
        <v>47.1</v>
      </c>
      <c r="G69" s="0" t="n">
        <f aca="false">COUNTIF(Notes!$A:$A,A69)</f>
        <v>1</v>
      </c>
      <c r="H69" s="0" t="n">
        <f aca="false">ROUND(SUMIF(Notes!$A:$A,A69,Notes!$F:$F),2)</f>
        <v>47.1</v>
      </c>
      <c r="I69" s="0" t="n">
        <f aca="false">ROUND(H69-F69,2)</f>
        <v>0</v>
      </c>
      <c r="J69" s="0" t="str">
        <f aca="false">IF(ABS(I69)&lt;=0.01,"somme DEL = total note","écart")</f>
        <v>somme DEL = total note</v>
      </c>
      <c r="K69" s="0" t="s">
        <v>244</v>
      </c>
    </row>
    <row r="70" customFormat="false" ht="15" hidden="false" customHeight="false" outlineLevel="0" collapsed="false">
      <c r="A70" s="0" t="s">
        <v>245</v>
      </c>
      <c r="B70" s="0" t="s">
        <v>236</v>
      </c>
      <c r="C70" s="0" t="s">
        <v>40</v>
      </c>
      <c r="D70" s="0" t="s">
        <v>246</v>
      </c>
      <c r="E70" s="0" t="n">
        <f aca="false">COUNTIF(Suppressions!$A:$A,A70)</f>
        <v>6</v>
      </c>
      <c r="F70" s="0" t="n">
        <f aca="false">ROUND(SUMIF(Suppressions!$A:$A,A70,Suppressions!$E:$E),2)</f>
        <v>31.6</v>
      </c>
      <c r="G70" s="0" t="n">
        <f aca="false">COUNTIF(Notes!$A:$A,A70)</f>
        <v>1</v>
      </c>
      <c r="H70" s="0" t="n">
        <f aca="false">ROUND(SUMIF(Notes!$A:$A,A70,Notes!$F:$F),2)</f>
        <v>31.6</v>
      </c>
      <c r="I70" s="0" t="n">
        <f aca="false">ROUND(H70-F70,2)</f>
        <v>0</v>
      </c>
      <c r="J70" s="0" t="str">
        <f aca="false">IF(ABS(I70)&lt;=0.01,"somme DEL = total note","écart")</f>
        <v>somme DEL = total note</v>
      </c>
      <c r="K70" s="0" t="s">
        <v>247</v>
      </c>
    </row>
    <row r="71" customFormat="false" ht="15" hidden="false" customHeight="false" outlineLevel="0" collapsed="false">
      <c r="A71" s="0" t="s">
        <v>248</v>
      </c>
      <c r="B71" s="0" t="s">
        <v>236</v>
      </c>
      <c r="C71" s="0" t="s">
        <v>40</v>
      </c>
      <c r="D71" s="0" t="s">
        <v>249</v>
      </c>
      <c r="E71" s="0" t="n">
        <f aca="false">COUNTIF(Suppressions!$A:$A,A71)</f>
        <v>5</v>
      </c>
      <c r="F71" s="0" t="n">
        <f aca="false">ROUND(SUMIF(Suppressions!$A:$A,A71,Suppressions!$E:$E),2)</f>
        <v>22.95</v>
      </c>
      <c r="G71" s="0" t="n">
        <f aca="false">COUNTIF(Notes!$A:$A,A71)</f>
        <v>1</v>
      </c>
      <c r="H71" s="0" t="n">
        <f aca="false">ROUND(SUMIF(Notes!$A:$A,A71,Notes!$F:$F),2)</f>
        <v>22.95</v>
      </c>
      <c r="I71" s="0" t="n">
        <f aca="false">ROUND(H71-F71,2)</f>
        <v>0</v>
      </c>
      <c r="J71" s="0" t="str">
        <f aca="false">IF(ABS(I71)&lt;=0.01,"somme DEL = total note","écart")</f>
        <v>somme DEL = total note</v>
      </c>
      <c r="K71" s="0" t="s">
        <v>250</v>
      </c>
    </row>
    <row r="72" customFormat="false" ht="15" hidden="false" customHeight="false" outlineLevel="0" collapsed="false">
      <c r="A72" s="0" t="s">
        <v>251</v>
      </c>
      <c r="B72" s="0" t="s">
        <v>236</v>
      </c>
      <c r="C72" s="0" t="s">
        <v>40</v>
      </c>
      <c r="D72" s="0" t="s">
        <v>252</v>
      </c>
      <c r="E72" s="0" t="n">
        <f aca="false">COUNTIF(Suppressions!$A:$A,A72)</f>
        <v>7</v>
      </c>
      <c r="F72" s="0" t="n">
        <f aca="false">ROUND(SUMIF(Suppressions!$A:$A,A72,Suppressions!$E:$E),2)</f>
        <v>71.85</v>
      </c>
      <c r="G72" s="0" t="n">
        <f aca="false">COUNTIF(Notes!$A:$A,A72)</f>
        <v>1</v>
      </c>
      <c r="H72" s="0" t="n">
        <f aca="false">ROUND(SUMIF(Notes!$A:$A,A72,Notes!$F:$F),2)</f>
        <v>71.85</v>
      </c>
      <c r="I72" s="0" t="n">
        <f aca="false">ROUND(H72-F72,2)</f>
        <v>0</v>
      </c>
      <c r="J72" s="0" t="str">
        <f aca="false">IF(ABS(I72)&lt;=0.01,"somme DEL = total note","écart")</f>
        <v>somme DEL = total note</v>
      </c>
      <c r="K72" s="0" t="s">
        <v>253</v>
      </c>
    </row>
    <row r="73" customFormat="false" ht="15" hidden="false" customHeight="false" outlineLevel="0" collapsed="false">
      <c r="A73" s="0" t="s">
        <v>254</v>
      </c>
      <c r="B73" s="0" t="s">
        <v>236</v>
      </c>
      <c r="C73" s="0" t="s">
        <v>40</v>
      </c>
      <c r="D73" s="0" t="s">
        <v>255</v>
      </c>
      <c r="E73" s="0" t="n">
        <f aca="false">COUNTIF(Suppressions!$A:$A,A73)</f>
        <v>4</v>
      </c>
      <c r="F73" s="0" t="n">
        <f aca="false">ROUND(SUMIF(Suppressions!$A:$A,A73,Suppressions!$E:$E),2)</f>
        <v>38.05</v>
      </c>
      <c r="G73" s="0" t="n">
        <f aca="false">COUNTIF(Notes!$A:$A,A73)</f>
        <v>1</v>
      </c>
      <c r="H73" s="0" t="n">
        <f aca="false">ROUND(SUMIF(Notes!$A:$A,A73,Notes!$F:$F),2)</f>
        <v>38.05</v>
      </c>
      <c r="I73" s="0" t="n">
        <f aca="false">ROUND(H73-F73,2)</f>
        <v>0</v>
      </c>
      <c r="J73" s="0" t="str">
        <f aca="false">IF(ABS(I73)&lt;=0.01,"somme DEL = total note","écart")</f>
        <v>somme DEL = total note</v>
      </c>
      <c r="K73" s="0" t="s">
        <v>256</v>
      </c>
    </row>
    <row r="74" customFormat="false" ht="15" hidden="false" customHeight="false" outlineLevel="0" collapsed="false">
      <c r="A74" s="0" t="s">
        <v>257</v>
      </c>
      <c r="B74" s="0" t="s">
        <v>236</v>
      </c>
      <c r="C74" s="0" t="s">
        <v>40</v>
      </c>
      <c r="D74" s="0" t="s">
        <v>258</v>
      </c>
      <c r="E74" s="0" t="n">
        <f aca="false">COUNTIF(Suppressions!$A:$A,A74)</f>
        <v>5</v>
      </c>
      <c r="F74" s="0" t="n">
        <f aca="false">ROUND(SUMIF(Suppressions!$A:$A,A74,Suppressions!$E:$E),2)</f>
        <v>28.35</v>
      </c>
      <c r="G74" s="0" t="n">
        <f aca="false">COUNTIF(Notes!$A:$A,A74)</f>
        <v>1</v>
      </c>
      <c r="H74" s="0" t="n">
        <f aca="false">ROUND(SUMIF(Notes!$A:$A,A74,Notes!$F:$F),2)</f>
        <v>28.35</v>
      </c>
      <c r="I74" s="0" t="n">
        <f aca="false">ROUND(H74-F74,2)</f>
        <v>0</v>
      </c>
      <c r="J74" s="0" t="str">
        <f aca="false">IF(ABS(I74)&lt;=0.01,"somme DEL = total note","écart")</f>
        <v>somme DEL = total note</v>
      </c>
      <c r="K74" s="0" t="s">
        <v>259</v>
      </c>
    </row>
    <row r="75" customFormat="false" ht="15" hidden="false" customHeight="false" outlineLevel="0" collapsed="false">
      <c r="A75" s="0" t="s">
        <v>260</v>
      </c>
      <c r="B75" s="0" t="s">
        <v>236</v>
      </c>
      <c r="C75" s="0" t="s">
        <v>40</v>
      </c>
      <c r="D75" s="0" t="s">
        <v>164</v>
      </c>
      <c r="E75" s="0" t="n">
        <f aca="false">COUNTIF(Suppressions!$A:$A,A75)</f>
        <v>5</v>
      </c>
      <c r="F75" s="0" t="n">
        <f aca="false">ROUND(SUMIF(Suppressions!$A:$A,A75,Suppressions!$E:$E),2)</f>
        <v>59.1</v>
      </c>
      <c r="G75" s="0" t="n">
        <f aca="false">COUNTIF(Notes!$A:$A,A75)</f>
        <v>1</v>
      </c>
      <c r="H75" s="0" t="n">
        <f aca="false">ROUND(SUMIF(Notes!$A:$A,A75,Notes!$F:$F),2)</f>
        <v>59.1</v>
      </c>
      <c r="I75" s="0" t="n">
        <f aca="false">ROUND(H75-F75,2)</f>
        <v>0</v>
      </c>
      <c r="J75" s="0" t="str">
        <f aca="false">IF(ABS(I75)&lt;=0.01,"somme DEL = total note","écart")</f>
        <v>somme DEL = total note</v>
      </c>
      <c r="K75" s="0" t="s">
        <v>261</v>
      </c>
    </row>
    <row r="76" customFormat="false" ht="15" hidden="false" customHeight="false" outlineLevel="0" collapsed="false">
      <c r="A76" s="0" t="s">
        <v>262</v>
      </c>
      <c r="B76" s="0" t="s">
        <v>236</v>
      </c>
      <c r="C76" s="0" t="s">
        <v>40</v>
      </c>
      <c r="D76" s="0" t="s">
        <v>263</v>
      </c>
      <c r="E76" s="0" t="n">
        <f aca="false">COUNTIF(Suppressions!$A:$A,A76)</f>
        <v>5</v>
      </c>
      <c r="F76" s="0" t="n">
        <f aca="false">ROUND(SUMIF(Suppressions!$A:$A,A76,Suppressions!$E:$E),2)</f>
        <v>25.6</v>
      </c>
      <c r="G76" s="0" t="n">
        <f aca="false">COUNTIF(Notes!$A:$A,A76)</f>
        <v>1</v>
      </c>
      <c r="H76" s="0" t="n">
        <f aca="false">ROUND(SUMIF(Notes!$A:$A,A76,Notes!$F:$F),2)</f>
        <v>25.6</v>
      </c>
      <c r="I76" s="0" t="n">
        <f aca="false">ROUND(H76-F76,2)</f>
        <v>0</v>
      </c>
      <c r="J76" s="0" t="str">
        <f aca="false">IF(ABS(I76)&lt;=0.01,"somme DEL = total note","écart")</f>
        <v>somme DEL = total note</v>
      </c>
      <c r="K76" s="0" t="s">
        <v>264</v>
      </c>
    </row>
    <row r="77" customFormat="false" ht="15" hidden="false" customHeight="false" outlineLevel="0" collapsed="false">
      <c r="A77" s="0" t="s">
        <v>265</v>
      </c>
      <c r="B77" s="0" t="s">
        <v>236</v>
      </c>
      <c r="C77" s="0" t="s">
        <v>74</v>
      </c>
      <c r="D77" s="0" t="s">
        <v>266</v>
      </c>
      <c r="E77" s="0" t="n">
        <f aca="false">COUNTIF(Suppressions!$A:$A,A77)</f>
        <v>5</v>
      </c>
      <c r="F77" s="0" t="n">
        <f aca="false">ROUND(SUMIF(Suppressions!$A:$A,A77,Suppressions!$E:$E),2)</f>
        <v>36.35</v>
      </c>
      <c r="G77" s="0" t="n">
        <f aca="false">COUNTIF(Notes!$A:$A,A77)</f>
        <v>1</v>
      </c>
      <c r="H77" s="0" t="n">
        <f aca="false">ROUND(SUMIF(Notes!$A:$A,A77,Notes!$F:$F),2)</f>
        <v>36.35</v>
      </c>
      <c r="I77" s="0" t="n">
        <f aca="false">ROUND(H77-F77,2)</f>
        <v>0</v>
      </c>
      <c r="J77" s="0" t="str">
        <f aca="false">IF(ABS(I77)&lt;=0.01,"somme DEL = total note","écart")</f>
        <v>somme DEL = total note</v>
      </c>
      <c r="K77" s="0" t="s">
        <v>267</v>
      </c>
    </row>
    <row r="78" customFormat="false" ht="15" hidden="false" customHeight="false" outlineLevel="0" collapsed="false">
      <c r="A78" s="0" t="s">
        <v>268</v>
      </c>
      <c r="B78" s="0" t="s">
        <v>236</v>
      </c>
      <c r="C78" s="0" t="s">
        <v>74</v>
      </c>
      <c r="D78" s="0" t="s">
        <v>269</v>
      </c>
      <c r="E78" s="0" t="n">
        <f aca="false">COUNTIF(Suppressions!$A:$A,A78)</f>
        <v>5</v>
      </c>
      <c r="F78" s="0" t="n">
        <f aca="false">ROUND(SUMIF(Suppressions!$A:$A,A78,Suppressions!$E:$E),2)</f>
        <v>35.75</v>
      </c>
      <c r="G78" s="0" t="n">
        <f aca="false">COUNTIF(Notes!$A:$A,A78)</f>
        <v>1</v>
      </c>
      <c r="H78" s="0" t="n">
        <f aca="false">ROUND(SUMIF(Notes!$A:$A,A78,Notes!$F:$F),2)</f>
        <v>35.75</v>
      </c>
      <c r="I78" s="0" t="n">
        <f aca="false">ROUND(H78-F78,2)</f>
        <v>0</v>
      </c>
      <c r="J78" s="0" t="str">
        <f aca="false">IF(ABS(I78)&lt;=0.01,"somme DEL = total note","écart")</f>
        <v>somme DEL = total note</v>
      </c>
      <c r="K78" s="0" t="s">
        <v>270</v>
      </c>
    </row>
    <row r="79" customFormat="false" ht="15" hidden="false" customHeight="false" outlineLevel="0" collapsed="false">
      <c r="A79" s="0" t="s">
        <v>271</v>
      </c>
      <c r="B79" s="0" t="s">
        <v>236</v>
      </c>
      <c r="C79" s="0" t="s">
        <v>74</v>
      </c>
      <c r="D79" s="0" t="s">
        <v>272</v>
      </c>
      <c r="E79" s="0" t="n">
        <f aca="false">COUNTIF(Suppressions!$A:$A,A79)</f>
        <v>4</v>
      </c>
      <c r="F79" s="0" t="n">
        <f aca="false">ROUND(SUMIF(Suppressions!$A:$A,A79,Suppressions!$E:$E),2)</f>
        <v>22.35</v>
      </c>
      <c r="G79" s="0" t="n">
        <f aca="false">COUNTIF(Notes!$A:$A,A79)</f>
        <v>1</v>
      </c>
      <c r="H79" s="0" t="n">
        <f aca="false">ROUND(SUMIF(Notes!$A:$A,A79,Notes!$F:$F),2)</f>
        <v>22.35</v>
      </c>
      <c r="I79" s="0" t="n">
        <f aca="false">ROUND(H79-F79,2)</f>
        <v>0</v>
      </c>
      <c r="J79" s="0" t="str">
        <f aca="false">IF(ABS(I79)&lt;=0.01,"somme DEL = total note","écart")</f>
        <v>somme DEL = total note</v>
      </c>
      <c r="K79" s="0" t="s">
        <v>273</v>
      </c>
    </row>
    <row r="80" customFormat="false" ht="15" hidden="false" customHeight="false" outlineLevel="0" collapsed="false">
      <c r="A80" s="0" t="s">
        <v>274</v>
      </c>
      <c r="B80" s="0" t="s">
        <v>236</v>
      </c>
      <c r="C80" s="0" t="s">
        <v>74</v>
      </c>
      <c r="D80" s="0" t="s">
        <v>275</v>
      </c>
      <c r="E80" s="0" t="n">
        <f aca="false">COUNTIF(Suppressions!$A:$A,A80)</f>
        <v>5</v>
      </c>
      <c r="F80" s="0" t="n">
        <f aca="false">ROUND(SUMIF(Suppressions!$A:$A,A80,Suppressions!$E:$E),2)</f>
        <v>70.9</v>
      </c>
      <c r="G80" s="0" t="n">
        <f aca="false">COUNTIF(Notes!$A:$A,A80)</f>
        <v>1</v>
      </c>
      <c r="H80" s="0" t="n">
        <f aca="false">ROUND(SUMIF(Notes!$A:$A,A80,Notes!$F:$F),2)</f>
        <v>70.9</v>
      </c>
      <c r="I80" s="0" t="n">
        <f aca="false">ROUND(H80-F80,2)</f>
        <v>0</v>
      </c>
      <c r="J80" s="0" t="str">
        <f aca="false">IF(ABS(I80)&lt;=0.01,"somme DEL = total note","écart")</f>
        <v>somme DEL = total note</v>
      </c>
      <c r="K80" s="0" t="s">
        <v>276</v>
      </c>
    </row>
    <row r="81" customFormat="false" ht="15" hidden="false" customHeight="false" outlineLevel="0" collapsed="false">
      <c r="A81" s="0" t="s">
        <v>277</v>
      </c>
      <c r="B81" s="0" t="s">
        <v>236</v>
      </c>
      <c r="C81" s="0" t="s">
        <v>74</v>
      </c>
      <c r="D81" s="0" t="s">
        <v>278</v>
      </c>
      <c r="E81" s="0" t="n">
        <f aca="false">COUNTIF(Suppressions!$A:$A,A81)</f>
        <v>5</v>
      </c>
      <c r="F81" s="0" t="n">
        <f aca="false">ROUND(SUMIF(Suppressions!$A:$A,A81,Suppressions!$E:$E),2)</f>
        <v>68.9</v>
      </c>
      <c r="G81" s="0" t="n">
        <f aca="false">COUNTIF(Notes!$A:$A,A81)</f>
        <v>1</v>
      </c>
      <c r="H81" s="0" t="n">
        <f aca="false">ROUND(SUMIF(Notes!$A:$A,A81,Notes!$F:$F),2)</f>
        <v>68.9</v>
      </c>
      <c r="I81" s="0" t="n">
        <f aca="false">ROUND(H81-F81,2)</f>
        <v>0</v>
      </c>
      <c r="J81" s="0" t="str">
        <f aca="false">IF(ABS(I81)&lt;=0.01,"somme DEL = total note","écart")</f>
        <v>somme DEL = total note</v>
      </c>
      <c r="K81" s="0" t="s">
        <v>279</v>
      </c>
    </row>
    <row r="82" customFormat="false" ht="15" hidden="false" customHeight="false" outlineLevel="0" collapsed="false">
      <c r="A82" s="0" t="s">
        <v>280</v>
      </c>
      <c r="B82" s="0" t="s">
        <v>236</v>
      </c>
      <c r="C82" s="0" t="s">
        <v>74</v>
      </c>
      <c r="D82" s="0" t="s">
        <v>281</v>
      </c>
      <c r="E82" s="0" t="n">
        <f aca="false">COUNTIF(Suppressions!$A:$A,A82)</f>
        <v>6</v>
      </c>
      <c r="F82" s="0" t="n">
        <f aca="false">ROUND(SUMIF(Suppressions!$A:$A,A82,Suppressions!$E:$E),2)</f>
        <v>57.5</v>
      </c>
      <c r="G82" s="0" t="n">
        <f aca="false">COUNTIF(Notes!$A:$A,A82)</f>
        <v>1</v>
      </c>
      <c r="H82" s="0" t="n">
        <f aca="false">ROUND(SUMIF(Notes!$A:$A,A82,Notes!$F:$F),2)</f>
        <v>57.5</v>
      </c>
      <c r="I82" s="0" t="n">
        <f aca="false">ROUND(H82-F82,2)</f>
        <v>0</v>
      </c>
      <c r="J82" s="0" t="str">
        <f aca="false">IF(ABS(I82)&lt;=0.01,"somme DEL = total note","écart")</f>
        <v>somme DEL = total note</v>
      </c>
      <c r="K82" s="0" t="s">
        <v>282</v>
      </c>
    </row>
    <row r="83" customFormat="false" ht="15" hidden="false" customHeight="false" outlineLevel="0" collapsed="false">
      <c r="A83" s="0" t="s">
        <v>283</v>
      </c>
      <c r="B83" s="0" t="s">
        <v>236</v>
      </c>
      <c r="C83" s="0" t="s">
        <v>74</v>
      </c>
      <c r="D83" s="0" t="s">
        <v>284</v>
      </c>
      <c r="E83" s="0" t="n">
        <f aca="false">COUNTIF(Suppressions!$A:$A,A83)</f>
        <v>6</v>
      </c>
      <c r="F83" s="0" t="n">
        <f aca="false">ROUND(SUMIF(Suppressions!$A:$A,A83,Suppressions!$E:$E),2)</f>
        <v>70.8</v>
      </c>
      <c r="G83" s="0" t="n">
        <f aca="false">COUNTIF(Notes!$A:$A,A83)</f>
        <v>1</v>
      </c>
      <c r="H83" s="0" t="n">
        <f aca="false">ROUND(SUMIF(Notes!$A:$A,A83,Notes!$F:$F),2)</f>
        <v>70.8</v>
      </c>
      <c r="I83" s="0" t="n">
        <f aca="false">ROUND(H83-F83,2)</f>
        <v>0</v>
      </c>
      <c r="J83" s="0" t="str">
        <f aca="false">IF(ABS(I83)&lt;=0.01,"somme DEL = total note","écart")</f>
        <v>somme DEL = total note</v>
      </c>
      <c r="K83" s="0" t="s">
        <v>285</v>
      </c>
    </row>
    <row r="84" customFormat="false" ht="15" hidden="false" customHeight="false" outlineLevel="0" collapsed="false">
      <c r="A84" s="0" t="s">
        <v>286</v>
      </c>
      <c r="B84" s="0" t="s">
        <v>236</v>
      </c>
      <c r="C84" s="0" t="s">
        <v>74</v>
      </c>
      <c r="D84" s="0" t="s">
        <v>287</v>
      </c>
      <c r="E84" s="0" t="n">
        <f aca="false">COUNTIF(Suppressions!$A:$A,A84)</f>
        <v>4</v>
      </c>
      <c r="F84" s="0" t="n">
        <f aca="false">ROUND(SUMIF(Suppressions!$A:$A,A84,Suppressions!$E:$E),2)</f>
        <v>85</v>
      </c>
      <c r="G84" s="0" t="n">
        <f aca="false">COUNTIF(Notes!$A:$A,A84)</f>
        <v>1</v>
      </c>
      <c r="H84" s="0" t="n">
        <f aca="false">ROUND(SUMIF(Notes!$A:$A,A84,Notes!$F:$F),2)</f>
        <v>85</v>
      </c>
      <c r="I84" s="0" t="n">
        <f aca="false">ROUND(H84-F84,2)</f>
        <v>0</v>
      </c>
      <c r="J84" s="0" t="str">
        <f aca="false">IF(ABS(I84)&lt;=0.01,"somme DEL = total note","écart")</f>
        <v>somme DEL = total note</v>
      </c>
      <c r="K84" s="0" t="s">
        <v>288</v>
      </c>
    </row>
    <row r="85" customFormat="false" ht="15" hidden="false" customHeight="false" outlineLevel="0" collapsed="false">
      <c r="A85" s="0" t="s">
        <v>289</v>
      </c>
      <c r="B85" s="0" t="s">
        <v>236</v>
      </c>
      <c r="C85" s="0" t="s">
        <v>105</v>
      </c>
      <c r="D85" s="0" t="s">
        <v>290</v>
      </c>
      <c r="E85" s="0" t="n">
        <f aca="false">COUNTIF(Suppressions!$A:$A,A85)</f>
        <v>4</v>
      </c>
      <c r="F85" s="0" t="n">
        <f aca="false">ROUND(SUMIF(Suppressions!$A:$A,A85,Suppressions!$E:$E),2)</f>
        <v>38.7</v>
      </c>
      <c r="G85" s="0" t="n">
        <f aca="false">COUNTIF(Notes!$A:$A,A85)</f>
        <v>1</v>
      </c>
      <c r="H85" s="0" t="n">
        <f aca="false">ROUND(SUMIF(Notes!$A:$A,A85,Notes!$F:$F),2)</f>
        <v>38.7</v>
      </c>
      <c r="I85" s="0" t="n">
        <f aca="false">ROUND(H85-F85,2)</f>
        <v>0</v>
      </c>
      <c r="J85" s="0" t="str">
        <f aca="false">IF(ABS(I85)&lt;=0.01,"somme DEL = total note","écart")</f>
        <v>somme DEL = total note</v>
      </c>
      <c r="K85" s="0" t="s">
        <v>291</v>
      </c>
    </row>
    <row r="86" customFormat="false" ht="15" hidden="false" customHeight="false" outlineLevel="0" collapsed="false">
      <c r="A86" s="0" t="s">
        <v>292</v>
      </c>
      <c r="B86" s="0" t="s">
        <v>236</v>
      </c>
      <c r="C86" s="0" t="s">
        <v>105</v>
      </c>
      <c r="D86" s="0" t="s">
        <v>293</v>
      </c>
      <c r="E86" s="0" t="n">
        <f aca="false">COUNTIF(Suppressions!$A:$A,A86)</f>
        <v>11</v>
      </c>
      <c r="F86" s="0" t="n">
        <f aca="false">ROUND(SUMIF(Suppressions!$A:$A,A86,Suppressions!$E:$E),2)</f>
        <v>66.85</v>
      </c>
      <c r="G86" s="0" t="n">
        <f aca="false">COUNTIF(Notes!$A:$A,A86)</f>
        <v>1</v>
      </c>
      <c r="H86" s="0" t="n">
        <f aca="false">ROUND(SUMIF(Notes!$A:$A,A86,Notes!$F:$F),2)</f>
        <v>66.85</v>
      </c>
      <c r="I86" s="0" t="n">
        <f aca="false">ROUND(H86-F86,2)</f>
        <v>0</v>
      </c>
      <c r="J86" s="0" t="str">
        <f aca="false">IF(ABS(I86)&lt;=0.01,"somme DEL = total note","écart")</f>
        <v>somme DEL = total note</v>
      </c>
      <c r="K86" s="0" t="s">
        <v>294</v>
      </c>
    </row>
    <row r="87" customFormat="false" ht="15" hidden="false" customHeight="false" outlineLevel="0" collapsed="false">
      <c r="A87" s="0" t="s">
        <v>295</v>
      </c>
      <c r="B87" s="0" t="s">
        <v>236</v>
      </c>
      <c r="C87" s="0" t="s">
        <v>105</v>
      </c>
      <c r="D87" s="0" t="s">
        <v>296</v>
      </c>
      <c r="E87" s="0" t="n">
        <f aca="false">COUNTIF(Suppressions!$A:$A,A87)</f>
        <v>8</v>
      </c>
      <c r="F87" s="0" t="n">
        <f aca="false">ROUND(SUMIF(Suppressions!$A:$A,A87,Suppressions!$E:$E),2)</f>
        <v>42.35</v>
      </c>
      <c r="G87" s="0" t="n">
        <f aca="false">COUNTIF(Notes!$A:$A,A87)</f>
        <v>1</v>
      </c>
      <c r="H87" s="0" t="n">
        <f aca="false">ROUND(SUMIF(Notes!$A:$A,A87,Notes!$F:$F),2)</f>
        <v>42.35</v>
      </c>
      <c r="I87" s="0" t="n">
        <f aca="false">ROUND(H87-F87,2)</f>
        <v>0</v>
      </c>
      <c r="J87" s="0" t="str">
        <f aca="false">IF(ABS(I87)&lt;=0.01,"somme DEL = total note","écart")</f>
        <v>somme DEL = total note</v>
      </c>
      <c r="K87" s="0" t="s">
        <v>297</v>
      </c>
    </row>
    <row r="88" customFormat="false" ht="15" hidden="false" customHeight="false" outlineLevel="0" collapsed="false">
      <c r="A88" s="0" t="s">
        <v>298</v>
      </c>
      <c r="B88" s="0" t="s">
        <v>236</v>
      </c>
      <c r="C88" s="0" t="s">
        <v>105</v>
      </c>
      <c r="D88" s="0" t="s">
        <v>299</v>
      </c>
      <c r="E88" s="0" t="n">
        <f aca="false">COUNTIF(Suppressions!$A:$A,A88)</f>
        <v>7</v>
      </c>
      <c r="F88" s="0" t="n">
        <f aca="false">ROUND(SUMIF(Suppressions!$A:$A,A88,Suppressions!$E:$E),2)</f>
        <v>76.6</v>
      </c>
      <c r="G88" s="0" t="n">
        <f aca="false">COUNTIF(Notes!$A:$A,A88)</f>
        <v>1</v>
      </c>
      <c r="H88" s="0" t="n">
        <f aca="false">ROUND(SUMIF(Notes!$A:$A,A88,Notes!$F:$F),2)</f>
        <v>76.6</v>
      </c>
      <c r="I88" s="0" t="n">
        <f aca="false">ROUND(H88-F88,2)</f>
        <v>0</v>
      </c>
      <c r="J88" s="0" t="str">
        <f aca="false">IF(ABS(I88)&lt;=0.01,"somme DEL = total note","écart")</f>
        <v>somme DEL = total note</v>
      </c>
      <c r="K88" s="0" t="s">
        <v>300</v>
      </c>
    </row>
    <row r="89" customFormat="false" ht="15" hidden="false" customHeight="false" outlineLevel="0" collapsed="false">
      <c r="A89" s="0" t="s">
        <v>301</v>
      </c>
      <c r="B89" s="0" t="s">
        <v>236</v>
      </c>
      <c r="C89" s="0" t="s">
        <v>105</v>
      </c>
      <c r="D89" s="0" t="s">
        <v>302</v>
      </c>
      <c r="E89" s="0" t="n">
        <f aca="false">COUNTIF(Suppressions!$A:$A,A89)</f>
        <v>4</v>
      </c>
      <c r="F89" s="0" t="n">
        <f aca="false">ROUND(SUMIF(Suppressions!$A:$A,A89,Suppressions!$E:$E),2)</f>
        <v>42.8</v>
      </c>
      <c r="G89" s="0" t="n">
        <f aca="false">COUNTIF(Notes!$A:$A,A89)</f>
        <v>1</v>
      </c>
      <c r="H89" s="0" t="n">
        <f aca="false">ROUND(SUMIF(Notes!$A:$A,A89,Notes!$F:$F),2)</f>
        <v>42.8</v>
      </c>
      <c r="I89" s="0" t="n">
        <f aca="false">ROUND(H89-F89,2)</f>
        <v>0</v>
      </c>
      <c r="J89" s="0" t="str">
        <f aca="false">IF(ABS(I89)&lt;=0.01,"somme DEL = total note","écart")</f>
        <v>somme DEL = total note</v>
      </c>
      <c r="K89" s="0" t="s">
        <v>303</v>
      </c>
    </row>
    <row r="90" customFormat="false" ht="15" hidden="false" customHeight="false" outlineLevel="0" collapsed="false">
      <c r="A90" s="0" t="s">
        <v>304</v>
      </c>
      <c r="B90" s="0" t="s">
        <v>236</v>
      </c>
      <c r="C90" s="0" t="s">
        <v>105</v>
      </c>
      <c r="D90" s="0" t="s">
        <v>305</v>
      </c>
      <c r="E90" s="0" t="n">
        <f aca="false">COUNTIF(Suppressions!$A:$A,A90)</f>
        <v>7</v>
      </c>
      <c r="F90" s="0" t="n">
        <f aca="false">ROUND(SUMIF(Suppressions!$A:$A,A90,Suppressions!$E:$E),2)</f>
        <v>86.9</v>
      </c>
      <c r="G90" s="0" t="n">
        <f aca="false">COUNTIF(Notes!$A:$A,A90)</f>
        <v>1</v>
      </c>
      <c r="H90" s="0" t="n">
        <f aca="false">ROUND(SUMIF(Notes!$A:$A,A90,Notes!$F:$F),2)</f>
        <v>86.9</v>
      </c>
      <c r="I90" s="0" t="n">
        <f aca="false">ROUND(H90-F90,2)</f>
        <v>0</v>
      </c>
      <c r="J90" s="0" t="str">
        <f aca="false">IF(ABS(I90)&lt;=0.01,"somme DEL = total note","écart")</f>
        <v>somme DEL = total note</v>
      </c>
      <c r="K90" s="0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28.35" hidden="false" customHeight="false" outlineLevel="0" collapsed="false">
      <c r="A1" s="1" t="s">
        <v>27</v>
      </c>
      <c r="B1" s="1" t="s">
        <v>28</v>
      </c>
      <c r="C1" s="1" t="s">
        <v>30</v>
      </c>
      <c r="D1" s="1" t="s">
        <v>307</v>
      </c>
      <c r="E1" s="1" t="s">
        <v>308</v>
      </c>
      <c r="F1" s="1" t="s">
        <v>309</v>
      </c>
      <c r="G1" s="1" t="s">
        <v>310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41</v>
      </c>
      <c r="D2" s="0" t="s">
        <v>311</v>
      </c>
      <c r="E2" s="0" t="n">
        <v>4.4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41</v>
      </c>
      <c r="D3" s="0" t="s">
        <v>311</v>
      </c>
      <c r="E3" s="0" t="n">
        <v>8.4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41</v>
      </c>
      <c r="D4" s="0" t="s">
        <v>311</v>
      </c>
      <c r="E4" s="0" t="n">
        <v>17.6</v>
      </c>
    </row>
    <row r="5" customFormat="false" ht="15" hidden="false" customHeight="false" outlineLevel="0" collapsed="false">
      <c r="A5" s="0" t="s">
        <v>43</v>
      </c>
      <c r="B5" s="0" t="s">
        <v>39</v>
      </c>
      <c r="C5" s="0" t="s">
        <v>44</v>
      </c>
      <c r="D5" s="0" t="s">
        <v>312</v>
      </c>
      <c r="E5" s="0" t="n">
        <v>4.4</v>
      </c>
    </row>
    <row r="6" customFormat="false" ht="15" hidden="false" customHeight="false" outlineLevel="0" collapsed="false">
      <c r="A6" s="0" t="s">
        <v>43</v>
      </c>
      <c r="B6" s="0" t="s">
        <v>39</v>
      </c>
      <c r="C6" s="0" t="s">
        <v>44</v>
      </c>
      <c r="D6" s="0" t="s">
        <v>312</v>
      </c>
      <c r="E6" s="0" t="n">
        <v>24</v>
      </c>
    </row>
    <row r="7" customFormat="false" ht="15" hidden="false" customHeight="false" outlineLevel="0" collapsed="false">
      <c r="A7" s="0" t="s">
        <v>43</v>
      </c>
      <c r="B7" s="0" t="s">
        <v>39</v>
      </c>
      <c r="C7" s="0" t="s">
        <v>44</v>
      </c>
      <c r="D7" s="0" t="s">
        <v>312</v>
      </c>
      <c r="E7" s="0" t="n">
        <v>35.2</v>
      </c>
    </row>
    <row r="8" customFormat="false" ht="15" hidden="false" customHeight="false" outlineLevel="0" collapsed="false">
      <c r="A8" s="0" t="s">
        <v>46</v>
      </c>
      <c r="B8" s="0" t="s">
        <v>39</v>
      </c>
      <c r="C8" s="0" t="s">
        <v>47</v>
      </c>
      <c r="D8" s="0" t="s">
        <v>313</v>
      </c>
      <c r="E8" s="0" t="n">
        <v>4.4</v>
      </c>
    </row>
    <row r="9" customFormat="false" ht="15" hidden="false" customHeight="false" outlineLevel="0" collapsed="false">
      <c r="A9" s="0" t="s">
        <v>46</v>
      </c>
      <c r="B9" s="0" t="s">
        <v>39</v>
      </c>
      <c r="C9" s="0" t="s">
        <v>47</v>
      </c>
      <c r="D9" s="0" t="s">
        <v>313</v>
      </c>
      <c r="E9" s="0" t="n">
        <v>4.7</v>
      </c>
    </row>
    <row r="10" customFormat="false" ht="15" hidden="false" customHeight="false" outlineLevel="0" collapsed="false">
      <c r="A10" s="0" t="s">
        <v>46</v>
      </c>
      <c r="B10" s="0" t="s">
        <v>39</v>
      </c>
      <c r="C10" s="0" t="s">
        <v>47</v>
      </c>
      <c r="D10" s="0" t="s">
        <v>313</v>
      </c>
      <c r="E10" s="0" t="n">
        <v>5.9</v>
      </c>
    </row>
    <row r="11" customFormat="false" ht="15" hidden="false" customHeight="false" outlineLevel="0" collapsed="false">
      <c r="A11" s="0" t="s">
        <v>46</v>
      </c>
      <c r="B11" s="0" t="s">
        <v>39</v>
      </c>
      <c r="C11" s="0" t="s">
        <v>47</v>
      </c>
      <c r="D11" s="0" t="s">
        <v>313</v>
      </c>
      <c r="E11" s="0" t="n">
        <v>9.4</v>
      </c>
    </row>
    <row r="12" customFormat="false" ht="15" hidden="false" customHeight="false" outlineLevel="0" collapsed="false">
      <c r="A12" s="0" t="s">
        <v>46</v>
      </c>
      <c r="B12" s="0" t="s">
        <v>39</v>
      </c>
      <c r="C12" s="0" t="s">
        <v>47</v>
      </c>
      <c r="D12" s="0" t="s">
        <v>313</v>
      </c>
      <c r="E12" s="0" t="n">
        <v>15.9</v>
      </c>
    </row>
    <row r="13" customFormat="false" ht="15" hidden="false" customHeight="false" outlineLevel="0" collapsed="false">
      <c r="A13" s="0" t="s">
        <v>46</v>
      </c>
      <c r="B13" s="0" t="s">
        <v>39</v>
      </c>
      <c r="C13" s="0" t="s">
        <v>47</v>
      </c>
      <c r="D13" s="0" t="s">
        <v>313</v>
      </c>
      <c r="E13" s="0" t="n">
        <v>17.6</v>
      </c>
    </row>
    <row r="14" customFormat="false" ht="15" hidden="false" customHeight="false" outlineLevel="0" collapsed="false">
      <c r="A14" s="0" t="s">
        <v>46</v>
      </c>
      <c r="B14" s="0" t="s">
        <v>39</v>
      </c>
      <c r="C14" s="0" t="s">
        <v>47</v>
      </c>
      <c r="D14" s="0" t="s">
        <v>313</v>
      </c>
      <c r="E14" s="0" t="n">
        <v>19</v>
      </c>
    </row>
    <row r="15" customFormat="false" ht="15" hidden="false" customHeight="false" outlineLevel="0" collapsed="false">
      <c r="A15" s="0" t="s">
        <v>49</v>
      </c>
      <c r="B15" s="0" t="s">
        <v>39</v>
      </c>
      <c r="C15" s="0" t="s">
        <v>50</v>
      </c>
      <c r="D15" s="0" t="s">
        <v>314</v>
      </c>
      <c r="E15" s="0" t="n">
        <v>6.4</v>
      </c>
    </row>
    <row r="16" customFormat="false" ht="15" hidden="false" customHeight="false" outlineLevel="0" collapsed="false">
      <c r="A16" s="0" t="s">
        <v>49</v>
      </c>
      <c r="B16" s="0" t="s">
        <v>39</v>
      </c>
      <c r="C16" s="0" t="s">
        <v>50</v>
      </c>
      <c r="D16" s="0" t="s">
        <v>314</v>
      </c>
      <c r="E16" s="0" t="n">
        <v>6.9</v>
      </c>
    </row>
    <row r="17" customFormat="false" ht="15" hidden="false" customHeight="false" outlineLevel="0" collapsed="false">
      <c r="A17" s="0" t="s">
        <v>49</v>
      </c>
      <c r="B17" s="0" t="s">
        <v>39</v>
      </c>
      <c r="C17" s="0" t="s">
        <v>50</v>
      </c>
      <c r="D17" s="0" t="s">
        <v>314</v>
      </c>
      <c r="E17" s="0" t="n">
        <v>7.2</v>
      </c>
    </row>
    <row r="18" customFormat="false" ht="15" hidden="false" customHeight="false" outlineLevel="0" collapsed="false">
      <c r="A18" s="0" t="s">
        <v>49</v>
      </c>
      <c r="B18" s="0" t="s">
        <v>39</v>
      </c>
      <c r="C18" s="0" t="s">
        <v>50</v>
      </c>
      <c r="D18" s="0" t="s">
        <v>314</v>
      </c>
      <c r="E18" s="0" t="n">
        <v>17.6</v>
      </c>
    </row>
    <row r="19" customFormat="false" ht="15" hidden="false" customHeight="false" outlineLevel="0" collapsed="false">
      <c r="A19" s="0" t="s">
        <v>49</v>
      </c>
      <c r="B19" s="0" t="s">
        <v>39</v>
      </c>
      <c r="C19" s="0" t="s">
        <v>50</v>
      </c>
      <c r="D19" s="0" t="s">
        <v>314</v>
      </c>
      <c r="E19" s="0" t="n">
        <v>19</v>
      </c>
    </row>
    <row r="20" customFormat="false" ht="15" hidden="false" customHeight="false" outlineLevel="0" collapsed="false">
      <c r="A20" s="0" t="s">
        <v>52</v>
      </c>
      <c r="B20" s="0" t="s">
        <v>39</v>
      </c>
      <c r="C20" s="0" t="s">
        <v>53</v>
      </c>
      <c r="D20" s="0" t="s">
        <v>315</v>
      </c>
      <c r="E20" s="0" t="n">
        <v>3.9</v>
      </c>
    </row>
    <row r="21" customFormat="false" ht="15" hidden="false" customHeight="false" outlineLevel="0" collapsed="false">
      <c r="A21" s="0" t="s">
        <v>52</v>
      </c>
      <c r="B21" s="0" t="s">
        <v>39</v>
      </c>
      <c r="C21" s="0" t="s">
        <v>53</v>
      </c>
      <c r="D21" s="0" t="s">
        <v>315</v>
      </c>
      <c r="E21" s="0" t="n">
        <v>6.5</v>
      </c>
    </row>
    <row r="22" customFormat="false" ht="15" hidden="false" customHeight="false" outlineLevel="0" collapsed="false">
      <c r="A22" s="0" t="s">
        <v>52</v>
      </c>
      <c r="B22" s="0" t="s">
        <v>39</v>
      </c>
      <c r="C22" s="0" t="s">
        <v>53</v>
      </c>
      <c r="D22" s="0" t="s">
        <v>315</v>
      </c>
      <c r="E22" s="0" t="n">
        <v>17.6</v>
      </c>
    </row>
    <row r="23" customFormat="false" ht="15" hidden="false" customHeight="false" outlineLevel="0" collapsed="false">
      <c r="A23" s="0" t="s">
        <v>52</v>
      </c>
      <c r="B23" s="0" t="s">
        <v>39</v>
      </c>
      <c r="C23" s="0" t="s">
        <v>53</v>
      </c>
      <c r="D23" s="0" t="s">
        <v>315</v>
      </c>
      <c r="E23" s="0" t="n">
        <v>17.6</v>
      </c>
    </row>
    <row r="24" customFormat="false" ht="15" hidden="false" customHeight="false" outlineLevel="0" collapsed="false">
      <c r="A24" s="0" t="s">
        <v>55</v>
      </c>
      <c r="B24" s="0" t="s">
        <v>39</v>
      </c>
      <c r="C24" s="0" t="s">
        <v>56</v>
      </c>
      <c r="D24" s="0" t="s">
        <v>316</v>
      </c>
      <c r="E24" s="0" t="n">
        <v>3.9</v>
      </c>
    </row>
    <row r="25" customFormat="false" ht="15" hidden="false" customHeight="false" outlineLevel="0" collapsed="false">
      <c r="A25" s="0" t="s">
        <v>55</v>
      </c>
      <c r="B25" s="0" t="s">
        <v>39</v>
      </c>
      <c r="C25" s="0" t="s">
        <v>56</v>
      </c>
      <c r="D25" s="0" t="s">
        <v>316</v>
      </c>
      <c r="E25" s="0" t="n">
        <v>4.9</v>
      </c>
    </row>
    <row r="26" customFormat="false" ht="15" hidden="false" customHeight="false" outlineLevel="0" collapsed="false">
      <c r="A26" s="0" t="s">
        <v>55</v>
      </c>
      <c r="B26" s="0" t="s">
        <v>39</v>
      </c>
      <c r="C26" s="0" t="s">
        <v>56</v>
      </c>
      <c r="D26" s="0" t="s">
        <v>316</v>
      </c>
      <c r="E26" s="0" t="n">
        <v>6.9</v>
      </c>
    </row>
    <row r="27" customFormat="false" ht="15" hidden="false" customHeight="false" outlineLevel="0" collapsed="false">
      <c r="A27" s="0" t="s">
        <v>55</v>
      </c>
      <c r="B27" s="0" t="s">
        <v>39</v>
      </c>
      <c r="C27" s="0" t="s">
        <v>56</v>
      </c>
      <c r="D27" s="0" t="s">
        <v>316</v>
      </c>
      <c r="E27" s="0" t="n">
        <v>7.2</v>
      </c>
    </row>
    <row r="28" customFormat="false" ht="15" hidden="false" customHeight="false" outlineLevel="0" collapsed="false">
      <c r="A28" s="0" t="s">
        <v>55</v>
      </c>
      <c r="B28" s="0" t="s">
        <v>39</v>
      </c>
      <c r="C28" s="0" t="s">
        <v>56</v>
      </c>
      <c r="D28" s="0" t="s">
        <v>316</v>
      </c>
      <c r="E28" s="0" t="n">
        <v>7.2</v>
      </c>
    </row>
    <row r="29" customFormat="false" ht="15" hidden="false" customHeight="false" outlineLevel="0" collapsed="false">
      <c r="A29" s="0" t="s">
        <v>55</v>
      </c>
      <c r="B29" s="0" t="s">
        <v>39</v>
      </c>
      <c r="C29" s="0" t="s">
        <v>56</v>
      </c>
      <c r="D29" s="0" t="s">
        <v>316</v>
      </c>
      <c r="E29" s="0" t="n">
        <v>19</v>
      </c>
    </row>
    <row r="30" customFormat="false" ht="15" hidden="false" customHeight="false" outlineLevel="0" collapsed="false">
      <c r="A30" s="0" t="s">
        <v>55</v>
      </c>
      <c r="B30" s="0" t="s">
        <v>39</v>
      </c>
      <c r="C30" s="0" t="s">
        <v>56</v>
      </c>
      <c r="D30" s="0" t="s">
        <v>316</v>
      </c>
      <c r="E30" s="0" t="n">
        <v>27.8</v>
      </c>
    </row>
    <row r="31" customFormat="false" ht="15" hidden="false" customHeight="false" outlineLevel="0" collapsed="false">
      <c r="A31" s="0" t="s">
        <v>58</v>
      </c>
      <c r="B31" s="0" t="s">
        <v>39</v>
      </c>
      <c r="C31" s="0" t="s">
        <v>59</v>
      </c>
      <c r="D31" s="0" t="s">
        <v>317</v>
      </c>
      <c r="E31" s="0" t="n">
        <v>5.2</v>
      </c>
    </row>
    <row r="32" customFormat="false" ht="15" hidden="false" customHeight="false" outlineLevel="0" collapsed="false">
      <c r="A32" s="0" t="s">
        <v>58</v>
      </c>
      <c r="B32" s="0" t="s">
        <v>39</v>
      </c>
      <c r="C32" s="0" t="s">
        <v>59</v>
      </c>
      <c r="D32" s="0" t="s">
        <v>317</v>
      </c>
      <c r="E32" s="0" t="n">
        <v>15.9</v>
      </c>
    </row>
    <row r="33" customFormat="false" ht="15" hidden="false" customHeight="false" outlineLevel="0" collapsed="false">
      <c r="A33" s="0" t="s">
        <v>61</v>
      </c>
      <c r="B33" s="0" t="s">
        <v>39</v>
      </c>
      <c r="C33" s="0" t="s">
        <v>62</v>
      </c>
      <c r="D33" s="0" t="s">
        <v>318</v>
      </c>
      <c r="E33" s="0" t="n">
        <v>4.4</v>
      </c>
    </row>
    <row r="34" customFormat="false" ht="15" hidden="false" customHeight="false" outlineLevel="0" collapsed="false">
      <c r="A34" s="0" t="s">
        <v>61</v>
      </c>
      <c r="B34" s="0" t="s">
        <v>39</v>
      </c>
      <c r="C34" s="0" t="s">
        <v>62</v>
      </c>
      <c r="D34" s="0" t="s">
        <v>318</v>
      </c>
      <c r="E34" s="0" t="n">
        <v>7.8</v>
      </c>
    </row>
    <row r="35" customFormat="false" ht="15" hidden="false" customHeight="false" outlineLevel="0" collapsed="false">
      <c r="A35" s="0" t="s">
        <v>61</v>
      </c>
      <c r="B35" s="0" t="s">
        <v>39</v>
      </c>
      <c r="C35" s="0" t="s">
        <v>62</v>
      </c>
      <c r="D35" s="0" t="s">
        <v>318</v>
      </c>
      <c r="E35" s="0" t="n">
        <v>16.9</v>
      </c>
    </row>
    <row r="36" customFormat="false" ht="15" hidden="false" customHeight="false" outlineLevel="0" collapsed="false">
      <c r="A36" s="0" t="s">
        <v>61</v>
      </c>
      <c r="B36" s="0" t="s">
        <v>39</v>
      </c>
      <c r="C36" s="0" t="s">
        <v>62</v>
      </c>
      <c r="D36" s="0" t="s">
        <v>318</v>
      </c>
      <c r="E36" s="0" t="n">
        <v>18.6</v>
      </c>
    </row>
    <row r="37" customFormat="false" ht="15" hidden="false" customHeight="false" outlineLevel="0" collapsed="false">
      <c r="A37" s="0" t="s">
        <v>64</v>
      </c>
      <c r="B37" s="0" t="s">
        <v>39</v>
      </c>
      <c r="C37" s="0" t="s">
        <v>65</v>
      </c>
      <c r="D37" s="0" t="s">
        <v>319</v>
      </c>
      <c r="E37" s="0" t="n">
        <v>3.9</v>
      </c>
    </row>
    <row r="38" customFormat="false" ht="15" hidden="false" customHeight="false" outlineLevel="0" collapsed="false">
      <c r="A38" s="0" t="s">
        <v>64</v>
      </c>
      <c r="B38" s="0" t="s">
        <v>39</v>
      </c>
      <c r="C38" s="0" t="s">
        <v>65</v>
      </c>
      <c r="D38" s="0" t="s">
        <v>319</v>
      </c>
      <c r="E38" s="0" t="n">
        <v>4</v>
      </c>
    </row>
    <row r="39" customFormat="false" ht="15" hidden="false" customHeight="false" outlineLevel="0" collapsed="false">
      <c r="A39" s="0" t="s">
        <v>64</v>
      </c>
      <c r="B39" s="0" t="s">
        <v>39</v>
      </c>
      <c r="C39" s="0" t="s">
        <v>65</v>
      </c>
      <c r="D39" s="0" t="s">
        <v>319</v>
      </c>
      <c r="E39" s="0" t="n">
        <v>8</v>
      </c>
    </row>
    <row r="40" customFormat="false" ht="15" hidden="false" customHeight="false" outlineLevel="0" collapsed="false">
      <c r="A40" s="0" t="s">
        <v>64</v>
      </c>
      <c r="B40" s="0" t="s">
        <v>39</v>
      </c>
      <c r="C40" s="0" t="s">
        <v>65</v>
      </c>
      <c r="D40" s="0" t="s">
        <v>319</v>
      </c>
      <c r="E40" s="0" t="n">
        <v>18.6</v>
      </c>
    </row>
    <row r="41" customFormat="false" ht="15" hidden="false" customHeight="false" outlineLevel="0" collapsed="false">
      <c r="A41" s="0" t="s">
        <v>64</v>
      </c>
      <c r="B41" s="0" t="s">
        <v>39</v>
      </c>
      <c r="C41" s="0" t="s">
        <v>65</v>
      </c>
      <c r="D41" s="0" t="s">
        <v>319</v>
      </c>
      <c r="E41" s="0" t="n">
        <v>19</v>
      </c>
    </row>
    <row r="42" customFormat="false" ht="15" hidden="false" customHeight="false" outlineLevel="0" collapsed="false">
      <c r="A42" s="0" t="s">
        <v>67</v>
      </c>
      <c r="B42" s="0" t="s">
        <v>39</v>
      </c>
      <c r="C42" s="0" t="s">
        <v>68</v>
      </c>
      <c r="D42" s="0" t="s">
        <v>320</v>
      </c>
      <c r="E42" s="0" t="n">
        <v>4.4</v>
      </c>
    </row>
    <row r="43" customFormat="false" ht="15" hidden="false" customHeight="false" outlineLevel="0" collapsed="false">
      <c r="A43" s="0" t="s">
        <v>67</v>
      </c>
      <c r="B43" s="0" t="s">
        <v>39</v>
      </c>
      <c r="C43" s="0" t="s">
        <v>68</v>
      </c>
      <c r="D43" s="0" t="s">
        <v>320</v>
      </c>
      <c r="E43" s="0" t="n">
        <v>16.9</v>
      </c>
    </row>
    <row r="44" customFormat="false" ht="15" hidden="false" customHeight="false" outlineLevel="0" collapsed="false">
      <c r="A44" s="0" t="s">
        <v>67</v>
      </c>
      <c r="B44" s="0" t="s">
        <v>39</v>
      </c>
      <c r="C44" s="0" t="s">
        <v>68</v>
      </c>
      <c r="D44" s="0" t="s">
        <v>320</v>
      </c>
      <c r="E44" s="0" t="n">
        <v>18.4</v>
      </c>
    </row>
    <row r="45" customFormat="false" ht="15" hidden="false" customHeight="false" outlineLevel="0" collapsed="false">
      <c r="A45" s="0" t="s">
        <v>67</v>
      </c>
      <c r="B45" s="0" t="s">
        <v>39</v>
      </c>
      <c r="C45" s="0" t="s">
        <v>68</v>
      </c>
      <c r="D45" s="0" t="s">
        <v>320</v>
      </c>
      <c r="E45" s="0" t="n">
        <v>25</v>
      </c>
    </row>
    <row r="46" customFormat="false" ht="15" hidden="false" customHeight="false" outlineLevel="0" collapsed="false">
      <c r="A46" s="0" t="s">
        <v>70</v>
      </c>
      <c r="B46" s="0" t="s">
        <v>39</v>
      </c>
      <c r="C46" s="0" t="s">
        <v>71</v>
      </c>
      <c r="D46" s="0" t="s">
        <v>321</v>
      </c>
      <c r="E46" s="0" t="n">
        <v>2.2</v>
      </c>
    </row>
    <row r="47" customFormat="false" ht="15" hidden="false" customHeight="false" outlineLevel="0" collapsed="false">
      <c r="A47" s="0" t="s">
        <v>70</v>
      </c>
      <c r="B47" s="0" t="s">
        <v>39</v>
      </c>
      <c r="C47" s="0" t="s">
        <v>71</v>
      </c>
      <c r="D47" s="0" t="s">
        <v>321</v>
      </c>
      <c r="E47" s="0" t="n">
        <v>5.2</v>
      </c>
    </row>
    <row r="48" customFormat="false" ht="15" hidden="false" customHeight="false" outlineLevel="0" collapsed="false">
      <c r="A48" s="0" t="s">
        <v>70</v>
      </c>
      <c r="B48" s="0" t="s">
        <v>39</v>
      </c>
      <c r="C48" s="0" t="s">
        <v>71</v>
      </c>
      <c r="D48" s="0" t="s">
        <v>321</v>
      </c>
      <c r="E48" s="0" t="n">
        <v>6.9</v>
      </c>
    </row>
    <row r="49" customFormat="false" ht="15" hidden="false" customHeight="false" outlineLevel="0" collapsed="false">
      <c r="A49" s="0" t="s">
        <v>70</v>
      </c>
      <c r="B49" s="0" t="s">
        <v>39</v>
      </c>
      <c r="C49" s="0" t="s">
        <v>71</v>
      </c>
      <c r="D49" s="0" t="s">
        <v>321</v>
      </c>
      <c r="E49" s="0" t="n">
        <v>8.5</v>
      </c>
    </row>
    <row r="50" customFormat="false" ht="15" hidden="false" customHeight="false" outlineLevel="0" collapsed="false">
      <c r="A50" s="0" t="s">
        <v>70</v>
      </c>
      <c r="B50" s="0" t="s">
        <v>39</v>
      </c>
      <c r="C50" s="0" t="s">
        <v>71</v>
      </c>
      <c r="D50" s="0" t="s">
        <v>321</v>
      </c>
      <c r="E50" s="0" t="n">
        <v>8.7</v>
      </c>
    </row>
    <row r="51" customFormat="false" ht="15" hidden="false" customHeight="false" outlineLevel="0" collapsed="false">
      <c r="A51" s="0" t="s">
        <v>70</v>
      </c>
      <c r="B51" s="0" t="s">
        <v>39</v>
      </c>
      <c r="C51" s="0" t="s">
        <v>71</v>
      </c>
      <c r="D51" s="0" t="s">
        <v>321</v>
      </c>
      <c r="E51" s="0" t="n">
        <v>10.4</v>
      </c>
    </row>
    <row r="52" customFormat="false" ht="15" hidden="false" customHeight="false" outlineLevel="0" collapsed="false">
      <c r="A52" s="0" t="s">
        <v>70</v>
      </c>
      <c r="B52" s="0" t="s">
        <v>39</v>
      </c>
      <c r="C52" s="0" t="s">
        <v>71</v>
      </c>
      <c r="D52" s="0" t="s">
        <v>321</v>
      </c>
      <c r="E52" s="0" t="n">
        <v>11.8</v>
      </c>
    </row>
    <row r="53" customFormat="false" ht="15" hidden="false" customHeight="false" outlineLevel="0" collapsed="false">
      <c r="A53" s="0" t="s">
        <v>70</v>
      </c>
      <c r="B53" s="0" t="s">
        <v>39</v>
      </c>
      <c r="C53" s="0" t="s">
        <v>71</v>
      </c>
      <c r="D53" s="0" t="s">
        <v>321</v>
      </c>
      <c r="E53" s="0" t="n">
        <v>14.4</v>
      </c>
    </row>
    <row r="54" customFormat="false" ht="15" hidden="false" customHeight="false" outlineLevel="0" collapsed="false">
      <c r="A54" s="0" t="s">
        <v>70</v>
      </c>
      <c r="B54" s="0" t="s">
        <v>39</v>
      </c>
      <c r="C54" s="0" t="s">
        <v>71</v>
      </c>
      <c r="D54" s="0" t="s">
        <v>321</v>
      </c>
      <c r="E54" s="0" t="n">
        <v>18.6</v>
      </c>
    </row>
    <row r="55" customFormat="false" ht="15" hidden="false" customHeight="false" outlineLevel="0" collapsed="false">
      <c r="A55" s="0" t="s">
        <v>70</v>
      </c>
      <c r="B55" s="0" t="s">
        <v>39</v>
      </c>
      <c r="C55" s="0" t="s">
        <v>71</v>
      </c>
      <c r="D55" s="0" t="s">
        <v>321</v>
      </c>
      <c r="E55" s="0" t="n">
        <v>24</v>
      </c>
    </row>
    <row r="56" customFormat="false" ht="15" hidden="false" customHeight="false" outlineLevel="0" collapsed="false">
      <c r="A56" s="0" t="s">
        <v>70</v>
      </c>
      <c r="B56" s="0" t="s">
        <v>39</v>
      </c>
      <c r="C56" s="0" t="s">
        <v>71</v>
      </c>
      <c r="D56" s="0" t="s">
        <v>321</v>
      </c>
      <c r="E56" s="0" t="n">
        <v>28</v>
      </c>
    </row>
    <row r="57" customFormat="false" ht="15" hidden="false" customHeight="false" outlineLevel="0" collapsed="false">
      <c r="A57" s="0" t="s">
        <v>70</v>
      </c>
      <c r="B57" s="0" t="s">
        <v>39</v>
      </c>
      <c r="C57" s="0" t="s">
        <v>71</v>
      </c>
      <c r="D57" s="0" t="s">
        <v>321</v>
      </c>
      <c r="E57" s="0" t="n">
        <v>55.6</v>
      </c>
    </row>
    <row r="58" customFormat="false" ht="15" hidden="false" customHeight="false" outlineLevel="0" collapsed="false">
      <c r="A58" s="0" t="s">
        <v>73</v>
      </c>
      <c r="B58" s="0" t="s">
        <v>39</v>
      </c>
      <c r="C58" s="0" t="s">
        <v>75</v>
      </c>
      <c r="D58" s="0" t="s">
        <v>322</v>
      </c>
      <c r="E58" s="0" t="n">
        <v>4.2</v>
      </c>
    </row>
    <row r="59" customFormat="false" ht="15" hidden="false" customHeight="false" outlineLevel="0" collapsed="false">
      <c r="A59" s="0" t="s">
        <v>73</v>
      </c>
      <c r="B59" s="0" t="s">
        <v>39</v>
      </c>
      <c r="C59" s="0" t="s">
        <v>75</v>
      </c>
      <c r="D59" s="0" t="s">
        <v>322</v>
      </c>
      <c r="E59" s="0" t="n">
        <v>8.3</v>
      </c>
    </row>
    <row r="60" customFormat="false" ht="15" hidden="false" customHeight="false" outlineLevel="0" collapsed="false">
      <c r="A60" s="0" t="s">
        <v>73</v>
      </c>
      <c r="B60" s="0" t="s">
        <v>39</v>
      </c>
      <c r="C60" s="0" t="s">
        <v>75</v>
      </c>
      <c r="D60" s="0" t="s">
        <v>322</v>
      </c>
      <c r="E60" s="0" t="n">
        <v>25.5</v>
      </c>
    </row>
    <row r="61" customFormat="false" ht="15" hidden="false" customHeight="false" outlineLevel="0" collapsed="false">
      <c r="A61" s="0" t="s">
        <v>77</v>
      </c>
      <c r="B61" s="0" t="s">
        <v>39</v>
      </c>
      <c r="C61" s="0" t="s">
        <v>78</v>
      </c>
      <c r="D61" s="0" t="s">
        <v>323</v>
      </c>
      <c r="E61" s="0" t="n">
        <v>2.2</v>
      </c>
    </row>
    <row r="62" customFormat="false" ht="15" hidden="false" customHeight="false" outlineLevel="0" collapsed="false">
      <c r="A62" s="0" t="s">
        <v>77</v>
      </c>
      <c r="B62" s="0" t="s">
        <v>39</v>
      </c>
      <c r="C62" s="0" t="s">
        <v>78</v>
      </c>
      <c r="D62" s="0" t="s">
        <v>323</v>
      </c>
      <c r="E62" s="0" t="n">
        <v>4</v>
      </c>
    </row>
    <row r="63" customFormat="false" ht="15" hidden="false" customHeight="false" outlineLevel="0" collapsed="false">
      <c r="A63" s="0" t="s">
        <v>77</v>
      </c>
      <c r="B63" s="0" t="s">
        <v>39</v>
      </c>
      <c r="C63" s="0" t="s">
        <v>78</v>
      </c>
      <c r="D63" s="0" t="s">
        <v>323</v>
      </c>
      <c r="E63" s="0" t="n">
        <v>12.5</v>
      </c>
    </row>
    <row r="64" customFormat="false" ht="15" hidden="false" customHeight="false" outlineLevel="0" collapsed="false">
      <c r="A64" s="0" t="s">
        <v>80</v>
      </c>
      <c r="B64" s="0" t="s">
        <v>39</v>
      </c>
      <c r="C64" s="0" t="s">
        <v>81</v>
      </c>
      <c r="D64" s="0" t="s">
        <v>324</v>
      </c>
      <c r="E64" s="0" t="n">
        <v>8.3</v>
      </c>
    </row>
    <row r="65" customFormat="false" ht="15" hidden="false" customHeight="false" outlineLevel="0" collapsed="false">
      <c r="A65" s="0" t="s">
        <v>80</v>
      </c>
      <c r="B65" s="0" t="s">
        <v>39</v>
      </c>
      <c r="C65" s="0" t="s">
        <v>81</v>
      </c>
      <c r="D65" s="0" t="s">
        <v>324</v>
      </c>
      <c r="E65" s="0" t="n">
        <v>18.6</v>
      </c>
    </row>
    <row r="66" customFormat="false" ht="15" hidden="false" customHeight="false" outlineLevel="0" collapsed="false">
      <c r="A66" s="0" t="s">
        <v>83</v>
      </c>
      <c r="B66" s="0" t="s">
        <v>39</v>
      </c>
      <c r="C66" s="0" t="s">
        <v>84</v>
      </c>
      <c r="D66" s="0" t="s">
        <v>325</v>
      </c>
      <c r="E66" s="0" t="n">
        <v>2.5</v>
      </c>
    </row>
    <row r="67" customFormat="false" ht="15" hidden="false" customHeight="false" outlineLevel="0" collapsed="false">
      <c r="A67" s="0" t="s">
        <v>83</v>
      </c>
      <c r="B67" s="0" t="s">
        <v>39</v>
      </c>
      <c r="C67" s="0" t="s">
        <v>84</v>
      </c>
      <c r="D67" s="0" t="s">
        <v>325</v>
      </c>
      <c r="E67" s="0" t="n">
        <v>4.8</v>
      </c>
    </row>
    <row r="68" customFormat="false" ht="15" hidden="false" customHeight="false" outlineLevel="0" collapsed="false">
      <c r="A68" s="0" t="s">
        <v>83</v>
      </c>
      <c r="B68" s="0" t="s">
        <v>39</v>
      </c>
      <c r="C68" s="0" t="s">
        <v>84</v>
      </c>
      <c r="D68" s="0" t="s">
        <v>325</v>
      </c>
      <c r="E68" s="0" t="n">
        <v>5.9</v>
      </c>
    </row>
    <row r="69" customFormat="false" ht="15" hidden="false" customHeight="false" outlineLevel="0" collapsed="false">
      <c r="A69" s="0" t="s">
        <v>83</v>
      </c>
      <c r="B69" s="0" t="s">
        <v>39</v>
      </c>
      <c r="C69" s="0" t="s">
        <v>84</v>
      </c>
      <c r="D69" s="0" t="s">
        <v>325</v>
      </c>
      <c r="E69" s="0" t="n">
        <v>5.9</v>
      </c>
    </row>
    <row r="70" customFormat="false" ht="15" hidden="false" customHeight="false" outlineLevel="0" collapsed="false">
      <c r="A70" s="0" t="s">
        <v>83</v>
      </c>
      <c r="B70" s="0" t="s">
        <v>39</v>
      </c>
      <c r="C70" s="0" t="s">
        <v>84</v>
      </c>
      <c r="D70" s="0" t="s">
        <v>325</v>
      </c>
      <c r="E70" s="0" t="n">
        <v>6.9</v>
      </c>
    </row>
    <row r="71" customFormat="false" ht="15" hidden="false" customHeight="false" outlineLevel="0" collapsed="false">
      <c r="A71" s="0" t="s">
        <v>83</v>
      </c>
      <c r="B71" s="0" t="s">
        <v>39</v>
      </c>
      <c r="C71" s="0" t="s">
        <v>84</v>
      </c>
      <c r="D71" s="0" t="s">
        <v>325</v>
      </c>
      <c r="E71" s="0" t="n">
        <v>8.6</v>
      </c>
    </row>
    <row r="72" customFormat="false" ht="15" hidden="false" customHeight="false" outlineLevel="0" collapsed="false">
      <c r="A72" s="0" t="s">
        <v>83</v>
      </c>
      <c r="B72" s="0" t="s">
        <v>39</v>
      </c>
      <c r="C72" s="0" t="s">
        <v>84</v>
      </c>
      <c r="D72" s="0" t="s">
        <v>325</v>
      </c>
      <c r="E72" s="0" t="n">
        <v>17.4</v>
      </c>
    </row>
    <row r="73" customFormat="false" ht="15" hidden="false" customHeight="false" outlineLevel="0" collapsed="false">
      <c r="A73" s="0" t="s">
        <v>83</v>
      </c>
      <c r="B73" s="0" t="s">
        <v>39</v>
      </c>
      <c r="C73" s="0" t="s">
        <v>84</v>
      </c>
      <c r="D73" s="0" t="s">
        <v>325</v>
      </c>
      <c r="E73" s="0" t="n">
        <v>19.6</v>
      </c>
    </row>
    <row r="74" customFormat="false" ht="15" hidden="false" customHeight="false" outlineLevel="0" collapsed="false">
      <c r="A74" s="0" t="s">
        <v>86</v>
      </c>
      <c r="B74" s="0" t="s">
        <v>39</v>
      </c>
      <c r="C74" s="0" t="s">
        <v>87</v>
      </c>
      <c r="D74" s="0" t="s">
        <v>326</v>
      </c>
      <c r="E74" s="0" t="n">
        <v>7</v>
      </c>
    </row>
    <row r="75" customFormat="false" ht="15" hidden="false" customHeight="false" outlineLevel="0" collapsed="false">
      <c r="A75" s="0" t="s">
        <v>86</v>
      </c>
      <c r="B75" s="0" t="s">
        <v>39</v>
      </c>
      <c r="C75" s="0" t="s">
        <v>87</v>
      </c>
      <c r="D75" s="0" t="s">
        <v>326</v>
      </c>
      <c r="E75" s="0" t="n">
        <v>7.3</v>
      </c>
    </row>
    <row r="76" customFormat="false" ht="15" hidden="false" customHeight="false" outlineLevel="0" collapsed="false">
      <c r="A76" s="0" t="s">
        <v>86</v>
      </c>
      <c r="B76" s="0" t="s">
        <v>39</v>
      </c>
      <c r="C76" s="0" t="s">
        <v>87</v>
      </c>
      <c r="D76" s="0" t="s">
        <v>326</v>
      </c>
      <c r="E76" s="0" t="n">
        <v>9.1</v>
      </c>
    </row>
    <row r="77" customFormat="false" ht="15" hidden="false" customHeight="false" outlineLevel="0" collapsed="false">
      <c r="A77" s="0" t="s">
        <v>86</v>
      </c>
      <c r="B77" s="0" t="s">
        <v>39</v>
      </c>
      <c r="C77" s="0" t="s">
        <v>87</v>
      </c>
      <c r="D77" s="0" t="s">
        <v>326</v>
      </c>
      <c r="E77" s="0" t="n">
        <v>18.6</v>
      </c>
    </row>
    <row r="78" customFormat="false" ht="15" hidden="false" customHeight="false" outlineLevel="0" collapsed="false">
      <c r="A78" s="0" t="s">
        <v>86</v>
      </c>
      <c r="B78" s="0" t="s">
        <v>39</v>
      </c>
      <c r="C78" s="0" t="s">
        <v>87</v>
      </c>
      <c r="D78" s="0" t="s">
        <v>326</v>
      </c>
      <c r="E78" s="0" t="n">
        <v>18.6</v>
      </c>
    </row>
    <row r="79" customFormat="false" ht="15" hidden="false" customHeight="false" outlineLevel="0" collapsed="false">
      <c r="A79" s="0" t="s">
        <v>89</v>
      </c>
      <c r="B79" s="0" t="s">
        <v>39</v>
      </c>
      <c r="C79" s="0" t="s">
        <v>90</v>
      </c>
      <c r="D79" s="0" t="s">
        <v>327</v>
      </c>
      <c r="E79" s="0" t="n">
        <v>4</v>
      </c>
    </row>
    <row r="80" customFormat="false" ht="15" hidden="false" customHeight="false" outlineLevel="0" collapsed="false">
      <c r="A80" s="0" t="s">
        <v>89</v>
      </c>
      <c r="B80" s="0" t="s">
        <v>39</v>
      </c>
      <c r="C80" s="0" t="s">
        <v>90</v>
      </c>
      <c r="D80" s="0" t="s">
        <v>327</v>
      </c>
      <c r="E80" s="0" t="n">
        <v>5.2</v>
      </c>
    </row>
    <row r="81" customFormat="false" ht="15" hidden="false" customHeight="false" outlineLevel="0" collapsed="false">
      <c r="A81" s="0" t="s">
        <v>89</v>
      </c>
      <c r="B81" s="0" t="s">
        <v>39</v>
      </c>
      <c r="C81" s="0" t="s">
        <v>90</v>
      </c>
      <c r="D81" s="0" t="s">
        <v>327</v>
      </c>
      <c r="E81" s="0" t="n">
        <v>5.9</v>
      </c>
    </row>
    <row r="82" customFormat="false" ht="15" hidden="false" customHeight="false" outlineLevel="0" collapsed="false">
      <c r="A82" s="0" t="s">
        <v>89</v>
      </c>
      <c r="B82" s="0" t="s">
        <v>39</v>
      </c>
      <c r="C82" s="0" t="s">
        <v>90</v>
      </c>
      <c r="D82" s="0" t="s">
        <v>327</v>
      </c>
      <c r="E82" s="0" t="n">
        <v>16.9</v>
      </c>
    </row>
    <row r="83" customFormat="false" ht="15" hidden="false" customHeight="false" outlineLevel="0" collapsed="false">
      <c r="A83" s="0" t="s">
        <v>89</v>
      </c>
      <c r="B83" s="0" t="s">
        <v>39</v>
      </c>
      <c r="C83" s="0" t="s">
        <v>90</v>
      </c>
      <c r="D83" s="0" t="s">
        <v>327</v>
      </c>
      <c r="E83" s="0" t="n">
        <v>24</v>
      </c>
    </row>
    <row r="84" customFormat="false" ht="15" hidden="false" customHeight="false" outlineLevel="0" collapsed="false">
      <c r="A84" s="0" t="s">
        <v>89</v>
      </c>
      <c r="B84" s="0" t="s">
        <v>39</v>
      </c>
      <c r="C84" s="0" t="s">
        <v>90</v>
      </c>
      <c r="D84" s="0" t="s">
        <v>327</v>
      </c>
      <c r="E84" s="0" t="n">
        <v>27.8</v>
      </c>
    </row>
    <row r="85" customFormat="false" ht="15" hidden="false" customHeight="false" outlineLevel="0" collapsed="false">
      <c r="A85" s="0" t="s">
        <v>89</v>
      </c>
      <c r="B85" s="0" t="s">
        <v>39</v>
      </c>
      <c r="C85" s="0" t="s">
        <v>90</v>
      </c>
      <c r="D85" s="0" t="s">
        <v>327</v>
      </c>
      <c r="E85" s="0" t="n">
        <v>45</v>
      </c>
    </row>
    <row r="86" customFormat="false" ht="15" hidden="false" customHeight="false" outlineLevel="0" collapsed="false">
      <c r="A86" s="0" t="s">
        <v>92</v>
      </c>
      <c r="B86" s="0" t="s">
        <v>39</v>
      </c>
      <c r="C86" s="0" t="s">
        <v>93</v>
      </c>
      <c r="D86" s="0" t="s">
        <v>328</v>
      </c>
      <c r="E86" s="0" t="n">
        <v>2.2</v>
      </c>
    </row>
    <row r="87" customFormat="false" ht="15" hidden="false" customHeight="false" outlineLevel="0" collapsed="false">
      <c r="A87" s="0" t="s">
        <v>92</v>
      </c>
      <c r="B87" s="0" t="s">
        <v>39</v>
      </c>
      <c r="C87" s="0" t="s">
        <v>93</v>
      </c>
      <c r="D87" s="0" t="s">
        <v>328</v>
      </c>
      <c r="E87" s="0" t="n">
        <v>2.2</v>
      </c>
    </row>
    <row r="88" customFormat="false" ht="15" hidden="false" customHeight="false" outlineLevel="0" collapsed="false">
      <c r="A88" s="0" t="s">
        <v>92</v>
      </c>
      <c r="B88" s="0" t="s">
        <v>39</v>
      </c>
      <c r="C88" s="0" t="s">
        <v>93</v>
      </c>
      <c r="D88" s="0" t="s">
        <v>328</v>
      </c>
      <c r="E88" s="0" t="n">
        <v>3.5</v>
      </c>
    </row>
    <row r="89" customFormat="false" ht="15" hidden="false" customHeight="false" outlineLevel="0" collapsed="false">
      <c r="A89" s="0" t="s">
        <v>92</v>
      </c>
      <c r="B89" s="0" t="s">
        <v>39</v>
      </c>
      <c r="C89" s="0" t="s">
        <v>93</v>
      </c>
      <c r="D89" s="0" t="s">
        <v>328</v>
      </c>
      <c r="E89" s="0" t="n">
        <v>4</v>
      </c>
    </row>
    <row r="90" customFormat="false" ht="15" hidden="false" customHeight="false" outlineLevel="0" collapsed="false">
      <c r="A90" s="0" t="s">
        <v>92</v>
      </c>
      <c r="B90" s="0" t="s">
        <v>39</v>
      </c>
      <c r="C90" s="0" t="s">
        <v>93</v>
      </c>
      <c r="D90" s="0" t="s">
        <v>328</v>
      </c>
      <c r="E90" s="0" t="n">
        <v>4.8</v>
      </c>
    </row>
    <row r="91" customFormat="false" ht="15" hidden="false" customHeight="false" outlineLevel="0" collapsed="false">
      <c r="A91" s="0" t="s">
        <v>92</v>
      </c>
      <c r="B91" s="0" t="s">
        <v>39</v>
      </c>
      <c r="C91" s="0" t="s">
        <v>93</v>
      </c>
      <c r="D91" s="0" t="s">
        <v>328</v>
      </c>
      <c r="E91" s="0" t="n">
        <v>6.4</v>
      </c>
    </row>
    <row r="92" customFormat="false" ht="15" hidden="false" customHeight="false" outlineLevel="0" collapsed="false">
      <c r="A92" s="0" t="s">
        <v>92</v>
      </c>
      <c r="B92" s="0" t="s">
        <v>39</v>
      </c>
      <c r="C92" s="0" t="s">
        <v>93</v>
      </c>
      <c r="D92" s="0" t="s">
        <v>328</v>
      </c>
      <c r="E92" s="0" t="n">
        <v>6.5</v>
      </c>
    </row>
    <row r="93" customFormat="false" ht="15" hidden="false" customHeight="false" outlineLevel="0" collapsed="false">
      <c r="A93" s="0" t="s">
        <v>92</v>
      </c>
      <c r="B93" s="0" t="s">
        <v>39</v>
      </c>
      <c r="C93" s="0" t="s">
        <v>93</v>
      </c>
      <c r="D93" s="0" t="s">
        <v>328</v>
      </c>
      <c r="E93" s="0" t="n">
        <v>8.9</v>
      </c>
    </row>
    <row r="94" customFormat="false" ht="15" hidden="false" customHeight="false" outlineLevel="0" collapsed="false">
      <c r="A94" s="0" t="s">
        <v>92</v>
      </c>
      <c r="B94" s="0" t="s">
        <v>39</v>
      </c>
      <c r="C94" s="0" t="s">
        <v>93</v>
      </c>
      <c r="D94" s="0" t="s">
        <v>328</v>
      </c>
      <c r="E94" s="0" t="n">
        <v>9</v>
      </c>
    </row>
    <row r="95" customFormat="false" ht="15" hidden="false" customHeight="false" outlineLevel="0" collapsed="false">
      <c r="A95" s="0" t="s">
        <v>92</v>
      </c>
      <c r="B95" s="0" t="s">
        <v>39</v>
      </c>
      <c r="C95" s="0" t="s">
        <v>93</v>
      </c>
      <c r="D95" s="0" t="s">
        <v>328</v>
      </c>
      <c r="E95" s="0" t="n">
        <v>15.6</v>
      </c>
    </row>
    <row r="96" customFormat="false" ht="15" hidden="false" customHeight="false" outlineLevel="0" collapsed="false">
      <c r="A96" s="0" t="s">
        <v>92</v>
      </c>
      <c r="B96" s="0" t="s">
        <v>39</v>
      </c>
      <c r="C96" s="0" t="s">
        <v>93</v>
      </c>
      <c r="D96" s="0" t="s">
        <v>328</v>
      </c>
      <c r="E96" s="0" t="n">
        <v>17.4</v>
      </c>
    </row>
    <row r="97" customFormat="false" ht="15" hidden="false" customHeight="false" outlineLevel="0" collapsed="false">
      <c r="A97" s="0" t="s">
        <v>92</v>
      </c>
      <c r="B97" s="0" t="s">
        <v>39</v>
      </c>
      <c r="C97" s="0" t="s">
        <v>93</v>
      </c>
      <c r="D97" s="0" t="s">
        <v>328</v>
      </c>
      <c r="E97" s="0" t="n">
        <v>128</v>
      </c>
    </row>
    <row r="98" customFormat="false" ht="15" hidden="false" customHeight="false" outlineLevel="0" collapsed="false">
      <c r="A98" s="0" t="s">
        <v>95</v>
      </c>
      <c r="B98" s="0" t="s">
        <v>39</v>
      </c>
      <c r="C98" s="0" t="s">
        <v>96</v>
      </c>
      <c r="D98" s="0" t="s">
        <v>329</v>
      </c>
      <c r="E98" s="0" t="n">
        <v>3.9</v>
      </c>
    </row>
    <row r="99" customFormat="false" ht="15" hidden="false" customHeight="false" outlineLevel="0" collapsed="false">
      <c r="A99" s="0" t="s">
        <v>95</v>
      </c>
      <c r="B99" s="0" t="s">
        <v>39</v>
      </c>
      <c r="C99" s="0" t="s">
        <v>96</v>
      </c>
      <c r="D99" s="0" t="s">
        <v>329</v>
      </c>
      <c r="E99" s="0" t="n">
        <v>4.2</v>
      </c>
    </row>
    <row r="100" customFormat="false" ht="15" hidden="false" customHeight="false" outlineLevel="0" collapsed="false">
      <c r="A100" s="0" t="s">
        <v>95</v>
      </c>
      <c r="B100" s="0" t="s">
        <v>39</v>
      </c>
      <c r="C100" s="0" t="s">
        <v>96</v>
      </c>
      <c r="D100" s="0" t="s">
        <v>329</v>
      </c>
      <c r="E100" s="0" t="n">
        <v>5.5</v>
      </c>
    </row>
    <row r="101" customFormat="false" ht="15" hidden="false" customHeight="false" outlineLevel="0" collapsed="false">
      <c r="A101" s="0" t="s">
        <v>95</v>
      </c>
      <c r="B101" s="0" t="s">
        <v>39</v>
      </c>
      <c r="C101" s="0" t="s">
        <v>96</v>
      </c>
      <c r="D101" s="0" t="s">
        <v>329</v>
      </c>
      <c r="E101" s="0" t="n">
        <v>6.9</v>
      </c>
    </row>
    <row r="102" customFormat="false" ht="15" hidden="false" customHeight="false" outlineLevel="0" collapsed="false">
      <c r="A102" s="0" t="s">
        <v>95</v>
      </c>
      <c r="B102" s="0" t="s">
        <v>39</v>
      </c>
      <c r="C102" s="0" t="s">
        <v>96</v>
      </c>
      <c r="D102" s="0" t="s">
        <v>329</v>
      </c>
      <c r="E102" s="0" t="n">
        <v>11</v>
      </c>
    </row>
    <row r="103" customFormat="false" ht="15" hidden="false" customHeight="false" outlineLevel="0" collapsed="false">
      <c r="A103" s="0" t="s">
        <v>95</v>
      </c>
      <c r="B103" s="0" t="s">
        <v>39</v>
      </c>
      <c r="C103" s="0" t="s">
        <v>96</v>
      </c>
      <c r="D103" s="0" t="s">
        <v>329</v>
      </c>
      <c r="E103" s="0" t="n">
        <v>12.6</v>
      </c>
    </row>
    <row r="104" customFormat="false" ht="15" hidden="false" customHeight="false" outlineLevel="0" collapsed="false">
      <c r="A104" s="0" t="s">
        <v>95</v>
      </c>
      <c r="B104" s="0" t="s">
        <v>39</v>
      </c>
      <c r="C104" s="0" t="s">
        <v>96</v>
      </c>
      <c r="D104" s="0" t="s">
        <v>329</v>
      </c>
      <c r="E104" s="0" t="n">
        <v>18.6</v>
      </c>
    </row>
    <row r="105" customFormat="false" ht="15" hidden="false" customHeight="false" outlineLevel="0" collapsed="false">
      <c r="A105" s="0" t="s">
        <v>95</v>
      </c>
      <c r="B105" s="0" t="s">
        <v>39</v>
      </c>
      <c r="C105" s="0" t="s">
        <v>96</v>
      </c>
      <c r="D105" s="0" t="s">
        <v>329</v>
      </c>
      <c r="E105" s="0" t="n">
        <v>19.6</v>
      </c>
    </row>
    <row r="106" customFormat="false" ht="15" hidden="false" customHeight="false" outlineLevel="0" collapsed="false">
      <c r="A106" s="0" t="s">
        <v>95</v>
      </c>
      <c r="B106" s="0" t="s">
        <v>39</v>
      </c>
      <c r="C106" s="0" t="s">
        <v>96</v>
      </c>
      <c r="D106" s="0" t="s">
        <v>329</v>
      </c>
      <c r="E106" s="0" t="n">
        <v>26.7</v>
      </c>
    </row>
    <row r="107" customFormat="false" ht="15" hidden="false" customHeight="false" outlineLevel="0" collapsed="false">
      <c r="A107" s="0" t="s">
        <v>95</v>
      </c>
      <c r="B107" s="0" t="s">
        <v>39</v>
      </c>
      <c r="C107" s="0" t="s">
        <v>96</v>
      </c>
      <c r="D107" s="0" t="s">
        <v>329</v>
      </c>
      <c r="E107" s="0" t="n">
        <v>37.2</v>
      </c>
    </row>
    <row r="108" customFormat="false" ht="15" hidden="false" customHeight="false" outlineLevel="0" collapsed="false">
      <c r="A108" s="0" t="s">
        <v>95</v>
      </c>
      <c r="B108" s="0" t="s">
        <v>39</v>
      </c>
      <c r="C108" s="0" t="s">
        <v>96</v>
      </c>
      <c r="D108" s="0" t="s">
        <v>329</v>
      </c>
      <c r="E108" s="0" t="n">
        <v>38</v>
      </c>
    </row>
    <row r="109" customFormat="false" ht="15" hidden="false" customHeight="false" outlineLevel="0" collapsed="false">
      <c r="A109" s="0" t="s">
        <v>98</v>
      </c>
      <c r="B109" s="0" t="s">
        <v>39</v>
      </c>
      <c r="C109" s="0" t="s">
        <v>99</v>
      </c>
      <c r="D109" s="0" t="s">
        <v>330</v>
      </c>
      <c r="E109" s="0" t="n">
        <v>4.2</v>
      </c>
    </row>
    <row r="110" customFormat="false" ht="15" hidden="false" customHeight="false" outlineLevel="0" collapsed="false">
      <c r="A110" s="0" t="s">
        <v>98</v>
      </c>
      <c r="B110" s="0" t="s">
        <v>39</v>
      </c>
      <c r="C110" s="0" t="s">
        <v>99</v>
      </c>
      <c r="D110" s="0" t="s">
        <v>330</v>
      </c>
      <c r="E110" s="0" t="n">
        <v>6.9</v>
      </c>
    </row>
    <row r="111" customFormat="false" ht="15" hidden="false" customHeight="false" outlineLevel="0" collapsed="false">
      <c r="A111" s="0" t="s">
        <v>98</v>
      </c>
      <c r="B111" s="0" t="s">
        <v>39</v>
      </c>
      <c r="C111" s="0" t="s">
        <v>99</v>
      </c>
      <c r="D111" s="0" t="s">
        <v>330</v>
      </c>
      <c r="E111" s="0" t="n">
        <v>18.6</v>
      </c>
    </row>
    <row r="112" customFormat="false" ht="15" hidden="false" customHeight="false" outlineLevel="0" collapsed="false">
      <c r="A112" s="0" t="s">
        <v>98</v>
      </c>
      <c r="B112" s="0" t="s">
        <v>39</v>
      </c>
      <c r="C112" s="0" t="s">
        <v>99</v>
      </c>
      <c r="D112" s="0" t="s">
        <v>330</v>
      </c>
      <c r="E112" s="0" t="n">
        <v>19</v>
      </c>
    </row>
    <row r="113" customFormat="false" ht="15" hidden="false" customHeight="false" outlineLevel="0" collapsed="false">
      <c r="A113" s="0" t="s">
        <v>101</v>
      </c>
      <c r="B113" s="0" t="s">
        <v>39</v>
      </c>
      <c r="C113" s="0" t="s">
        <v>102</v>
      </c>
      <c r="D113" s="0" t="s">
        <v>331</v>
      </c>
      <c r="E113" s="0" t="n">
        <v>3.9</v>
      </c>
    </row>
    <row r="114" customFormat="false" ht="15" hidden="false" customHeight="false" outlineLevel="0" collapsed="false">
      <c r="A114" s="0" t="s">
        <v>101</v>
      </c>
      <c r="B114" s="0" t="s">
        <v>39</v>
      </c>
      <c r="C114" s="0" t="s">
        <v>102</v>
      </c>
      <c r="D114" s="0" t="s">
        <v>331</v>
      </c>
      <c r="E114" s="0" t="n">
        <v>3.9</v>
      </c>
    </row>
    <row r="115" customFormat="false" ht="15" hidden="false" customHeight="false" outlineLevel="0" collapsed="false">
      <c r="A115" s="0" t="s">
        <v>101</v>
      </c>
      <c r="B115" s="0" t="s">
        <v>39</v>
      </c>
      <c r="C115" s="0" t="s">
        <v>102</v>
      </c>
      <c r="D115" s="0" t="s">
        <v>331</v>
      </c>
      <c r="E115" s="0" t="n">
        <v>4.4</v>
      </c>
    </row>
    <row r="116" customFormat="false" ht="15" hidden="false" customHeight="false" outlineLevel="0" collapsed="false">
      <c r="A116" s="0" t="s">
        <v>101</v>
      </c>
      <c r="B116" s="0" t="s">
        <v>39</v>
      </c>
      <c r="C116" s="0" t="s">
        <v>102</v>
      </c>
      <c r="D116" s="0" t="s">
        <v>331</v>
      </c>
      <c r="E116" s="0" t="n">
        <v>4.8</v>
      </c>
    </row>
    <row r="117" customFormat="false" ht="15" hidden="false" customHeight="false" outlineLevel="0" collapsed="false">
      <c r="A117" s="0" t="s">
        <v>101</v>
      </c>
      <c r="B117" s="0" t="s">
        <v>39</v>
      </c>
      <c r="C117" s="0" t="s">
        <v>102</v>
      </c>
      <c r="D117" s="0" t="s">
        <v>331</v>
      </c>
      <c r="E117" s="0" t="n">
        <v>17.4</v>
      </c>
    </row>
    <row r="118" customFormat="false" ht="15" hidden="false" customHeight="false" outlineLevel="0" collapsed="false">
      <c r="A118" s="0" t="s">
        <v>101</v>
      </c>
      <c r="B118" s="0" t="s">
        <v>39</v>
      </c>
      <c r="C118" s="0" t="s">
        <v>102</v>
      </c>
      <c r="D118" s="0" t="s">
        <v>331</v>
      </c>
      <c r="E118" s="0" t="n">
        <v>36.2</v>
      </c>
    </row>
    <row r="119" customFormat="false" ht="15" hidden="false" customHeight="false" outlineLevel="0" collapsed="false">
      <c r="A119" s="0" t="s">
        <v>104</v>
      </c>
      <c r="B119" s="0" t="s">
        <v>39</v>
      </c>
      <c r="C119" s="0" t="s">
        <v>106</v>
      </c>
      <c r="D119" s="0" t="s">
        <v>332</v>
      </c>
      <c r="E119" s="0" t="n">
        <v>3.9</v>
      </c>
    </row>
    <row r="120" customFormat="false" ht="15" hidden="false" customHeight="false" outlineLevel="0" collapsed="false">
      <c r="A120" s="0" t="s">
        <v>104</v>
      </c>
      <c r="B120" s="0" t="s">
        <v>39</v>
      </c>
      <c r="C120" s="0" t="s">
        <v>106</v>
      </c>
      <c r="D120" s="0" t="s">
        <v>332</v>
      </c>
      <c r="E120" s="0" t="n">
        <v>19</v>
      </c>
    </row>
    <row r="121" customFormat="false" ht="15" hidden="false" customHeight="false" outlineLevel="0" collapsed="false">
      <c r="A121" s="0" t="s">
        <v>108</v>
      </c>
      <c r="B121" s="0" t="s">
        <v>39</v>
      </c>
      <c r="C121" s="0" t="s">
        <v>109</v>
      </c>
      <c r="D121" s="0" t="s">
        <v>333</v>
      </c>
      <c r="E121" s="0" t="n">
        <v>2.2</v>
      </c>
    </row>
    <row r="122" customFormat="false" ht="15" hidden="false" customHeight="false" outlineLevel="0" collapsed="false">
      <c r="A122" s="0" t="s">
        <v>108</v>
      </c>
      <c r="B122" s="0" t="s">
        <v>39</v>
      </c>
      <c r="C122" s="0" t="s">
        <v>109</v>
      </c>
      <c r="D122" s="0" t="s">
        <v>333</v>
      </c>
      <c r="E122" s="0" t="n">
        <v>3.5</v>
      </c>
    </row>
    <row r="123" customFormat="false" ht="15" hidden="false" customHeight="false" outlineLevel="0" collapsed="false">
      <c r="A123" s="0" t="s">
        <v>108</v>
      </c>
      <c r="B123" s="0" t="s">
        <v>39</v>
      </c>
      <c r="C123" s="0" t="s">
        <v>109</v>
      </c>
      <c r="D123" s="0" t="s">
        <v>333</v>
      </c>
      <c r="E123" s="0" t="n">
        <v>4</v>
      </c>
    </row>
    <row r="124" customFormat="false" ht="15" hidden="false" customHeight="false" outlineLevel="0" collapsed="false">
      <c r="A124" s="0" t="s">
        <v>108</v>
      </c>
      <c r="B124" s="0" t="s">
        <v>39</v>
      </c>
      <c r="C124" s="0" t="s">
        <v>109</v>
      </c>
      <c r="D124" s="0" t="s">
        <v>333</v>
      </c>
      <c r="E124" s="0" t="n">
        <v>9</v>
      </c>
    </row>
    <row r="125" customFormat="false" ht="15" hidden="false" customHeight="false" outlineLevel="0" collapsed="false">
      <c r="A125" s="0" t="s">
        <v>108</v>
      </c>
      <c r="B125" s="0" t="s">
        <v>39</v>
      </c>
      <c r="C125" s="0" t="s">
        <v>109</v>
      </c>
      <c r="D125" s="0" t="s">
        <v>333</v>
      </c>
      <c r="E125" s="0" t="n">
        <v>9.6</v>
      </c>
    </row>
    <row r="126" customFormat="false" ht="15" hidden="false" customHeight="false" outlineLevel="0" collapsed="false">
      <c r="A126" s="0" t="s">
        <v>108</v>
      </c>
      <c r="B126" s="0" t="s">
        <v>39</v>
      </c>
      <c r="C126" s="0" t="s">
        <v>109</v>
      </c>
      <c r="D126" s="0" t="s">
        <v>333</v>
      </c>
      <c r="E126" s="0" t="n">
        <v>14</v>
      </c>
    </row>
    <row r="127" customFormat="false" ht="15" hidden="false" customHeight="false" outlineLevel="0" collapsed="false">
      <c r="A127" s="0" t="s">
        <v>108</v>
      </c>
      <c r="B127" s="0" t="s">
        <v>39</v>
      </c>
      <c r="C127" s="0" t="s">
        <v>109</v>
      </c>
      <c r="D127" s="0" t="s">
        <v>333</v>
      </c>
      <c r="E127" s="0" t="n">
        <v>19</v>
      </c>
    </row>
    <row r="128" customFormat="false" ht="15" hidden="false" customHeight="false" outlineLevel="0" collapsed="false">
      <c r="A128" s="0" t="s">
        <v>111</v>
      </c>
      <c r="B128" s="0" t="s">
        <v>39</v>
      </c>
      <c r="C128" s="0" t="s">
        <v>112</v>
      </c>
      <c r="D128" s="0" t="s">
        <v>334</v>
      </c>
      <c r="E128" s="0" t="n">
        <v>2.2</v>
      </c>
    </row>
    <row r="129" customFormat="false" ht="15" hidden="false" customHeight="false" outlineLevel="0" collapsed="false">
      <c r="A129" s="0" t="s">
        <v>111</v>
      </c>
      <c r="B129" s="0" t="s">
        <v>39</v>
      </c>
      <c r="C129" s="0" t="s">
        <v>112</v>
      </c>
      <c r="D129" s="0" t="s">
        <v>334</v>
      </c>
      <c r="E129" s="0" t="n">
        <v>4</v>
      </c>
    </row>
    <row r="130" customFormat="false" ht="15" hidden="false" customHeight="false" outlineLevel="0" collapsed="false">
      <c r="A130" s="0" t="s">
        <v>111</v>
      </c>
      <c r="B130" s="0" t="s">
        <v>39</v>
      </c>
      <c r="C130" s="0" t="s">
        <v>112</v>
      </c>
      <c r="D130" s="0" t="s">
        <v>334</v>
      </c>
      <c r="E130" s="0" t="n">
        <v>11.8</v>
      </c>
    </row>
    <row r="131" customFormat="false" ht="15" hidden="false" customHeight="false" outlineLevel="0" collapsed="false">
      <c r="A131" s="0" t="s">
        <v>111</v>
      </c>
      <c r="B131" s="0" t="s">
        <v>39</v>
      </c>
      <c r="C131" s="0" t="s">
        <v>112</v>
      </c>
      <c r="D131" s="0" t="s">
        <v>334</v>
      </c>
      <c r="E131" s="0" t="n">
        <v>43.8</v>
      </c>
    </row>
    <row r="132" customFormat="false" ht="15" hidden="false" customHeight="false" outlineLevel="0" collapsed="false">
      <c r="A132" s="0" t="s">
        <v>114</v>
      </c>
      <c r="B132" s="0" t="s">
        <v>39</v>
      </c>
      <c r="C132" s="0" t="s">
        <v>115</v>
      </c>
      <c r="D132" s="0" t="s">
        <v>335</v>
      </c>
      <c r="E132" s="0" t="n">
        <v>2</v>
      </c>
    </row>
    <row r="133" customFormat="false" ht="15" hidden="false" customHeight="false" outlineLevel="0" collapsed="false">
      <c r="A133" s="0" t="s">
        <v>114</v>
      </c>
      <c r="B133" s="0" t="s">
        <v>39</v>
      </c>
      <c r="C133" s="0" t="s">
        <v>115</v>
      </c>
      <c r="D133" s="0" t="s">
        <v>335</v>
      </c>
      <c r="E133" s="0" t="n">
        <v>4</v>
      </c>
    </row>
    <row r="134" customFormat="false" ht="15" hidden="false" customHeight="false" outlineLevel="0" collapsed="false">
      <c r="A134" s="0" t="s">
        <v>114</v>
      </c>
      <c r="B134" s="0" t="s">
        <v>39</v>
      </c>
      <c r="C134" s="0" t="s">
        <v>115</v>
      </c>
      <c r="D134" s="0" t="s">
        <v>335</v>
      </c>
      <c r="E134" s="0" t="n">
        <v>4.2</v>
      </c>
    </row>
    <row r="135" customFormat="false" ht="15" hidden="false" customHeight="false" outlineLevel="0" collapsed="false">
      <c r="A135" s="0" t="s">
        <v>114</v>
      </c>
      <c r="B135" s="0" t="s">
        <v>39</v>
      </c>
      <c r="C135" s="0" t="s">
        <v>115</v>
      </c>
      <c r="D135" s="0" t="s">
        <v>335</v>
      </c>
      <c r="E135" s="0" t="n">
        <v>4.4</v>
      </c>
    </row>
    <row r="136" customFormat="false" ht="15" hidden="false" customHeight="false" outlineLevel="0" collapsed="false">
      <c r="A136" s="0" t="s">
        <v>114</v>
      </c>
      <c r="B136" s="0" t="s">
        <v>39</v>
      </c>
      <c r="C136" s="0" t="s">
        <v>115</v>
      </c>
      <c r="D136" s="0" t="s">
        <v>335</v>
      </c>
      <c r="E136" s="0" t="n">
        <v>7.9</v>
      </c>
    </row>
    <row r="137" customFormat="false" ht="15" hidden="false" customHeight="false" outlineLevel="0" collapsed="false">
      <c r="A137" s="0" t="s">
        <v>114</v>
      </c>
      <c r="B137" s="0" t="s">
        <v>39</v>
      </c>
      <c r="C137" s="0" t="s">
        <v>115</v>
      </c>
      <c r="D137" s="0" t="s">
        <v>335</v>
      </c>
      <c r="E137" s="0" t="n">
        <v>38</v>
      </c>
    </row>
    <row r="138" customFormat="false" ht="15" hidden="false" customHeight="false" outlineLevel="0" collapsed="false">
      <c r="A138" s="0" t="s">
        <v>117</v>
      </c>
      <c r="B138" s="0" t="s">
        <v>39</v>
      </c>
      <c r="C138" s="0" t="s">
        <v>118</v>
      </c>
      <c r="D138" s="0" t="s">
        <v>336</v>
      </c>
      <c r="E138" s="0" t="n">
        <v>3.5</v>
      </c>
    </row>
    <row r="139" customFormat="false" ht="15" hidden="false" customHeight="false" outlineLevel="0" collapsed="false">
      <c r="A139" s="0" t="s">
        <v>117</v>
      </c>
      <c r="B139" s="0" t="s">
        <v>39</v>
      </c>
      <c r="C139" s="0" t="s">
        <v>118</v>
      </c>
      <c r="D139" s="0" t="s">
        <v>336</v>
      </c>
      <c r="E139" s="0" t="n">
        <v>4</v>
      </c>
    </row>
    <row r="140" customFormat="false" ht="15" hidden="false" customHeight="false" outlineLevel="0" collapsed="false">
      <c r="A140" s="0" t="s">
        <v>117</v>
      </c>
      <c r="B140" s="0" t="s">
        <v>39</v>
      </c>
      <c r="C140" s="0" t="s">
        <v>118</v>
      </c>
      <c r="D140" s="0" t="s">
        <v>336</v>
      </c>
      <c r="E140" s="0" t="n">
        <v>6.9</v>
      </c>
    </row>
    <row r="141" customFormat="false" ht="15" hidden="false" customHeight="false" outlineLevel="0" collapsed="false">
      <c r="A141" s="0" t="s">
        <v>117</v>
      </c>
      <c r="B141" s="0" t="s">
        <v>39</v>
      </c>
      <c r="C141" s="0" t="s">
        <v>118</v>
      </c>
      <c r="D141" s="0" t="s">
        <v>336</v>
      </c>
      <c r="E141" s="0" t="n">
        <v>16.9</v>
      </c>
    </row>
    <row r="142" customFormat="false" ht="15" hidden="false" customHeight="false" outlineLevel="0" collapsed="false">
      <c r="A142" s="0" t="s">
        <v>117</v>
      </c>
      <c r="B142" s="0" t="s">
        <v>39</v>
      </c>
      <c r="C142" s="0" t="s">
        <v>118</v>
      </c>
      <c r="D142" s="0" t="s">
        <v>336</v>
      </c>
      <c r="E142" s="0" t="n">
        <v>18.6</v>
      </c>
    </row>
    <row r="143" customFormat="false" ht="15" hidden="false" customHeight="false" outlineLevel="0" collapsed="false">
      <c r="A143" s="0" t="s">
        <v>120</v>
      </c>
      <c r="B143" s="0" t="s">
        <v>39</v>
      </c>
      <c r="C143" s="0" t="s">
        <v>121</v>
      </c>
      <c r="D143" s="0" t="s">
        <v>337</v>
      </c>
      <c r="E143" s="0" t="n">
        <v>2.2</v>
      </c>
    </row>
    <row r="144" customFormat="false" ht="15" hidden="false" customHeight="false" outlineLevel="0" collapsed="false">
      <c r="A144" s="0" t="s">
        <v>120</v>
      </c>
      <c r="B144" s="0" t="s">
        <v>39</v>
      </c>
      <c r="C144" s="0" t="s">
        <v>121</v>
      </c>
      <c r="D144" s="0" t="s">
        <v>337</v>
      </c>
      <c r="E144" s="0" t="n">
        <v>3.9</v>
      </c>
    </row>
    <row r="145" customFormat="false" ht="15" hidden="false" customHeight="false" outlineLevel="0" collapsed="false">
      <c r="A145" s="0" t="s">
        <v>120</v>
      </c>
      <c r="B145" s="0" t="s">
        <v>39</v>
      </c>
      <c r="C145" s="0" t="s">
        <v>121</v>
      </c>
      <c r="D145" s="0" t="s">
        <v>337</v>
      </c>
      <c r="E145" s="0" t="n">
        <v>15.5</v>
      </c>
    </row>
    <row r="146" customFormat="false" ht="15" hidden="false" customHeight="false" outlineLevel="0" collapsed="false">
      <c r="A146" s="0" t="s">
        <v>123</v>
      </c>
      <c r="B146" s="0" t="s">
        <v>39</v>
      </c>
      <c r="C146" s="0" t="s">
        <v>124</v>
      </c>
      <c r="D146" s="0" t="s">
        <v>338</v>
      </c>
      <c r="E146" s="0" t="n">
        <v>3.9</v>
      </c>
    </row>
    <row r="147" customFormat="false" ht="15" hidden="false" customHeight="false" outlineLevel="0" collapsed="false">
      <c r="A147" s="0" t="s">
        <v>123</v>
      </c>
      <c r="B147" s="0" t="s">
        <v>39</v>
      </c>
      <c r="C147" s="0" t="s">
        <v>124</v>
      </c>
      <c r="D147" s="0" t="s">
        <v>338</v>
      </c>
      <c r="E147" s="0" t="n">
        <v>4.2</v>
      </c>
    </row>
    <row r="148" customFormat="false" ht="15" hidden="false" customHeight="false" outlineLevel="0" collapsed="false">
      <c r="A148" s="0" t="s">
        <v>123</v>
      </c>
      <c r="B148" s="0" t="s">
        <v>39</v>
      </c>
      <c r="C148" s="0" t="s">
        <v>124</v>
      </c>
      <c r="D148" s="0" t="s">
        <v>338</v>
      </c>
      <c r="E148" s="0" t="n">
        <v>5.9</v>
      </c>
    </row>
    <row r="149" customFormat="false" ht="15" hidden="false" customHeight="false" outlineLevel="0" collapsed="false">
      <c r="A149" s="0" t="s">
        <v>123</v>
      </c>
      <c r="B149" s="0" t="s">
        <v>39</v>
      </c>
      <c r="C149" s="0" t="s">
        <v>124</v>
      </c>
      <c r="D149" s="0" t="s">
        <v>338</v>
      </c>
      <c r="E149" s="0" t="n">
        <v>8.3</v>
      </c>
    </row>
    <row r="150" customFormat="false" ht="15" hidden="false" customHeight="false" outlineLevel="0" collapsed="false">
      <c r="A150" s="0" t="s">
        <v>123</v>
      </c>
      <c r="B150" s="0" t="s">
        <v>39</v>
      </c>
      <c r="C150" s="0" t="s">
        <v>124</v>
      </c>
      <c r="D150" s="0" t="s">
        <v>338</v>
      </c>
      <c r="E150" s="0" t="n">
        <v>8.9</v>
      </c>
    </row>
    <row r="151" customFormat="false" ht="15" hidden="false" customHeight="false" outlineLevel="0" collapsed="false">
      <c r="A151" s="0" t="s">
        <v>123</v>
      </c>
      <c r="B151" s="0" t="s">
        <v>39</v>
      </c>
      <c r="C151" s="0" t="s">
        <v>124</v>
      </c>
      <c r="D151" s="0" t="s">
        <v>338</v>
      </c>
      <c r="E151" s="0" t="n">
        <v>8.9</v>
      </c>
    </row>
    <row r="152" customFormat="false" ht="15" hidden="false" customHeight="false" outlineLevel="0" collapsed="false">
      <c r="A152" s="0" t="s">
        <v>123</v>
      </c>
      <c r="B152" s="0" t="s">
        <v>39</v>
      </c>
      <c r="C152" s="0" t="s">
        <v>124</v>
      </c>
      <c r="D152" s="0" t="s">
        <v>338</v>
      </c>
      <c r="E152" s="0" t="n">
        <v>11.8</v>
      </c>
    </row>
    <row r="153" customFormat="false" ht="15" hidden="false" customHeight="false" outlineLevel="0" collapsed="false">
      <c r="A153" s="0" t="s">
        <v>123</v>
      </c>
      <c r="B153" s="0" t="s">
        <v>39</v>
      </c>
      <c r="C153" s="0" t="s">
        <v>124</v>
      </c>
      <c r="D153" s="0" t="s">
        <v>338</v>
      </c>
      <c r="E153" s="0" t="n">
        <v>64</v>
      </c>
    </row>
    <row r="154" customFormat="false" ht="15" hidden="false" customHeight="false" outlineLevel="0" collapsed="false">
      <c r="A154" s="0" t="s">
        <v>126</v>
      </c>
      <c r="B154" s="0" t="s">
        <v>39</v>
      </c>
      <c r="C154" s="0" t="s">
        <v>127</v>
      </c>
      <c r="D154" s="0" t="s">
        <v>339</v>
      </c>
      <c r="E154" s="0" t="n">
        <v>3.9</v>
      </c>
    </row>
    <row r="155" customFormat="false" ht="15" hidden="false" customHeight="false" outlineLevel="0" collapsed="false">
      <c r="A155" s="0" t="s">
        <v>126</v>
      </c>
      <c r="B155" s="0" t="s">
        <v>39</v>
      </c>
      <c r="C155" s="0" t="s">
        <v>127</v>
      </c>
      <c r="D155" s="0" t="s">
        <v>339</v>
      </c>
      <c r="E155" s="0" t="n">
        <v>6.3</v>
      </c>
    </row>
    <row r="156" customFormat="false" ht="15" hidden="false" customHeight="false" outlineLevel="0" collapsed="false">
      <c r="A156" s="0" t="s">
        <v>126</v>
      </c>
      <c r="B156" s="0" t="s">
        <v>39</v>
      </c>
      <c r="C156" s="0" t="s">
        <v>127</v>
      </c>
      <c r="D156" s="0" t="s">
        <v>339</v>
      </c>
      <c r="E156" s="0" t="n">
        <v>11</v>
      </c>
    </row>
    <row r="157" customFormat="false" ht="15" hidden="false" customHeight="false" outlineLevel="0" collapsed="false">
      <c r="A157" s="0" t="s">
        <v>126</v>
      </c>
      <c r="B157" s="0" t="s">
        <v>39</v>
      </c>
      <c r="C157" s="0" t="s">
        <v>127</v>
      </c>
      <c r="D157" s="0" t="s">
        <v>339</v>
      </c>
      <c r="E157" s="0" t="n">
        <v>38</v>
      </c>
    </row>
    <row r="158" customFormat="false" ht="15" hidden="false" customHeight="false" outlineLevel="0" collapsed="false">
      <c r="A158" s="0" t="s">
        <v>129</v>
      </c>
      <c r="B158" s="0" t="s">
        <v>39</v>
      </c>
      <c r="C158" s="0" t="s">
        <v>130</v>
      </c>
      <c r="D158" s="0" t="s">
        <v>321</v>
      </c>
      <c r="E158" s="0" t="n">
        <v>2.2</v>
      </c>
    </row>
    <row r="159" customFormat="false" ht="15" hidden="false" customHeight="false" outlineLevel="0" collapsed="false">
      <c r="A159" s="0" t="s">
        <v>129</v>
      </c>
      <c r="B159" s="0" t="s">
        <v>39</v>
      </c>
      <c r="C159" s="0" t="s">
        <v>130</v>
      </c>
      <c r="D159" s="0" t="s">
        <v>321</v>
      </c>
      <c r="E159" s="0" t="n">
        <v>5.5</v>
      </c>
    </row>
    <row r="160" customFormat="false" ht="15" hidden="false" customHeight="false" outlineLevel="0" collapsed="false">
      <c r="A160" s="0" t="s">
        <v>129</v>
      </c>
      <c r="B160" s="0" t="s">
        <v>39</v>
      </c>
      <c r="C160" s="0" t="s">
        <v>130</v>
      </c>
      <c r="D160" s="0" t="s">
        <v>321</v>
      </c>
      <c r="E160" s="0" t="n">
        <v>7.9</v>
      </c>
    </row>
    <row r="161" customFormat="false" ht="15" hidden="false" customHeight="false" outlineLevel="0" collapsed="false">
      <c r="A161" s="0" t="s">
        <v>129</v>
      </c>
      <c r="B161" s="0" t="s">
        <v>39</v>
      </c>
      <c r="C161" s="0" t="s">
        <v>130</v>
      </c>
      <c r="D161" s="0" t="s">
        <v>321</v>
      </c>
      <c r="E161" s="0" t="n">
        <v>9.7</v>
      </c>
    </row>
    <row r="162" customFormat="false" ht="15" hidden="false" customHeight="false" outlineLevel="0" collapsed="false">
      <c r="A162" s="0" t="s">
        <v>129</v>
      </c>
      <c r="B162" s="0" t="s">
        <v>39</v>
      </c>
      <c r="C162" s="0" t="s">
        <v>130</v>
      </c>
      <c r="D162" s="0" t="s">
        <v>321</v>
      </c>
      <c r="E162" s="0" t="n">
        <v>10.5</v>
      </c>
    </row>
    <row r="163" customFormat="false" ht="15" hidden="false" customHeight="false" outlineLevel="0" collapsed="false">
      <c r="A163" s="0" t="s">
        <v>129</v>
      </c>
      <c r="B163" s="0" t="s">
        <v>39</v>
      </c>
      <c r="C163" s="0" t="s">
        <v>130</v>
      </c>
      <c r="D163" s="0" t="s">
        <v>321</v>
      </c>
      <c r="E163" s="0" t="n">
        <v>16.9</v>
      </c>
    </row>
    <row r="164" customFormat="false" ht="15" hidden="false" customHeight="false" outlineLevel="0" collapsed="false">
      <c r="A164" s="0" t="s">
        <v>129</v>
      </c>
      <c r="B164" s="0" t="s">
        <v>39</v>
      </c>
      <c r="C164" s="0" t="s">
        <v>130</v>
      </c>
      <c r="D164" s="0" t="s">
        <v>321</v>
      </c>
      <c r="E164" s="0" t="n">
        <v>19</v>
      </c>
    </row>
    <row r="165" customFormat="false" ht="15" hidden="false" customHeight="false" outlineLevel="0" collapsed="false">
      <c r="A165" s="0" t="s">
        <v>129</v>
      </c>
      <c r="B165" s="0" t="s">
        <v>39</v>
      </c>
      <c r="C165" s="0" t="s">
        <v>130</v>
      </c>
      <c r="D165" s="0" t="s">
        <v>321</v>
      </c>
      <c r="E165" s="0" t="n">
        <v>21</v>
      </c>
    </row>
    <row r="166" customFormat="false" ht="15" hidden="false" customHeight="false" outlineLevel="0" collapsed="false">
      <c r="A166" s="0" t="s">
        <v>129</v>
      </c>
      <c r="B166" s="0" t="s">
        <v>39</v>
      </c>
      <c r="C166" s="0" t="s">
        <v>130</v>
      </c>
      <c r="D166" s="0" t="s">
        <v>321</v>
      </c>
      <c r="E166" s="0" t="n">
        <v>23.6</v>
      </c>
    </row>
    <row r="167" customFormat="false" ht="15" hidden="false" customHeight="false" outlineLevel="0" collapsed="false">
      <c r="A167" s="0" t="s">
        <v>129</v>
      </c>
      <c r="B167" s="0" t="s">
        <v>39</v>
      </c>
      <c r="C167" s="0" t="s">
        <v>130</v>
      </c>
      <c r="D167" s="0" t="s">
        <v>321</v>
      </c>
      <c r="E167" s="0" t="n">
        <v>85.8</v>
      </c>
    </row>
    <row r="168" customFormat="false" ht="15" hidden="false" customHeight="false" outlineLevel="0" collapsed="false">
      <c r="A168" s="0" t="s">
        <v>132</v>
      </c>
      <c r="B168" s="0" t="s">
        <v>39</v>
      </c>
      <c r="C168" s="0" t="s">
        <v>133</v>
      </c>
      <c r="D168" s="0" t="s">
        <v>314</v>
      </c>
      <c r="E168" s="0" t="n">
        <v>6.5</v>
      </c>
    </row>
    <row r="169" customFormat="false" ht="15" hidden="false" customHeight="false" outlineLevel="0" collapsed="false">
      <c r="A169" s="0" t="s">
        <v>132</v>
      </c>
      <c r="B169" s="0" t="s">
        <v>39</v>
      </c>
      <c r="C169" s="0" t="s">
        <v>133</v>
      </c>
      <c r="D169" s="0" t="s">
        <v>314</v>
      </c>
      <c r="E169" s="0" t="n">
        <v>8.9</v>
      </c>
    </row>
    <row r="170" customFormat="false" ht="15" hidden="false" customHeight="false" outlineLevel="0" collapsed="false">
      <c r="A170" s="0" t="s">
        <v>132</v>
      </c>
      <c r="B170" s="0" t="s">
        <v>39</v>
      </c>
      <c r="C170" s="0" t="s">
        <v>133</v>
      </c>
      <c r="D170" s="0" t="s">
        <v>314</v>
      </c>
      <c r="E170" s="0" t="n">
        <v>9</v>
      </c>
    </row>
    <row r="171" customFormat="false" ht="15" hidden="false" customHeight="false" outlineLevel="0" collapsed="false">
      <c r="A171" s="0" t="s">
        <v>132</v>
      </c>
      <c r="B171" s="0" t="s">
        <v>39</v>
      </c>
      <c r="C171" s="0" t="s">
        <v>133</v>
      </c>
      <c r="D171" s="0" t="s">
        <v>314</v>
      </c>
      <c r="E171" s="0" t="n">
        <v>12</v>
      </c>
    </row>
    <row r="172" customFormat="false" ht="15" hidden="false" customHeight="false" outlineLevel="0" collapsed="false">
      <c r="A172" s="0" t="s">
        <v>132</v>
      </c>
      <c r="B172" s="0" t="s">
        <v>39</v>
      </c>
      <c r="C172" s="0" t="s">
        <v>133</v>
      </c>
      <c r="D172" s="0" t="s">
        <v>314</v>
      </c>
      <c r="E172" s="0" t="n">
        <v>16.9</v>
      </c>
    </row>
    <row r="173" customFormat="false" ht="15" hidden="false" customHeight="false" outlineLevel="0" collapsed="false">
      <c r="A173" s="0" t="s">
        <v>132</v>
      </c>
      <c r="B173" s="0" t="s">
        <v>39</v>
      </c>
      <c r="C173" s="0" t="s">
        <v>133</v>
      </c>
      <c r="D173" s="0" t="s">
        <v>314</v>
      </c>
      <c r="E173" s="0" t="n">
        <v>18.6</v>
      </c>
    </row>
    <row r="174" customFormat="false" ht="15" hidden="false" customHeight="false" outlineLevel="0" collapsed="false">
      <c r="A174" s="0" t="s">
        <v>135</v>
      </c>
      <c r="B174" s="0" t="s">
        <v>136</v>
      </c>
      <c r="C174" s="0" t="s">
        <v>137</v>
      </c>
      <c r="D174" s="0" t="s">
        <v>340</v>
      </c>
      <c r="E174" s="0" t="n">
        <v>3.9</v>
      </c>
      <c r="F174" s="0" t="s">
        <v>341</v>
      </c>
      <c r="G174" s="0" t="s">
        <v>342</v>
      </c>
    </row>
    <row r="175" customFormat="false" ht="15" hidden="false" customHeight="false" outlineLevel="0" collapsed="false">
      <c r="A175" s="0" t="s">
        <v>135</v>
      </c>
      <c r="B175" s="0" t="s">
        <v>136</v>
      </c>
      <c r="C175" s="0" t="s">
        <v>137</v>
      </c>
      <c r="D175" s="0" t="s">
        <v>340</v>
      </c>
      <c r="E175" s="0" t="n">
        <v>4.7</v>
      </c>
      <c r="F175" s="0" t="s">
        <v>343</v>
      </c>
      <c r="G175" s="0" t="s">
        <v>342</v>
      </c>
    </row>
    <row r="176" customFormat="false" ht="15" hidden="false" customHeight="false" outlineLevel="0" collapsed="false">
      <c r="A176" s="0" t="s">
        <v>135</v>
      </c>
      <c r="B176" s="0" t="s">
        <v>136</v>
      </c>
      <c r="C176" s="0" t="s">
        <v>137</v>
      </c>
      <c r="D176" s="0" t="s">
        <v>340</v>
      </c>
      <c r="E176" s="0" t="n">
        <v>7.8</v>
      </c>
      <c r="F176" s="0" t="s">
        <v>344</v>
      </c>
      <c r="G176" s="0" t="s">
        <v>342</v>
      </c>
    </row>
    <row r="177" customFormat="false" ht="15" hidden="false" customHeight="false" outlineLevel="0" collapsed="false">
      <c r="A177" s="0" t="s">
        <v>135</v>
      </c>
      <c r="B177" s="0" t="s">
        <v>136</v>
      </c>
      <c r="C177" s="0" t="s">
        <v>137</v>
      </c>
      <c r="D177" s="0" t="s">
        <v>340</v>
      </c>
      <c r="E177" s="0" t="n">
        <v>8.7</v>
      </c>
      <c r="F177" s="0" t="s">
        <v>345</v>
      </c>
      <c r="G177" s="0" t="s">
        <v>342</v>
      </c>
    </row>
    <row r="178" customFormat="false" ht="15" hidden="false" customHeight="false" outlineLevel="0" collapsed="false">
      <c r="A178" s="0" t="s">
        <v>139</v>
      </c>
      <c r="B178" s="0" t="s">
        <v>136</v>
      </c>
      <c r="C178" s="0" t="s">
        <v>140</v>
      </c>
      <c r="D178" s="0" t="s">
        <v>346</v>
      </c>
      <c r="E178" s="0" t="n">
        <v>3.8</v>
      </c>
      <c r="F178" s="0" t="s">
        <v>347</v>
      </c>
      <c r="G178" s="0" t="s">
        <v>348</v>
      </c>
    </row>
    <row r="179" customFormat="false" ht="15" hidden="false" customHeight="false" outlineLevel="0" collapsed="false">
      <c r="A179" s="0" t="s">
        <v>139</v>
      </c>
      <c r="B179" s="0" t="s">
        <v>136</v>
      </c>
      <c r="C179" s="0" t="s">
        <v>140</v>
      </c>
      <c r="D179" s="0" t="s">
        <v>346</v>
      </c>
      <c r="E179" s="0" t="n">
        <v>9.8</v>
      </c>
      <c r="F179" s="0" t="s">
        <v>349</v>
      </c>
      <c r="G179" s="0" t="s">
        <v>348</v>
      </c>
    </row>
    <row r="180" customFormat="false" ht="15" hidden="false" customHeight="false" outlineLevel="0" collapsed="false">
      <c r="A180" s="0" t="s">
        <v>139</v>
      </c>
      <c r="B180" s="0" t="s">
        <v>136</v>
      </c>
      <c r="C180" s="0" t="s">
        <v>140</v>
      </c>
      <c r="D180" s="0" t="s">
        <v>346</v>
      </c>
      <c r="E180" s="0" t="n">
        <v>16.9</v>
      </c>
      <c r="F180" s="0" t="s">
        <v>350</v>
      </c>
      <c r="G180" s="0" t="s">
        <v>348</v>
      </c>
    </row>
    <row r="181" customFormat="false" ht="15" hidden="false" customHeight="false" outlineLevel="0" collapsed="false">
      <c r="A181" s="0" t="s">
        <v>139</v>
      </c>
      <c r="B181" s="0" t="s">
        <v>136</v>
      </c>
      <c r="C181" s="0" t="s">
        <v>140</v>
      </c>
      <c r="D181" s="0" t="s">
        <v>346</v>
      </c>
      <c r="E181" s="0" t="n">
        <v>17.6</v>
      </c>
      <c r="F181" s="0" t="s">
        <v>351</v>
      </c>
      <c r="G181" s="0" t="s">
        <v>348</v>
      </c>
    </row>
    <row r="182" customFormat="false" ht="15" hidden="false" customHeight="false" outlineLevel="0" collapsed="false">
      <c r="A182" s="0" t="s">
        <v>142</v>
      </c>
      <c r="B182" s="0" t="s">
        <v>136</v>
      </c>
      <c r="C182" s="0" t="s">
        <v>143</v>
      </c>
      <c r="D182" s="0" t="s">
        <v>352</v>
      </c>
      <c r="E182" s="0" t="n">
        <v>3.8</v>
      </c>
      <c r="F182" s="0" t="s">
        <v>353</v>
      </c>
      <c r="G182" s="0" t="s">
        <v>354</v>
      </c>
    </row>
    <row r="183" customFormat="false" ht="15" hidden="false" customHeight="false" outlineLevel="0" collapsed="false">
      <c r="A183" s="0" t="s">
        <v>142</v>
      </c>
      <c r="B183" s="0" t="s">
        <v>136</v>
      </c>
      <c r="C183" s="0" t="s">
        <v>143</v>
      </c>
      <c r="D183" s="0" t="s">
        <v>352</v>
      </c>
      <c r="E183" s="0" t="n">
        <v>3.9</v>
      </c>
      <c r="F183" s="0" t="s">
        <v>355</v>
      </c>
      <c r="G183" s="0" t="s">
        <v>356</v>
      </c>
    </row>
    <row r="184" customFormat="false" ht="15" hidden="false" customHeight="false" outlineLevel="0" collapsed="false">
      <c r="A184" s="0" t="s">
        <v>145</v>
      </c>
      <c r="B184" s="0" t="s">
        <v>136</v>
      </c>
      <c r="C184" s="0" t="s">
        <v>146</v>
      </c>
      <c r="D184" s="0" t="s">
        <v>357</v>
      </c>
      <c r="E184" s="0" t="n">
        <v>1.8</v>
      </c>
      <c r="F184" s="0" t="s">
        <v>358</v>
      </c>
      <c r="G184" s="0" t="s">
        <v>359</v>
      </c>
    </row>
    <row r="185" customFormat="false" ht="15" hidden="false" customHeight="false" outlineLevel="0" collapsed="false">
      <c r="A185" s="0" t="s">
        <v>145</v>
      </c>
      <c r="B185" s="0" t="s">
        <v>136</v>
      </c>
      <c r="C185" s="0" t="s">
        <v>146</v>
      </c>
      <c r="D185" s="0" t="s">
        <v>357</v>
      </c>
      <c r="E185" s="0" t="n">
        <v>3.9</v>
      </c>
      <c r="F185" s="0" t="s">
        <v>360</v>
      </c>
      <c r="G185" s="0" t="s">
        <v>361</v>
      </c>
    </row>
    <row r="186" customFormat="false" ht="15" hidden="false" customHeight="false" outlineLevel="0" collapsed="false">
      <c r="A186" s="0" t="s">
        <v>145</v>
      </c>
      <c r="B186" s="0" t="s">
        <v>136</v>
      </c>
      <c r="C186" s="0" t="s">
        <v>146</v>
      </c>
      <c r="D186" s="0" t="s">
        <v>357</v>
      </c>
      <c r="E186" s="0" t="n">
        <v>5.8</v>
      </c>
      <c r="F186" s="0" t="s">
        <v>362</v>
      </c>
      <c r="G186" s="0" t="s">
        <v>363</v>
      </c>
    </row>
    <row r="187" customFormat="false" ht="15" hidden="false" customHeight="false" outlineLevel="0" collapsed="false">
      <c r="A187" s="0" t="s">
        <v>145</v>
      </c>
      <c r="B187" s="0" t="s">
        <v>136</v>
      </c>
      <c r="C187" s="0" t="s">
        <v>146</v>
      </c>
      <c r="D187" s="0" t="s">
        <v>357</v>
      </c>
      <c r="E187" s="0" t="n">
        <v>6.5</v>
      </c>
      <c r="F187" s="0" t="s">
        <v>364</v>
      </c>
      <c r="G187" s="0" t="s">
        <v>359</v>
      </c>
    </row>
    <row r="188" customFormat="false" ht="15" hidden="false" customHeight="false" outlineLevel="0" collapsed="false">
      <c r="A188" s="0" t="s">
        <v>148</v>
      </c>
      <c r="B188" s="0" t="s">
        <v>136</v>
      </c>
      <c r="C188" s="0" t="s">
        <v>149</v>
      </c>
      <c r="D188" s="0" t="s">
        <v>365</v>
      </c>
      <c r="E188" s="0" t="n">
        <v>2.2</v>
      </c>
      <c r="F188" s="0" t="s">
        <v>366</v>
      </c>
      <c r="G188" s="0" t="s">
        <v>367</v>
      </c>
    </row>
    <row r="189" customFormat="false" ht="15" hidden="false" customHeight="false" outlineLevel="0" collapsed="false">
      <c r="A189" s="0" t="s">
        <v>148</v>
      </c>
      <c r="B189" s="0" t="s">
        <v>136</v>
      </c>
      <c r="C189" s="0" t="s">
        <v>149</v>
      </c>
      <c r="D189" s="0" t="s">
        <v>365</v>
      </c>
      <c r="E189" s="0" t="n">
        <v>5.2</v>
      </c>
      <c r="F189" s="0" t="s">
        <v>368</v>
      </c>
      <c r="G189" s="0" t="s">
        <v>369</v>
      </c>
    </row>
    <row r="190" customFormat="false" ht="15" hidden="false" customHeight="false" outlineLevel="0" collapsed="false">
      <c r="A190" s="0" t="s">
        <v>151</v>
      </c>
      <c r="B190" s="0" t="s">
        <v>136</v>
      </c>
      <c r="C190" s="0" t="s">
        <v>152</v>
      </c>
      <c r="D190" s="0" t="s">
        <v>370</v>
      </c>
      <c r="E190" s="0" t="n">
        <v>2.2</v>
      </c>
      <c r="F190" s="0" t="s">
        <v>366</v>
      </c>
      <c r="G190" s="0" t="s">
        <v>371</v>
      </c>
    </row>
    <row r="191" customFormat="false" ht="15" hidden="false" customHeight="false" outlineLevel="0" collapsed="false">
      <c r="A191" s="0" t="s">
        <v>151</v>
      </c>
      <c r="B191" s="0" t="s">
        <v>136</v>
      </c>
      <c r="C191" s="0" t="s">
        <v>152</v>
      </c>
      <c r="D191" s="0" t="s">
        <v>370</v>
      </c>
      <c r="E191" s="0" t="n">
        <v>6.9</v>
      </c>
      <c r="F191" s="0" t="s">
        <v>372</v>
      </c>
      <c r="G191" s="0" t="s">
        <v>371</v>
      </c>
    </row>
    <row r="192" customFormat="false" ht="15" hidden="false" customHeight="false" outlineLevel="0" collapsed="false">
      <c r="A192" s="0" t="s">
        <v>154</v>
      </c>
      <c r="B192" s="0" t="s">
        <v>136</v>
      </c>
      <c r="C192" s="0" t="s">
        <v>155</v>
      </c>
      <c r="D192" s="0" t="s">
        <v>373</v>
      </c>
      <c r="E192" s="0" t="n">
        <v>2</v>
      </c>
      <c r="F192" s="0" t="s">
        <v>374</v>
      </c>
      <c r="G192" s="0" t="s">
        <v>375</v>
      </c>
    </row>
    <row r="193" customFormat="false" ht="15" hidden="false" customHeight="false" outlineLevel="0" collapsed="false">
      <c r="A193" s="0" t="s">
        <v>154</v>
      </c>
      <c r="B193" s="0" t="s">
        <v>136</v>
      </c>
      <c r="C193" s="0" t="s">
        <v>155</v>
      </c>
      <c r="D193" s="0" t="s">
        <v>373</v>
      </c>
      <c r="E193" s="0" t="n">
        <v>3.9</v>
      </c>
      <c r="F193" s="0" t="s">
        <v>376</v>
      </c>
      <c r="G193" s="0" t="s">
        <v>375</v>
      </c>
    </row>
    <row r="194" customFormat="false" ht="15" hidden="false" customHeight="false" outlineLevel="0" collapsed="false">
      <c r="A194" s="0" t="s">
        <v>154</v>
      </c>
      <c r="B194" s="0" t="s">
        <v>136</v>
      </c>
      <c r="C194" s="0" t="s">
        <v>155</v>
      </c>
      <c r="D194" s="0" t="s">
        <v>373</v>
      </c>
      <c r="E194" s="0" t="n">
        <v>5.2</v>
      </c>
      <c r="F194" s="0" t="s">
        <v>368</v>
      </c>
      <c r="G194" s="0" t="s">
        <v>375</v>
      </c>
    </row>
    <row r="195" customFormat="false" ht="15" hidden="false" customHeight="false" outlineLevel="0" collapsed="false">
      <c r="A195" s="0" t="s">
        <v>157</v>
      </c>
      <c r="B195" s="0" t="s">
        <v>136</v>
      </c>
      <c r="C195" s="0" t="s">
        <v>158</v>
      </c>
      <c r="D195" s="0" t="s">
        <v>373</v>
      </c>
      <c r="E195" s="0" t="n">
        <v>2.2</v>
      </c>
      <c r="F195" s="0" t="s">
        <v>366</v>
      </c>
      <c r="G195" s="0" t="s">
        <v>356</v>
      </c>
    </row>
    <row r="196" customFormat="false" ht="15" hidden="false" customHeight="false" outlineLevel="0" collapsed="false">
      <c r="A196" s="0" t="s">
        <v>157</v>
      </c>
      <c r="B196" s="0" t="s">
        <v>136</v>
      </c>
      <c r="C196" s="0" t="s">
        <v>158</v>
      </c>
      <c r="D196" s="0" t="s">
        <v>373</v>
      </c>
      <c r="E196" s="0" t="n">
        <v>3.9</v>
      </c>
      <c r="F196" s="0" t="s">
        <v>377</v>
      </c>
      <c r="G196" s="0" t="s">
        <v>378</v>
      </c>
    </row>
    <row r="197" customFormat="false" ht="15" hidden="false" customHeight="false" outlineLevel="0" collapsed="false">
      <c r="A197" s="0" t="s">
        <v>157</v>
      </c>
      <c r="B197" s="0" t="s">
        <v>136</v>
      </c>
      <c r="C197" s="0" t="s">
        <v>158</v>
      </c>
      <c r="D197" s="0" t="s">
        <v>373</v>
      </c>
      <c r="E197" s="0" t="n">
        <v>5.9</v>
      </c>
      <c r="F197" s="0" t="s">
        <v>379</v>
      </c>
      <c r="G197" s="0" t="s">
        <v>356</v>
      </c>
    </row>
    <row r="198" customFormat="false" ht="15" hidden="false" customHeight="false" outlineLevel="0" collapsed="false">
      <c r="A198" s="0" t="s">
        <v>160</v>
      </c>
      <c r="B198" s="0" t="s">
        <v>136</v>
      </c>
      <c r="C198" s="0" t="s">
        <v>161</v>
      </c>
      <c r="D198" s="0" t="s">
        <v>380</v>
      </c>
      <c r="E198" s="0" t="n">
        <v>2.2</v>
      </c>
      <c r="F198" s="0" t="s">
        <v>366</v>
      </c>
      <c r="G198" s="0" t="s">
        <v>381</v>
      </c>
    </row>
    <row r="199" customFormat="false" ht="15" hidden="false" customHeight="false" outlineLevel="0" collapsed="false">
      <c r="A199" s="0" t="s">
        <v>160</v>
      </c>
      <c r="B199" s="0" t="s">
        <v>136</v>
      </c>
      <c r="C199" s="0" t="s">
        <v>161</v>
      </c>
      <c r="D199" s="0" t="s">
        <v>380</v>
      </c>
      <c r="E199" s="0" t="n">
        <v>3.9</v>
      </c>
      <c r="F199" s="0" t="s">
        <v>382</v>
      </c>
      <c r="G199" s="0" t="s">
        <v>381</v>
      </c>
    </row>
    <row r="200" customFormat="false" ht="15" hidden="false" customHeight="false" outlineLevel="0" collapsed="false">
      <c r="A200" s="0" t="s">
        <v>163</v>
      </c>
      <c r="B200" s="0" t="s">
        <v>136</v>
      </c>
      <c r="C200" s="0" t="s">
        <v>164</v>
      </c>
      <c r="D200" s="0" t="s">
        <v>383</v>
      </c>
      <c r="E200" s="0" t="n">
        <v>7.2</v>
      </c>
      <c r="F200" s="0" t="s">
        <v>384</v>
      </c>
      <c r="G200" s="0" t="s">
        <v>385</v>
      </c>
    </row>
    <row r="201" customFormat="false" ht="15" hidden="false" customHeight="false" outlineLevel="0" collapsed="false">
      <c r="A201" s="0" t="s">
        <v>166</v>
      </c>
      <c r="B201" s="0" t="s">
        <v>136</v>
      </c>
      <c r="C201" s="0" t="s">
        <v>167</v>
      </c>
      <c r="D201" s="0" t="s">
        <v>386</v>
      </c>
      <c r="E201" s="0" t="n">
        <v>8.9</v>
      </c>
      <c r="F201" s="0" t="s">
        <v>387</v>
      </c>
      <c r="G201" s="0" t="s">
        <v>388</v>
      </c>
    </row>
    <row r="202" customFormat="false" ht="15" hidden="false" customHeight="false" outlineLevel="0" collapsed="false">
      <c r="A202" s="0" t="s">
        <v>169</v>
      </c>
      <c r="B202" s="0" t="s">
        <v>136</v>
      </c>
      <c r="C202" s="0" t="s">
        <v>170</v>
      </c>
      <c r="D202" s="0" t="s">
        <v>335</v>
      </c>
      <c r="E202" s="0" t="n">
        <v>5.2</v>
      </c>
      <c r="F202" s="0" t="s">
        <v>389</v>
      </c>
      <c r="G202" s="0" t="s">
        <v>390</v>
      </c>
    </row>
    <row r="203" customFormat="false" ht="15" hidden="false" customHeight="false" outlineLevel="0" collapsed="false">
      <c r="A203" s="0" t="s">
        <v>169</v>
      </c>
      <c r="B203" s="0" t="s">
        <v>136</v>
      </c>
      <c r="C203" s="0" t="s">
        <v>170</v>
      </c>
      <c r="D203" s="0" t="s">
        <v>335</v>
      </c>
      <c r="E203" s="0" t="n">
        <v>7.2</v>
      </c>
      <c r="F203" s="0" t="s">
        <v>391</v>
      </c>
      <c r="G203" s="0" t="s">
        <v>390</v>
      </c>
    </row>
    <row r="204" customFormat="false" ht="15" hidden="false" customHeight="false" outlineLevel="0" collapsed="false">
      <c r="A204" s="0" t="s">
        <v>169</v>
      </c>
      <c r="B204" s="0" t="s">
        <v>136</v>
      </c>
      <c r="C204" s="0" t="s">
        <v>170</v>
      </c>
      <c r="D204" s="0" t="s">
        <v>335</v>
      </c>
      <c r="E204" s="0" t="n">
        <v>18.6</v>
      </c>
      <c r="F204" s="0" t="s">
        <v>392</v>
      </c>
      <c r="G204" s="0" t="s">
        <v>390</v>
      </c>
    </row>
    <row r="205" customFormat="false" ht="15" hidden="false" customHeight="false" outlineLevel="0" collapsed="false">
      <c r="A205" s="0" t="s">
        <v>172</v>
      </c>
      <c r="B205" s="0" t="s">
        <v>136</v>
      </c>
      <c r="C205" s="0" t="s">
        <v>173</v>
      </c>
      <c r="D205" s="0" t="s">
        <v>393</v>
      </c>
      <c r="E205" s="0" t="n">
        <v>1.8</v>
      </c>
      <c r="F205" s="0" t="s">
        <v>358</v>
      </c>
      <c r="G205" s="0" t="s">
        <v>394</v>
      </c>
    </row>
    <row r="206" customFormat="false" ht="15" hidden="false" customHeight="false" outlineLevel="0" collapsed="false">
      <c r="A206" s="0" t="s">
        <v>172</v>
      </c>
      <c r="B206" s="0" t="s">
        <v>136</v>
      </c>
      <c r="C206" s="0" t="s">
        <v>173</v>
      </c>
      <c r="D206" s="0" t="s">
        <v>393</v>
      </c>
      <c r="E206" s="0" t="n">
        <v>4.9</v>
      </c>
      <c r="F206" s="0" t="s">
        <v>395</v>
      </c>
      <c r="G206" s="0" t="s">
        <v>394</v>
      </c>
    </row>
    <row r="207" customFormat="false" ht="15" hidden="false" customHeight="false" outlineLevel="0" collapsed="false">
      <c r="A207" s="0" t="s">
        <v>172</v>
      </c>
      <c r="B207" s="0" t="s">
        <v>136</v>
      </c>
      <c r="C207" s="0" t="s">
        <v>173</v>
      </c>
      <c r="D207" s="0" t="s">
        <v>393</v>
      </c>
      <c r="E207" s="0" t="n">
        <v>5.8</v>
      </c>
      <c r="F207" s="0" t="s">
        <v>396</v>
      </c>
      <c r="G207" s="0" t="s">
        <v>394</v>
      </c>
    </row>
    <row r="208" customFormat="false" ht="15" hidden="false" customHeight="false" outlineLevel="0" collapsed="false">
      <c r="A208" s="0" t="s">
        <v>175</v>
      </c>
      <c r="B208" s="0" t="s">
        <v>136</v>
      </c>
      <c r="C208" s="0" t="s">
        <v>176</v>
      </c>
      <c r="D208" s="0" t="s">
        <v>397</v>
      </c>
      <c r="E208" s="0" t="n">
        <v>4.2</v>
      </c>
      <c r="F208" s="0" t="s">
        <v>398</v>
      </c>
      <c r="G208" s="0" t="s">
        <v>399</v>
      </c>
    </row>
    <row r="209" customFormat="false" ht="15" hidden="false" customHeight="false" outlineLevel="0" collapsed="false">
      <c r="A209" s="0" t="s">
        <v>175</v>
      </c>
      <c r="B209" s="0" t="s">
        <v>136</v>
      </c>
      <c r="C209" s="0" t="s">
        <v>176</v>
      </c>
      <c r="D209" s="0" t="s">
        <v>397</v>
      </c>
      <c r="E209" s="0" t="n">
        <v>19.5</v>
      </c>
      <c r="F209" s="0" t="s">
        <v>400</v>
      </c>
      <c r="G209" s="0" t="s">
        <v>399</v>
      </c>
    </row>
    <row r="210" customFormat="false" ht="15" hidden="false" customHeight="false" outlineLevel="0" collapsed="false">
      <c r="A210" s="0" t="s">
        <v>178</v>
      </c>
      <c r="B210" s="0" t="s">
        <v>136</v>
      </c>
      <c r="C210" s="0" t="s">
        <v>179</v>
      </c>
      <c r="D210" s="0" t="s">
        <v>401</v>
      </c>
      <c r="E210" s="0" t="n">
        <v>3.9</v>
      </c>
      <c r="F210" s="0" t="s">
        <v>402</v>
      </c>
      <c r="G210" s="0" t="s">
        <v>403</v>
      </c>
    </row>
    <row r="211" customFormat="false" ht="15" hidden="false" customHeight="false" outlineLevel="0" collapsed="false">
      <c r="A211" s="0" t="s">
        <v>178</v>
      </c>
      <c r="B211" s="0" t="s">
        <v>136</v>
      </c>
      <c r="C211" s="0" t="s">
        <v>179</v>
      </c>
      <c r="D211" s="0" t="s">
        <v>401</v>
      </c>
      <c r="E211" s="0" t="n">
        <v>5.9</v>
      </c>
      <c r="F211" s="0" t="s">
        <v>395</v>
      </c>
      <c r="G211" s="0" t="s">
        <v>403</v>
      </c>
    </row>
    <row r="212" customFormat="false" ht="15" hidden="false" customHeight="false" outlineLevel="0" collapsed="false">
      <c r="A212" s="0" t="s">
        <v>181</v>
      </c>
      <c r="B212" s="0" t="s">
        <v>136</v>
      </c>
      <c r="C212" s="0" t="s">
        <v>182</v>
      </c>
      <c r="D212" s="0" t="s">
        <v>404</v>
      </c>
      <c r="E212" s="0" t="n">
        <v>5.9</v>
      </c>
      <c r="F212" s="0" t="s">
        <v>405</v>
      </c>
      <c r="G212" s="0" t="s">
        <v>381</v>
      </c>
    </row>
    <row r="213" customFormat="false" ht="15" hidden="false" customHeight="false" outlineLevel="0" collapsed="false">
      <c r="A213" s="0" t="s">
        <v>181</v>
      </c>
      <c r="B213" s="0" t="s">
        <v>136</v>
      </c>
      <c r="C213" s="0" t="s">
        <v>182</v>
      </c>
      <c r="D213" s="0" t="s">
        <v>404</v>
      </c>
      <c r="E213" s="0" t="n">
        <v>18.6</v>
      </c>
      <c r="F213" s="0" t="s">
        <v>406</v>
      </c>
      <c r="G213" s="0" t="s">
        <v>381</v>
      </c>
    </row>
    <row r="214" customFormat="false" ht="15" hidden="false" customHeight="false" outlineLevel="0" collapsed="false">
      <c r="A214" s="0" t="s">
        <v>184</v>
      </c>
      <c r="B214" s="0" t="s">
        <v>136</v>
      </c>
      <c r="C214" s="0" t="s">
        <v>185</v>
      </c>
      <c r="D214" s="0" t="s">
        <v>407</v>
      </c>
      <c r="E214" s="0" t="n">
        <v>2.2</v>
      </c>
      <c r="F214" s="0" t="s">
        <v>366</v>
      </c>
      <c r="G214" s="0" t="s">
        <v>408</v>
      </c>
    </row>
    <row r="215" customFormat="false" ht="15" hidden="false" customHeight="false" outlineLevel="0" collapsed="false">
      <c r="A215" s="0" t="s">
        <v>184</v>
      </c>
      <c r="B215" s="0" t="s">
        <v>136</v>
      </c>
      <c r="C215" s="0" t="s">
        <v>185</v>
      </c>
      <c r="D215" s="0" t="s">
        <v>407</v>
      </c>
      <c r="E215" s="0" t="n">
        <v>34</v>
      </c>
      <c r="F215" s="0" t="s">
        <v>409</v>
      </c>
      <c r="G215" s="0" t="s">
        <v>410</v>
      </c>
    </row>
    <row r="216" customFormat="false" ht="15" hidden="false" customHeight="false" outlineLevel="0" collapsed="false">
      <c r="A216" s="0" t="s">
        <v>187</v>
      </c>
      <c r="B216" s="0" t="s">
        <v>136</v>
      </c>
      <c r="C216" s="0" t="s">
        <v>188</v>
      </c>
      <c r="D216" s="0" t="s">
        <v>401</v>
      </c>
      <c r="E216" s="0" t="n">
        <v>3.9</v>
      </c>
      <c r="F216" s="0" t="s">
        <v>411</v>
      </c>
      <c r="G216" s="0" t="s">
        <v>412</v>
      </c>
    </row>
    <row r="217" customFormat="false" ht="15" hidden="false" customHeight="false" outlineLevel="0" collapsed="false">
      <c r="A217" s="0" t="s">
        <v>187</v>
      </c>
      <c r="B217" s="0" t="s">
        <v>136</v>
      </c>
      <c r="C217" s="0" t="s">
        <v>188</v>
      </c>
      <c r="D217" s="0" t="s">
        <v>401</v>
      </c>
      <c r="E217" s="0" t="n">
        <v>4</v>
      </c>
      <c r="F217" s="0" t="s">
        <v>413</v>
      </c>
      <c r="G217" s="0" t="s">
        <v>414</v>
      </c>
    </row>
    <row r="218" customFormat="false" ht="15" hidden="false" customHeight="false" outlineLevel="0" collapsed="false">
      <c r="A218" s="0" t="s">
        <v>187</v>
      </c>
      <c r="B218" s="0" t="s">
        <v>136</v>
      </c>
      <c r="C218" s="0" t="s">
        <v>188</v>
      </c>
      <c r="D218" s="0" t="s">
        <v>401</v>
      </c>
      <c r="E218" s="0" t="n">
        <v>4.2</v>
      </c>
      <c r="F218" s="0" t="s">
        <v>415</v>
      </c>
      <c r="G218" s="0" t="s">
        <v>412</v>
      </c>
    </row>
    <row r="219" customFormat="false" ht="15" hidden="false" customHeight="false" outlineLevel="0" collapsed="false">
      <c r="A219" s="0" t="s">
        <v>190</v>
      </c>
      <c r="B219" s="0" t="s">
        <v>136</v>
      </c>
      <c r="C219" s="0" t="s">
        <v>191</v>
      </c>
      <c r="D219" s="0" t="s">
        <v>416</v>
      </c>
      <c r="E219" s="0" t="n">
        <v>3.9</v>
      </c>
      <c r="F219" s="0" t="s">
        <v>417</v>
      </c>
      <c r="G219" s="0" t="s">
        <v>418</v>
      </c>
    </row>
    <row r="220" customFormat="false" ht="15" hidden="false" customHeight="false" outlineLevel="0" collapsed="false">
      <c r="A220" s="0" t="s">
        <v>190</v>
      </c>
      <c r="B220" s="0" t="s">
        <v>136</v>
      </c>
      <c r="C220" s="0" t="s">
        <v>191</v>
      </c>
      <c r="D220" s="0" t="s">
        <v>416</v>
      </c>
      <c r="E220" s="0" t="n">
        <v>8.9</v>
      </c>
      <c r="F220" s="0" t="s">
        <v>419</v>
      </c>
      <c r="G220" s="0" t="s">
        <v>418</v>
      </c>
    </row>
    <row r="221" customFormat="false" ht="15" hidden="false" customHeight="false" outlineLevel="0" collapsed="false">
      <c r="A221" s="0" t="s">
        <v>193</v>
      </c>
      <c r="B221" s="0" t="s">
        <v>136</v>
      </c>
      <c r="C221" s="0" t="s">
        <v>93</v>
      </c>
      <c r="D221" s="0" t="s">
        <v>328</v>
      </c>
      <c r="E221" s="0" t="n">
        <v>3.5</v>
      </c>
      <c r="F221" s="0" t="s">
        <v>374</v>
      </c>
      <c r="G221" s="0" t="s">
        <v>420</v>
      </c>
    </row>
    <row r="222" customFormat="false" ht="15" hidden="false" customHeight="false" outlineLevel="0" collapsed="false">
      <c r="A222" s="0" t="s">
        <v>193</v>
      </c>
      <c r="B222" s="0" t="s">
        <v>136</v>
      </c>
      <c r="C222" s="0" t="s">
        <v>93</v>
      </c>
      <c r="D222" s="0" t="s">
        <v>328</v>
      </c>
      <c r="E222" s="0" t="n">
        <v>8.9</v>
      </c>
      <c r="F222" s="0" t="s">
        <v>419</v>
      </c>
      <c r="G222" s="0" t="s">
        <v>420</v>
      </c>
    </row>
    <row r="223" customFormat="false" ht="15" hidden="false" customHeight="false" outlineLevel="0" collapsed="false">
      <c r="A223" s="0" t="s">
        <v>193</v>
      </c>
      <c r="B223" s="0" t="s">
        <v>136</v>
      </c>
      <c r="C223" s="0" t="s">
        <v>93</v>
      </c>
      <c r="D223" s="0" t="s">
        <v>328</v>
      </c>
      <c r="E223" s="0" t="n">
        <v>9</v>
      </c>
      <c r="F223" s="0" t="s">
        <v>421</v>
      </c>
      <c r="G223" s="0" t="s">
        <v>420</v>
      </c>
    </row>
    <row r="224" customFormat="false" ht="15" hidden="false" customHeight="false" outlineLevel="0" collapsed="false">
      <c r="A224" s="0" t="s">
        <v>195</v>
      </c>
      <c r="B224" s="0" t="s">
        <v>136</v>
      </c>
      <c r="C224" s="0" t="s">
        <v>196</v>
      </c>
      <c r="D224" s="0" t="s">
        <v>422</v>
      </c>
      <c r="E224" s="0" t="n">
        <v>2.2</v>
      </c>
      <c r="F224" s="0" t="s">
        <v>366</v>
      </c>
      <c r="G224" s="0" t="s">
        <v>410</v>
      </c>
    </row>
    <row r="225" customFormat="false" ht="15" hidden="false" customHeight="false" outlineLevel="0" collapsed="false">
      <c r="A225" s="0" t="s">
        <v>195</v>
      </c>
      <c r="B225" s="0" t="s">
        <v>136</v>
      </c>
      <c r="C225" s="0" t="s">
        <v>196</v>
      </c>
      <c r="D225" s="0" t="s">
        <v>422</v>
      </c>
      <c r="E225" s="0" t="n">
        <v>5.5</v>
      </c>
      <c r="F225" s="0" t="s">
        <v>377</v>
      </c>
      <c r="G225" s="0" t="s">
        <v>410</v>
      </c>
    </row>
    <row r="226" customFormat="false" ht="15" hidden="false" customHeight="false" outlineLevel="0" collapsed="false">
      <c r="A226" s="0" t="s">
        <v>195</v>
      </c>
      <c r="B226" s="0" t="s">
        <v>136</v>
      </c>
      <c r="C226" s="0" t="s">
        <v>196</v>
      </c>
      <c r="D226" s="0" t="s">
        <v>422</v>
      </c>
      <c r="E226" s="0" t="n">
        <v>6.4</v>
      </c>
      <c r="F226" s="0" t="s">
        <v>423</v>
      </c>
      <c r="G226" s="0" t="s">
        <v>410</v>
      </c>
    </row>
    <row r="227" customFormat="false" ht="15" hidden="false" customHeight="false" outlineLevel="0" collapsed="false">
      <c r="A227" s="0" t="s">
        <v>198</v>
      </c>
      <c r="B227" s="0" t="s">
        <v>136</v>
      </c>
      <c r="C227" s="0" t="s">
        <v>199</v>
      </c>
      <c r="D227" s="0" t="s">
        <v>424</v>
      </c>
      <c r="E227" s="0" t="n">
        <v>18.6</v>
      </c>
      <c r="F227" s="0" t="s">
        <v>425</v>
      </c>
      <c r="G227" s="0" t="s">
        <v>426</v>
      </c>
    </row>
    <row r="228" customFormat="false" ht="15" hidden="false" customHeight="false" outlineLevel="0" collapsed="false">
      <c r="A228" s="0" t="s">
        <v>198</v>
      </c>
      <c r="B228" s="0" t="s">
        <v>136</v>
      </c>
      <c r="C228" s="0" t="s">
        <v>199</v>
      </c>
      <c r="D228" s="0" t="s">
        <v>424</v>
      </c>
      <c r="E228" s="0" t="n">
        <v>27.8</v>
      </c>
      <c r="F228" s="0" t="s">
        <v>427</v>
      </c>
      <c r="G228" s="0" t="s">
        <v>426</v>
      </c>
    </row>
    <row r="229" customFormat="false" ht="15" hidden="false" customHeight="false" outlineLevel="0" collapsed="false">
      <c r="A229" s="0" t="s">
        <v>201</v>
      </c>
      <c r="B229" s="0" t="s">
        <v>136</v>
      </c>
      <c r="C229" s="0" t="s">
        <v>202</v>
      </c>
      <c r="D229" s="0" t="s">
        <v>352</v>
      </c>
      <c r="E229" s="0" t="n">
        <v>8.3</v>
      </c>
      <c r="F229" s="0" t="s">
        <v>428</v>
      </c>
      <c r="G229" s="0" t="s">
        <v>394</v>
      </c>
    </row>
    <row r="230" customFormat="false" ht="15" hidden="false" customHeight="false" outlineLevel="0" collapsed="false">
      <c r="A230" s="0" t="s">
        <v>201</v>
      </c>
      <c r="B230" s="0" t="s">
        <v>136</v>
      </c>
      <c r="C230" s="0" t="s">
        <v>202</v>
      </c>
      <c r="D230" s="0" t="s">
        <v>352</v>
      </c>
      <c r="E230" s="0" t="n">
        <v>8.9</v>
      </c>
      <c r="F230" s="0" t="s">
        <v>429</v>
      </c>
      <c r="G230" s="0" t="s">
        <v>394</v>
      </c>
    </row>
    <row r="231" customFormat="false" ht="15" hidden="false" customHeight="false" outlineLevel="0" collapsed="false">
      <c r="A231" s="0" t="s">
        <v>201</v>
      </c>
      <c r="B231" s="0" t="s">
        <v>136</v>
      </c>
      <c r="C231" s="0" t="s">
        <v>202</v>
      </c>
      <c r="D231" s="0" t="s">
        <v>352</v>
      </c>
      <c r="E231" s="0" t="n">
        <v>19.9</v>
      </c>
      <c r="F231" s="0" t="s">
        <v>430</v>
      </c>
      <c r="G231" s="0" t="s">
        <v>394</v>
      </c>
    </row>
    <row r="232" customFormat="false" ht="15" hidden="false" customHeight="false" outlineLevel="0" collapsed="false">
      <c r="A232" s="0" t="s">
        <v>204</v>
      </c>
      <c r="B232" s="0" t="s">
        <v>136</v>
      </c>
      <c r="C232" s="0" t="s">
        <v>205</v>
      </c>
      <c r="D232" s="0" t="s">
        <v>431</v>
      </c>
      <c r="E232" s="0" t="n">
        <v>2.2</v>
      </c>
      <c r="F232" s="0" t="s">
        <v>366</v>
      </c>
      <c r="G232" s="0" t="s">
        <v>367</v>
      </c>
    </row>
    <row r="233" customFormat="false" ht="15" hidden="false" customHeight="false" outlineLevel="0" collapsed="false">
      <c r="A233" s="0" t="s">
        <v>204</v>
      </c>
      <c r="B233" s="0" t="s">
        <v>136</v>
      </c>
      <c r="C233" s="0" t="s">
        <v>205</v>
      </c>
      <c r="D233" s="0" t="s">
        <v>431</v>
      </c>
      <c r="E233" s="0" t="n">
        <v>5.9</v>
      </c>
      <c r="F233" s="0" t="s">
        <v>432</v>
      </c>
      <c r="G233" s="0" t="s">
        <v>367</v>
      </c>
    </row>
    <row r="234" customFormat="false" ht="15" hidden="false" customHeight="false" outlineLevel="0" collapsed="false">
      <c r="A234" s="0" t="s">
        <v>204</v>
      </c>
      <c r="B234" s="0" t="s">
        <v>136</v>
      </c>
      <c r="C234" s="0" t="s">
        <v>205</v>
      </c>
      <c r="D234" s="0" t="s">
        <v>431</v>
      </c>
      <c r="E234" s="0" t="n">
        <v>8.4</v>
      </c>
      <c r="F234" s="0" t="s">
        <v>433</v>
      </c>
      <c r="G234" s="0" t="s">
        <v>367</v>
      </c>
    </row>
    <row r="235" customFormat="false" ht="15" hidden="false" customHeight="false" outlineLevel="0" collapsed="false">
      <c r="A235" s="0" t="s">
        <v>204</v>
      </c>
      <c r="B235" s="0" t="s">
        <v>136</v>
      </c>
      <c r="C235" s="0" t="s">
        <v>205</v>
      </c>
      <c r="D235" s="0" t="s">
        <v>431</v>
      </c>
      <c r="E235" s="0" t="n">
        <v>8.9</v>
      </c>
      <c r="F235" s="0" t="s">
        <v>345</v>
      </c>
      <c r="G235" s="0" t="s">
        <v>367</v>
      </c>
    </row>
    <row r="236" customFormat="false" ht="15" hidden="false" customHeight="false" outlineLevel="0" collapsed="false">
      <c r="A236" s="0" t="s">
        <v>207</v>
      </c>
      <c r="B236" s="0" t="s">
        <v>136</v>
      </c>
      <c r="C236" s="0" t="s">
        <v>208</v>
      </c>
      <c r="D236" s="0" t="s">
        <v>434</v>
      </c>
      <c r="E236" s="0" t="n">
        <v>4.2</v>
      </c>
      <c r="F236" s="0" t="s">
        <v>435</v>
      </c>
      <c r="G236" s="0" t="s">
        <v>436</v>
      </c>
    </row>
    <row r="237" customFormat="false" ht="15" hidden="false" customHeight="false" outlineLevel="0" collapsed="false">
      <c r="A237" s="0" t="s">
        <v>207</v>
      </c>
      <c r="B237" s="0" t="s">
        <v>136</v>
      </c>
      <c r="C237" s="0" t="s">
        <v>208</v>
      </c>
      <c r="D237" s="0" t="s">
        <v>434</v>
      </c>
      <c r="E237" s="0" t="n">
        <v>5.2</v>
      </c>
      <c r="F237" s="0" t="s">
        <v>437</v>
      </c>
      <c r="G237" s="0" t="s">
        <v>436</v>
      </c>
    </row>
    <row r="238" customFormat="false" ht="15" hidden="false" customHeight="false" outlineLevel="0" collapsed="false">
      <c r="A238" s="0" t="s">
        <v>207</v>
      </c>
      <c r="B238" s="0" t="s">
        <v>136</v>
      </c>
      <c r="C238" s="0" t="s">
        <v>208</v>
      </c>
      <c r="D238" s="0" t="s">
        <v>434</v>
      </c>
      <c r="E238" s="0" t="n">
        <v>5.9</v>
      </c>
      <c r="F238" s="0" t="s">
        <v>438</v>
      </c>
      <c r="G238" s="0" t="s">
        <v>436</v>
      </c>
    </row>
    <row r="239" customFormat="false" ht="15" hidden="false" customHeight="false" outlineLevel="0" collapsed="false">
      <c r="A239" s="0" t="s">
        <v>210</v>
      </c>
      <c r="B239" s="0" t="s">
        <v>136</v>
      </c>
      <c r="C239" s="0" t="s">
        <v>211</v>
      </c>
      <c r="D239" s="0" t="s">
        <v>314</v>
      </c>
      <c r="E239" s="0" t="n">
        <v>18.6</v>
      </c>
      <c r="F239" s="0" t="s">
        <v>439</v>
      </c>
      <c r="G239" s="0" t="s">
        <v>440</v>
      </c>
    </row>
    <row r="240" customFormat="false" ht="15" hidden="false" customHeight="false" outlineLevel="0" collapsed="false">
      <c r="A240" s="0" t="s">
        <v>210</v>
      </c>
      <c r="B240" s="0" t="s">
        <v>136</v>
      </c>
      <c r="C240" s="0" t="s">
        <v>211</v>
      </c>
      <c r="D240" s="0" t="s">
        <v>314</v>
      </c>
      <c r="E240" s="0" t="n">
        <v>19.9</v>
      </c>
      <c r="F240" s="0" t="s">
        <v>441</v>
      </c>
      <c r="G240" s="0" t="s">
        <v>371</v>
      </c>
    </row>
    <row r="241" customFormat="false" ht="15" hidden="false" customHeight="false" outlineLevel="0" collapsed="false">
      <c r="A241" s="0" t="s">
        <v>213</v>
      </c>
      <c r="B241" s="0" t="s">
        <v>136</v>
      </c>
      <c r="C241" s="0" t="s">
        <v>214</v>
      </c>
      <c r="D241" s="0" t="s">
        <v>442</v>
      </c>
      <c r="E241" s="0" t="n">
        <v>8.9</v>
      </c>
      <c r="F241" s="0" t="s">
        <v>429</v>
      </c>
      <c r="G241" s="0" t="s">
        <v>363</v>
      </c>
    </row>
    <row r="242" customFormat="false" ht="15" hidden="false" customHeight="false" outlineLevel="0" collapsed="false">
      <c r="A242" s="0" t="s">
        <v>213</v>
      </c>
      <c r="B242" s="0" t="s">
        <v>136</v>
      </c>
      <c r="C242" s="0" t="s">
        <v>214</v>
      </c>
      <c r="D242" s="0" t="s">
        <v>442</v>
      </c>
      <c r="E242" s="0" t="n">
        <v>18.6</v>
      </c>
      <c r="F242" s="0" t="s">
        <v>392</v>
      </c>
      <c r="G242" s="0" t="s">
        <v>363</v>
      </c>
    </row>
    <row r="243" customFormat="false" ht="15" hidden="false" customHeight="false" outlineLevel="0" collapsed="false">
      <c r="A243" s="0" t="s">
        <v>216</v>
      </c>
      <c r="B243" s="0" t="s">
        <v>136</v>
      </c>
      <c r="C243" s="0" t="s">
        <v>217</v>
      </c>
      <c r="D243" s="0" t="s">
        <v>443</v>
      </c>
      <c r="E243" s="0" t="n">
        <v>3.9</v>
      </c>
      <c r="F243" s="0" t="s">
        <v>444</v>
      </c>
      <c r="G243" s="0" t="s">
        <v>356</v>
      </c>
    </row>
    <row r="244" customFormat="false" ht="15" hidden="false" customHeight="false" outlineLevel="0" collapsed="false">
      <c r="A244" s="0" t="s">
        <v>216</v>
      </c>
      <c r="B244" s="0" t="s">
        <v>136</v>
      </c>
      <c r="C244" s="0" t="s">
        <v>217</v>
      </c>
      <c r="D244" s="0" t="s">
        <v>443</v>
      </c>
      <c r="E244" s="0" t="n">
        <v>19</v>
      </c>
      <c r="F244" s="0" t="s">
        <v>445</v>
      </c>
      <c r="G244" s="0" t="s">
        <v>356</v>
      </c>
    </row>
    <row r="245" customFormat="false" ht="15" hidden="false" customHeight="false" outlineLevel="0" collapsed="false">
      <c r="A245" s="0" t="s">
        <v>219</v>
      </c>
      <c r="B245" s="0" t="s">
        <v>136</v>
      </c>
      <c r="C245" s="0" t="s">
        <v>220</v>
      </c>
      <c r="D245" s="0" t="s">
        <v>446</v>
      </c>
      <c r="E245" s="0" t="n">
        <v>17.8</v>
      </c>
      <c r="F245" s="0" t="s">
        <v>447</v>
      </c>
      <c r="G245" s="0" t="s">
        <v>390</v>
      </c>
    </row>
    <row r="246" customFormat="false" ht="15" hidden="false" customHeight="false" outlineLevel="0" collapsed="false">
      <c r="A246" s="0" t="s">
        <v>219</v>
      </c>
      <c r="B246" s="0" t="s">
        <v>136</v>
      </c>
      <c r="C246" s="0" t="s">
        <v>220</v>
      </c>
      <c r="D246" s="0" t="s">
        <v>446</v>
      </c>
      <c r="E246" s="0" t="n">
        <v>18.6</v>
      </c>
      <c r="F246" s="0" t="s">
        <v>448</v>
      </c>
      <c r="G246" s="0" t="s">
        <v>449</v>
      </c>
    </row>
    <row r="247" customFormat="false" ht="15" hidden="false" customHeight="false" outlineLevel="0" collapsed="false">
      <c r="A247" s="0" t="s">
        <v>219</v>
      </c>
      <c r="B247" s="0" t="s">
        <v>136</v>
      </c>
      <c r="C247" s="0" t="s">
        <v>220</v>
      </c>
      <c r="D247" s="0" t="s">
        <v>446</v>
      </c>
      <c r="E247" s="0" t="n">
        <v>27.8</v>
      </c>
      <c r="F247" s="0" t="s">
        <v>450</v>
      </c>
      <c r="G247" s="0" t="s">
        <v>451</v>
      </c>
    </row>
    <row r="248" customFormat="false" ht="15" hidden="false" customHeight="false" outlineLevel="0" collapsed="false">
      <c r="A248" s="0" t="s">
        <v>222</v>
      </c>
      <c r="B248" s="0" t="s">
        <v>136</v>
      </c>
      <c r="C248" s="0" t="s">
        <v>223</v>
      </c>
      <c r="D248" s="0" t="s">
        <v>416</v>
      </c>
      <c r="E248" s="0" t="n">
        <v>18.6</v>
      </c>
      <c r="F248" s="0" t="s">
        <v>406</v>
      </c>
      <c r="G248" s="0" t="s">
        <v>375</v>
      </c>
    </row>
    <row r="249" customFormat="false" ht="15" hidden="false" customHeight="false" outlineLevel="0" collapsed="false">
      <c r="A249" s="0" t="s">
        <v>222</v>
      </c>
      <c r="B249" s="0" t="s">
        <v>136</v>
      </c>
      <c r="C249" s="0" t="s">
        <v>223</v>
      </c>
      <c r="D249" s="0" t="s">
        <v>416</v>
      </c>
      <c r="E249" s="0" t="n">
        <v>25</v>
      </c>
      <c r="F249" s="0" t="s">
        <v>452</v>
      </c>
      <c r="G249" s="0" t="s">
        <v>375</v>
      </c>
    </row>
    <row r="250" customFormat="false" ht="15" hidden="false" customHeight="false" outlineLevel="0" collapsed="false">
      <c r="A250" s="0" t="s">
        <v>225</v>
      </c>
      <c r="B250" s="0" t="s">
        <v>136</v>
      </c>
      <c r="C250" s="0" t="s">
        <v>226</v>
      </c>
      <c r="D250" s="0" t="s">
        <v>453</v>
      </c>
      <c r="E250" s="0" t="n">
        <v>4.2</v>
      </c>
      <c r="F250" s="0" t="s">
        <v>454</v>
      </c>
      <c r="G250" s="0" t="s">
        <v>455</v>
      </c>
    </row>
    <row r="251" customFormat="false" ht="15" hidden="false" customHeight="false" outlineLevel="0" collapsed="false">
      <c r="A251" s="0" t="s">
        <v>228</v>
      </c>
      <c r="B251" s="0" t="s">
        <v>136</v>
      </c>
      <c r="C251" s="0" t="s">
        <v>130</v>
      </c>
      <c r="D251" s="0" t="s">
        <v>456</v>
      </c>
      <c r="E251" s="0" t="n">
        <v>5.9</v>
      </c>
      <c r="F251" s="0" t="s">
        <v>368</v>
      </c>
      <c r="G251" s="0" t="s">
        <v>457</v>
      </c>
    </row>
    <row r="252" customFormat="false" ht="15" hidden="false" customHeight="false" outlineLevel="0" collapsed="false">
      <c r="A252" s="0" t="s">
        <v>228</v>
      </c>
      <c r="B252" s="0" t="s">
        <v>136</v>
      </c>
      <c r="C252" s="0" t="s">
        <v>130</v>
      </c>
      <c r="D252" s="0" t="s">
        <v>456</v>
      </c>
      <c r="E252" s="0" t="n">
        <v>8.9</v>
      </c>
      <c r="F252" s="0" t="s">
        <v>345</v>
      </c>
      <c r="G252" s="0" t="s">
        <v>457</v>
      </c>
    </row>
    <row r="253" customFormat="false" ht="15" hidden="false" customHeight="false" outlineLevel="0" collapsed="false">
      <c r="A253" s="0" t="s">
        <v>230</v>
      </c>
      <c r="B253" s="0" t="s">
        <v>136</v>
      </c>
      <c r="C253" s="0" t="s">
        <v>231</v>
      </c>
      <c r="D253" s="0" t="s">
        <v>458</v>
      </c>
      <c r="E253" s="0" t="n">
        <v>4.2</v>
      </c>
      <c r="F253" s="0" t="s">
        <v>459</v>
      </c>
      <c r="G253" s="0" t="s">
        <v>375</v>
      </c>
    </row>
    <row r="254" customFormat="false" ht="15" hidden="false" customHeight="false" outlineLevel="0" collapsed="false">
      <c r="A254" s="0" t="s">
        <v>230</v>
      </c>
      <c r="B254" s="0" t="s">
        <v>136</v>
      </c>
      <c r="C254" s="0" t="s">
        <v>231</v>
      </c>
      <c r="D254" s="0" t="s">
        <v>458</v>
      </c>
      <c r="E254" s="0" t="n">
        <v>18.6</v>
      </c>
      <c r="F254" s="0" t="s">
        <v>406</v>
      </c>
      <c r="G254" s="0" t="s">
        <v>375</v>
      </c>
    </row>
    <row r="255" customFormat="false" ht="15" hidden="false" customHeight="false" outlineLevel="0" collapsed="false">
      <c r="A255" s="0" t="s">
        <v>233</v>
      </c>
      <c r="B255" s="0" t="s">
        <v>136</v>
      </c>
      <c r="C255" s="0" t="s">
        <v>133</v>
      </c>
      <c r="D255" s="0" t="s">
        <v>460</v>
      </c>
      <c r="E255" s="0" t="n">
        <v>3.5</v>
      </c>
      <c r="F255" s="0" t="s">
        <v>461</v>
      </c>
      <c r="G255" s="0" t="s">
        <v>462</v>
      </c>
    </row>
    <row r="256" customFormat="false" ht="15" hidden="false" customHeight="false" outlineLevel="0" collapsed="false">
      <c r="A256" s="0" t="s">
        <v>233</v>
      </c>
      <c r="B256" s="0" t="s">
        <v>136</v>
      </c>
      <c r="C256" s="0" t="s">
        <v>133</v>
      </c>
      <c r="D256" s="0" t="s">
        <v>460</v>
      </c>
      <c r="E256" s="0" t="n">
        <v>3.9</v>
      </c>
      <c r="F256" s="0" t="s">
        <v>444</v>
      </c>
      <c r="G256" s="0" t="s">
        <v>462</v>
      </c>
    </row>
    <row r="257" customFormat="false" ht="15" hidden="false" customHeight="false" outlineLevel="0" collapsed="false">
      <c r="A257" s="0" t="s">
        <v>233</v>
      </c>
      <c r="B257" s="0" t="s">
        <v>136</v>
      </c>
      <c r="C257" s="0" t="s">
        <v>133</v>
      </c>
      <c r="D257" s="0" t="s">
        <v>460</v>
      </c>
      <c r="E257" s="0" t="n">
        <v>7.9</v>
      </c>
      <c r="F257" s="0" t="s">
        <v>463</v>
      </c>
      <c r="G257" s="0" t="s">
        <v>462</v>
      </c>
    </row>
    <row r="258" customFormat="false" ht="15" hidden="false" customHeight="false" outlineLevel="0" collapsed="false">
      <c r="A258" s="0" t="s">
        <v>233</v>
      </c>
      <c r="B258" s="0" t="s">
        <v>136</v>
      </c>
      <c r="C258" s="0" t="s">
        <v>133</v>
      </c>
      <c r="D258" s="0" t="s">
        <v>460</v>
      </c>
      <c r="E258" s="0" t="n">
        <v>9</v>
      </c>
      <c r="F258" s="0" t="s">
        <v>464</v>
      </c>
      <c r="G258" s="0" t="s">
        <v>462</v>
      </c>
    </row>
    <row r="259" customFormat="false" ht="15" hidden="false" customHeight="false" outlineLevel="0" collapsed="false">
      <c r="A259" s="0" t="s">
        <v>235</v>
      </c>
      <c r="B259" s="0" t="s">
        <v>236</v>
      </c>
      <c r="C259" s="0" t="s">
        <v>237</v>
      </c>
      <c r="D259" s="0" t="s">
        <v>465</v>
      </c>
      <c r="E259" s="0" t="n">
        <v>6.6</v>
      </c>
    </row>
    <row r="260" customFormat="false" ht="15" hidden="false" customHeight="false" outlineLevel="0" collapsed="false">
      <c r="A260" s="0" t="s">
        <v>235</v>
      </c>
      <c r="B260" s="0" t="s">
        <v>236</v>
      </c>
      <c r="C260" s="0" t="s">
        <v>237</v>
      </c>
      <c r="D260" s="0" t="s">
        <v>465</v>
      </c>
      <c r="E260" s="0" t="n">
        <v>17.6</v>
      </c>
    </row>
    <row r="261" customFormat="false" ht="15" hidden="false" customHeight="false" outlineLevel="0" collapsed="false">
      <c r="A261" s="0" t="s">
        <v>235</v>
      </c>
      <c r="B261" s="0" t="s">
        <v>236</v>
      </c>
      <c r="C261" s="0" t="s">
        <v>237</v>
      </c>
      <c r="D261" s="0" t="s">
        <v>465</v>
      </c>
      <c r="E261" s="0" t="n">
        <v>19</v>
      </c>
    </row>
    <row r="262" customFormat="false" ht="15" hidden="false" customHeight="false" outlineLevel="0" collapsed="false">
      <c r="A262" s="0" t="s">
        <v>235</v>
      </c>
      <c r="B262" s="0" t="s">
        <v>236</v>
      </c>
      <c r="C262" s="0" t="s">
        <v>237</v>
      </c>
      <c r="D262" s="0" t="s">
        <v>465</v>
      </c>
      <c r="E262" s="0" t="n">
        <v>29.9</v>
      </c>
    </row>
    <row r="263" customFormat="false" ht="15" hidden="false" customHeight="false" outlineLevel="0" collapsed="false">
      <c r="A263" s="0" t="s">
        <v>239</v>
      </c>
      <c r="B263" s="0" t="s">
        <v>236</v>
      </c>
      <c r="C263" s="0" t="s">
        <v>240</v>
      </c>
      <c r="D263" s="0" t="s">
        <v>466</v>
      </c>
      <c r="E263" s="0" t="n">
        <v>3.8</v>
      </c>
    </row>
    <row r="264" customFormat="false" ht="15" hidden="false" customHeight="false" outlineLevel="0" collapsed="false">
      <c r="A264" s="0" t="s">
        <v>239</v>
      </c>
      <c r="B264" s="0" t="s">
        <v>236</v>
      </c>
      <c r="C264" s="0" t="s">
        <v>240</v>
      </c>
      <c r="D264" s="0" t="s">
        <v>466</v>
      </c>
      <c r="E264" s="0" t="n">
        <v>4</v>
      </c>
    </row>
    <row r="265" customFormat="false" ht="15" hidden="false" customHeight="false" outlineLevel="0" collapsed="false">
      <c r="A265" s="0" t="s">
        <v>239</v>
      </c>
      <c r="B265" s="0" t="s">
        <v>236</v>
      </c>
      <c r="C265" s="0" t="s">
        <v>240</v>
      </c>
      <c r="D265" s="0" t="s">
        <v>466</v>
      </c>
      <c r="E265" s="0" t="n">
        <v>5.45</v>
      </c>
    </row>
    <row r="266" customFormat="false" ht="15" hidden="false" customHeight="false" outlineLevel="0" collapsed="false">
      <c r="A266" s="0" t="s">
        <v>239</v>
      </c>
      <c r="B266" s="0" t="s">
        <v>236</v>
      </c>
      <c r="C266" s="0" t="s">
        <v>240</v>
      </c>
      <c r="D266" s="0" t="s">
        <v>466</v>
      </c>
      <c r="E266" s="0" t="n">
        <v>13.4</v>
      </c>
    </row>
    <row r="267" customFormat="false" ht="15" hidden="false" customHeight="false" outlineLevel="0" collapsed="false">
      <c r="A267" s="0" t="s">
        <v>239</v>
      </c>
      <c r="B267" s="0" t="s">
        <v>236</v>
      </c>
      <c r="C267" s="0" t="s">
        <v>240</v>
      </c>
      <c r="D267" s="0" t="s">
        <v>466</v>
      </c>
      <c r="E267" s="0" t="n">
        <v>59.8</v>
      </c>
    </row>
    <row r="268" customFormat="false" ht="15" hidden="false" customHeight="false" outlineLevel="0" collapsed="false">
      <c r="A268" s="0" t="s">
        <v>242</v>
      </c>
      <c r="B268" s="0" t="s">
        <v>236</v>
      </c>
      <c r="C268" s="0" t="s">
        <v>243</v>
      </c>
      <c r="D268" s="0" t="s">
        <v>467</v>
      </c>
      <c r="E268" s="0" t="n">
        <v>1.8</v>
      </c>
    </row>
    <row r="269" customFormat="false" ht="15" hidden="false" customHeight="false" outlineLevel="0" collapsed="false">
      <c r="A269" s="0" t="s">
        <v>242</v>
      </c>
      <c r="B269" s="0" t="s">
        <v>236</v>
      </c>
      <c r="C269" s="0" t="s">
        <v>243</v>
      </c>
      <c r="D269" s="0" t="s">
        <v>467</v>
      </c>
      <c r="E269" s="0" t="n">
        <v>2.6</v>
      </c>
    </row>
    <row r="270" customFormat="false" ht="15" hidden="false" customHeight="false" outlineLevel="0" collapsed="false">
      <c r="A270" s="0" t="s">
        <v>242</v>
      </c>
      <c r="B270" s="0" t="s">
        <v>236</v>
      </c>
      <c r="C270" s="0" t="s">
        <v>243</v>
      </c>
      <c r="D270" s="0" t="s">
        <v>467</v>
      </c>
      <c r="E270" s="0" t="n">
        <v>3.3</v>
      </c>
    </row>
    <row r="271" customFormat="false" ht="15" hidden="false" customHeight="false" outlineLevel="0" collapsed="false">
      <c r="A271" s="0" t="s">
        <v>242</v>
      </c>
      <c r="B271" s="0" t="s">
        <v>236</v>
      </c>
      <c r="C271" s="0" t="s">
        <v>243</v>
      </c>
      <c r="D271" s="0" t="s">
        <v>467</v>
      </c>
      <c r="E271" s="0" t="n">
        <v>4.2</v>
      </c>
    </row>
    <row r="272" customFormat="false" ht="15" hidden="false" customHeight="false" outlineLevel="0" collapsed="false">
      <c r="A272" s="0" t="s">
        <v>242</v>
      </c>
      <c r="B272" s="0" t="s">
        <v>236</v>
      </c>
      <c r="C272" s="0" t="s">
        <v>243</v>
      </c>
      <c r="D272" s="0" t="s">
        <v>467</v>
      </c>
      <c r="E272" s="0" t="n">
        <v>8.8</v>
      </c>
    </row>
    <row r="273" customFormat="false" ht="15" hidden="false" customHeight="false" outlineLevel="0" collapsed="false">
      <c r="A273" s="0" t="s">
        <v>242</v>
      </c>
      <c r="B273" s="0" t="s">
        <v>236</v>
      </c>
      <c r="C273" s="0" t="s">
        <v>243</v>
      </c>
      <c r="D273" s="0" t="s">
        <v>467</v>
      </c>
      <c r="E273" s="0" t="n">
        <v>8.8</v>
      </c>
    </row>
    <row r="274" customFormat="false" ht="15" hidden="false" customHeight="false" outlineLevel="0" collapsed="false">
      <c r="A274" s="0" t="s">
        <v>242</v>
      </c>
      <c r="B274" s="0" t="s">
        <v>236</v>
      </c>
      <c r="C274" s="0" t="s">
        <v>243</v>
      </c>
      <c r="D274" s="0" t="s">
        <v>467</v>
      </c>
      <c r="E274" s="0" t="n">
        <v>8.8</v>
      </c>
    </row>
    <row r="275" customFormat="false" ht="15" hidden="false" customHeight="false" outlineLevel="0" collapsed="false">
      <c r="A275" s="0" t="s">
        <v>242</v>
      </c>
      <c r="B275" s="0" t="s">
        <v>236</v>
      </c>
      <c r="C275" s="0" t="s">
        <v>243</v>
      </c>
      <c r="D275" s="0" t="s">
        <v>467</v>
      </c>
      <c r="E275" s="0" t="n">
        <v>8.8</v>
      </c>
    </row>
    <row r="276" customFormat="false" ht="15" hidden="false" customHeight="false" outlineLevel="0" collapsed="false">
      <c r="A276" s="0" t="s">
        <v>245</v>
      </c>
      <c r="B276" s="0" t="s">
        <v>236</v>
      </c>
      <c r="C276" s="0" t="s">
        <v>246</v>
      </c>
      <c r="D276" s="0" t="s">
        <v>468</v>
      </c>
      <c r="E276" s="0" t="n">
        <v>1.95</v>
      </c>
    </row>
    <row r="277" customFormat="false" ht="15" hidden="false" customHeight="false" outlineLevel="0" collapsed="false">
      <c r="A277" s="0" t="s">
        <v>245</v>
      </c>
      <c r="B277" s="0" t="s">
        <v>236</v>
      </c>
      <c r="C277" s="0" t="s">
        <v>246</v>
      </c>
      <c r="D277" s="0" t="s">
        <v>468</v>
      </c>
      <c r="E277" s="0" t="n">
        <v>2.9</v>
      </c>
    </row>
    <row r="278" customFormat="false" ht="15" hidden="false" customHeight="false" outlineLevel="0" collapsed="false">
      <c r="A278" s="0" t="s">
        <v>245</v>
      </c>
      <c r="B278" s="0" t="s">
        <v>236</v>
      </c>
      <c r="C278" s="0" t="s">
        <v>246</v>
      </c>
      <c r="D278" s="0" t="s">
        <v>468</v>
      </c>
      <c r="E278" s="0" t="n">
        <v>3.25</v>
      </c>
    </row>
    <row r="279" customFormat="false" ht="15" hidden="false" customHeight="false" outlineLevel="0" collapsed="false">
      <c r="A279" s="0" t="s">
        <v>245</v>
      </c>
      <c r="B279" s="0" t="s">
        <v>236</v>
      </c>
      <c r="C279" s="0" t="s">
        <v>246</v>
      </c>
      <c r="D279" s="0" t="s">
        <v>468</v>
      </c>
      <c r="E279" s="0" t="n">
        <v>4.5</v>
      </c>
    </row>
    <row r="280" customFormat="false" ht="15" hidden="false" customHeight="false" outlineLevel="0" collapsed="false">
      <c r="A280" s="0" t="s">
        <v>245</v>
      </c>
      <c r="B280" s="0" t="s">
        <v>236</v>
      </c>
      <c r="C280" s="0" t="s">
        <v>246</v>
      </c>
      <c r="D280" s="0" t="s">
        <v>468</v>
      </c>
      <c r="E280" s="0" t="n">
        <v>9.5</v>
      </c>
    </row>
    <row r="281" customFormat="false" ht="15" hidden="false" customHeight="false" outlineLevel="0" collapsed="false">
      <c r="A281" s="0" t="s">
        <v>245</v>
      </c>
      <c r="B281" s="0" t="s">
        <v>236</v>
      </c>
      <c r="C281" s="0" t="s">
        <v>246</v>
      </c>
      <c r="D281" s="0" t="s">
        <v>468</v>
      </c>
      <c r="E281" s="0" t="n">
        <v>9.5</v>
      </c>
    </row>
    <row r="282" customFormat="false" ht="15" hidden="false" customHeight="false" outlineLevel="0" collapsed="false">
      <c r="A282" s="0" t="s">
        <v>248</v>
      </c>
      <c r="B282" s="0" t="s">
        <v>236</v>
      </c>
      <c r="C282" s="0" t="s">
        <v>249</v>
      </c>
      <c r="D282" s="0" t="s">
        <v>336</v>
      </c>
      <c r="E282" s="0" t="n">
        <v>1.1</v>
      </c>
    </row>
    <row r="283" customFormat="false" ht="15" hidden="false" customHeight="false" outlineLevel="0" collapsed="false">
      <c r="A283" s="0" t="s">
        <v>248</v>
      </c>
      <c r="B283" s="0" t="s">
        <v>236</v>
      </c>
      <c r="C283" s="0" t="s">
        <v>249</v>
      </c>
      <c r="D283" s="0" t="s">
        <v>336</v>
      </c>
      <c r="E283" s="0" t="n">
        <v>1.95</v>
      </c>
    </row>
    <row r="284" customFormat="false" ht="15" hidden="false" customHeight="false" outlineLevel="0" collapsed="false">
      <c r="A284" s="0" t="s">
        <v>248</v>
      </c>
      <c r="B284" s="0" t="s">
        <v>236</v>
      </c>
      <c r="C284" s="0" t="s">
        <v>249</v>
      </c>
      <c r="D284" s="0" t="s">
        <v>336</v>
      </c>
      <c r="E284" s="0" t="n">
        <v>2</v>
      </c>
    </row>
    <row r="285" customFormat="false" ht="15" hidden="false" customHeight="false" outlineLevel="0" collapsed="false">
      <c r="A285" s="0" t="s">
        <v>248</v>
      </c>
      <c r="B285" s="0" t="s">
        <v>236</v>
      </c>
      <c r="C285" s="0" t="s">
        <v>249</v>
      </c>
      <c r="D285" s="0" t="s">
        <v>336</v>
      </c>
      <c r="E285" s="0" t="n">
        <v>7.95</v>
      </c>
    </row>
    <row r="286" customFormat="false" ht="15" hidden="false" customHeight="false" outlineLevel="0" collapsed="false">
      <c r="A286" s="0" t="s">
        <v>248</v>
      </c>
      <c r="B286" s="0" t="s">
        <v>236</v>
      </c>
      <c r="C286" s="0" t="s">
        <v>249</v>
      </c>
      <c r="D286" s="0" t="s">
        <v>336</v>
      </c>
      <c r="E286" s="0" t="n">
        <v>9.95</v>
      </c>
    </row>
    <row r="287" customFormat="false" ht="15" hidden="false" customHeight="false" outlineLevel="0" collapsed="false">
      <c r="A287" s="0" t="s">
        <v>251</v>
      </c>
      <c r="B287" s="0" t="s">
        <v>236</v>
      </c>
      <c r="C287" s="0" t="s">
        <v>252</v>
      </c>
      <c r="D287" s="0" t="s">
        <v>373</v>
      </c>
      <c r="E287" s="0" t="n">
        <v>2.45</v>
      </c>
    </row>
    <row r="288" customFormat="false" ht="15" hidden="false" customHeight="false" outlineLevel="0" collapsed="false">
      <c r="A288" s="0" t="s">
        <v>251</v>
      </c>
      <c r="B288" s="0" t="s">
        <v>236</v>
      </c>
      <c r="C288" s="0" t="s">
        <v>252</v>
      </c>
      <c r="D288" s="0" t="s">
        <v>373</v>
      </c>
      <c r="E288" s="0" t="n">
        <v>3</v>
      </c>
    </row>
    <row r="289" customFormat="false" ht="15" hidden="false" customHeight="false" outlineLevel="0" collapsed="false">
      <c r="A289" s="0" t="s">
        <v>251</v>
      </c>
      <c r="B289" s="0" t="s">
        <v>236</v>
      </c>
      <c r="C289" s="0" t="s">
        <v>252</v>
      </c>
      <c r="D289" s="0" t="s">
        <v>373</v>
      </c>
      <c r="E289" s="0" t="n">
        <v>8</v>
      </c>
    </row>
    <row r="290" customFormat="false" ht="15" hidden="false" customHeight="false" outlineLevel="0" collapsed="false">
      <c r="A290" s="0" t="s">
        <v>251</v>
      </c>
      <c r="B290" s="0" t="s">
        <v>236</v>
      </c>
      <c r="C290" s="0" t="s">
        <v>252</v>
      </c>
      <c r="D290" s="0" t="s">
        <v>373</v>
      </c>
      <c r="E290" s="0" t="n">
        <v>9</v>
      </c>
    </row>
    <row r="291" customFormat="false" ht="15" hidden="false" customHeight="false" outlineLevel="0" collapsed="false">
      <c r="A291" s="0" t="s">
        <v>251</v>
      </c>
      <c r="B291" s="0" t="s">
        <v>236</v>
      </c>
      <c r="C291" s="0" t="s">
        <v>252</v>
      </c>
      <c r="D291" s="0" t="s">
        <v>373</v>
      </c>
      <c r="E291" s="0" t="n">
        <v>14.9</v>
      </c>
    </row>
    <row r="292" customFormat="false" ht="15" hidden="false" customHeight="false" outlineLevel="0" collapsed="false">
      <c r="A292" s="0" t="s">
        <v>251</v>
      </c>
      <c r="B292" s="0" t="s">
        <v>236</v>
      </c>
      <c r="C292" s="0" t="s">
        <v>252</v>
      </c>
      <c r="D292" s="0" t="s">
        <v>373</v>
      </c>
      <c r="E292" s="0" t="n">
        <v>16.9</v>
      </c>
    </row>
    <row r="293" customFormat="false" ht="15" hidden="false" customHeight="false" outlineLevel="0" collapsed="false">
      <c r="A293" s="0" t="s">
        <v>251</v>
      </c>
      <c r="B293" s="0" t="s">
        <v>236</v>
      </c>
      <c r="C293" s="0" t="s">
        <v>252</v>
      </c>
      <c r="D293" s="0" t="s">
        <v>373</v>
      </c>
      <c r="E293" s="0" t="n">
        <v>17.6</v>
      </c>
    </row>
    <row r="294" customFormat="false" ht="15" hidden="false" customHeight="false" outlineLevel="0" collapsed="false">
      <c r="A294" s="0" t="s">
        <v>254</v>
      </c>
      <c r="B294" s="0" t="s">
        <v>236</v>
      </c>
      <c r="C294" s="0" t="s">
        <v>255</v>
      </c>
      <c r="D294" s="0" t="s">
        <v>469</v>
      </c>
      <c r="E294" s="0" t="n">
        <v>1.95</v>
      </c>
    </row>
    <row r="295" customFormat="false" ht="15" hidden="false" customHeight="false" outlineLevel="0" collapsed="false">
      <c r="A295" s="0" t="s">
        <v>254</v>
      </c>
      <c r="B295" s="0" t="s">
        <v>236</v>
      </c>
      <c r="C295" s="0" t="s">
        <v>255</v>
      </c>
      <c r="D295" s="0" t="s">
        <v>469</v>
      </c>
      <c r="E295" s="0" t="n">
        <v>2.6</v>
      </c>
    </row>
    <row r="296" customFormat="false" ht="15" hidden="false" customHeight="false" outlineLevel="0" collapsed="false">
      <c r="A296" s="0" t="s">
        <v>254</v>
      </c>
      <c r="B296" s="0" t="s">
        <v>236</v>
      </c>
      <c r="C296" s="0" t="s">
        <v>255</v>
      </c>
      <c r="D296" s="0" t="s">
        <v>469</v>
      </c>
      <c r="E296" s="0" t="n">
        <v>3.6</v>
      </c>
    </row>
    <row r="297" customFormat="false" ht="15" hidden="false" customHeight="false" outlineLevel="0" collapsed="false">
      <c r="A297" s="0" t="s">
        <v>254</v>
      </c>
      <c r="B297" s="0" t="s">
        <v>236</v>
      </c>
      <c r="C297" s="0" t="s">
        <v>255</v>
      </c>
      <c r="D297" s="0" t="s">
        <v>469</v>
      </c>
      <c r="E297" s="0" t="n">
        <v>29.9</v>
      </c>
    </row>
    <row r="298" customFormat="false" ht="15" hidden="false" customHeight="false" outlineLevel="0" collapsed="false">
      <c r="A298" s="0" t="s">
        <v>257</v>
      </c>
      <c r="B298" s="0" t="s">
        <v>236</v>
      </c>
      <c r="C298" s="0" t="s">
        <v>258</v>
      </c>
      <c r="D298" s="0" t="s">
        <v>339</v>
      </c>
      <c r="E298" s="0" t="n">
        <v>1.95</v>
      </c>
    </row>
    <row r="299" customFormat="false" ht="15" hidden="false" customHeight="false" outlineLevel="0" collapsed="false">
      <c r="A299" s="0" t="s">
        <v>257</v>
      </c>
      <c r="B299" s="0" t="s">
        <v>236</v>
      </c>
      <c r="C299" s="0" t="s">
        <v>258</v>
      </c>
      <c r="D299" s="0" t="s">
        <v>339</v>
      </c>
      <c r="E299" s="0" t="n">
        <v>1.95</v>
      </c>
    </row>
    <row r="300" customFormat="false" ht="15" hidden="false" customHeight="false" outlineLevel="0" collapsed="false">
      <c r="A300" s="0" t="s">
        <v>257</v>
      </c>
      <c r="B300" s="0" t="s">
        <v>236</v>
      </c>
      <c r="C300" s="0" t="s">
        <v>258</v>
      </c>
      <c r="D300" s="0" t="s">
        <v>339</v>
      </c>
      <c r="E300" s="0" t="n">
        <v>6.5</v>
      </c>
    </row>
    <row r="301" customFormat="false" ht="15" hidden="false" customHeight="false" outlineLevel="0" collapsed="false">
      <c r="A301" s="0" t="s">
        <v>257</v>
      </c>
      <c r="B301" s="0" t="s">
        <v>236</v>
      </c>
      <c r="C301" s="0" t="s">
        <v>258</v>
      </c>
      <c r="D301" s="0" t="s">
        <v>339</v>
      </c>
      <c r="E301" s="0" t="n">
        <v>8.45</v>
      </c>
    </row>
    <row r="302" customFormat="false" ht="15" hidden="false" customHeight="false" outlineLevel="0" collapsed="false">
      <c r="A302" s="0" t="s">
        <v>257</v>
      </c>
      <c r="B302" s="0" t="s">
        <v>236</v>
      </c>
      <c r="C302" s="0" t="s">
        <v>258</v>
      </c>
      <c r="D302" s="0" t="s">
        <v>339</v>
      </c>
      <c r="E302" s="0" t="n">
        <v>9.5</v>
      </c>
    </row>
    <row r="303" customFormat="false" ht="15" hidden="false" customHeight="false" outlineLevel="0" collapsed="false">
      <c r="A303" s="0" t="s">
        <v>260</v>
      </c>
      <c r="B303" s="0" t="s">
        <v>236</v>
      </c>
      <c r="C303" s="0" t="s">
        <v>164</v>
      </c>
      <c r="D303" s="0" t="s">
        <v>422</v>
      </c>
      <c r="E303" s="0" t="n">
        <v>1.8</v>
      </c>
    </row>
    <row r="304" customFormat="false" ht="15" hidden="false" customHeight="false" outlineLevel="0" collapsed="false">
      <c r="A304" s="0" t="s">
        <v>260</v>
      </c>
      <c r="B304" s="0" t="s">
        <v>236</v>
      </c>
      <c r="C304" s="0" t="s">
        <v>164</v>
      </c>
      <c r="D304" s="0" t="s">
        <v>422</v>
      </c>
      <c r="E304" s="0" t="n">
        <v>3.9</v>
      </c>
    </row>
    <row r="305" customFormat="false" ht="15" hidden="false" customHeight="false" outlineLevel="0" collapsed="false">
      <c r="A305" s="0" t="s">
        <v>260</v>
      </c>
      <c r="B305" s="0" t="s">
        <v>236</v>
      </c>
      <c r="C305" s="0" t="s">
        <v>164</v>
      </c>
      <c r="D305" s="0" t="s">
        <v>422</v>
      </c>
      <c r="E305" s="0" t="n">
        <v>4.9</v>
      </c>
    </row>
    <row r="306" customFormat="false" ht="15" hidden="false" customHeight="false" outlineLevel="0" collapsed="false">
      <c r="A306" s="0" t="s">
        <v>260</v>
      </c>
      <c r="B306" s="0" t="s">
        <v>236</v>
      </c>
      <c r="C306" s="0" t="s">
        <v>164</v>
      </c>
      <c r="D306" s="0" t="s">
        <v>422</v>
      </c>
      <c r="E306" s="0" t="n">
        <v>10.5</v>
      </c>
    </row>
    <row r="307" customFormat="false" ht="15" hidden="false" customHeight="false" outlineLevel="0" collapsed="false">
      <c r="A307" s="0" t="s">
        <v>260</v>
      </c>
      <c r="B307" s="0" t="s">
        <v>236</v>
      </c>
      <c r="C307" s="0" t="s">
        <v>164</v>
      </c>
      <c r="D307" s="0" t="s">
        <v>422</v>
      </c>
      <c r="E307" s="0" t="n">
        <v>38</v>
      </c>
    </row>
    <row r="308" customFormat="false" ht="15" hidden="false" customHeight="false" outlineLevel="0" collapsed="false">
      <c r="A308" s="0" t="s">
        <v>262</v>
      </c>
      <c r="B308" s="0" t="s">
        <v>236</v>
      </c>
      <c r="C308" s="0" t="s">
        <v>263</v>
      </c>
      <c r="D308" s="0" t="s">
        <v>470</v>
      </c>
      <c r="E308" s="0" t="n">
        <v>1.1</v>
      </c>
    </row>
    <row r="309" customFormat="false" ht="15" hidden="false" customHeight="false" outlineLevel="0" collapsed="false">
      <c r="A309" s="0" t="s">
        <v>262</v>
      </c>
      <c r="B309" s="0" t="s">
        <v>236</v>
      </c>
      <c r="C309" s="0" t="s">
        <v>263</v>
      </c>
      <c r="D309" s="0" t="s">
        <v>470</v>
      </c>
      <c r="E309" s="0" t="n">
        <v>2.1</v>
      </c>
    </row>
    <row r="310" customFormat="false" ht="15" hidden="false" customHeight="false" outlineLevel="0" collapsed="false">
      <c r="A310" s="0" t="s">
        <v>262</v>
      </c>
      <c r="B310" s="0" t="s">
        <v>236</v>
      </c>
      <c r="C310" s="0" t="s">
        <v>263</v>
      </c>
      <c r="D310" s="0" t="s">
        <v>470</v>
      </c>
      <c r="E310" s="0" t="n">
        <v>3.6</v>
      </c>
    </row>
    <row r="311" customFormat="false" ht="15" hidden="false" customHeight="false" outlineLevel="0" collapsed="false">
      <c r="A311" s="0" t="s">
        <v>262</v>
      </c>
      <c r="B311" s="0" t="s">
        <v>236</v>
      </c>
      <c r="C311" s="0" t="s">
        <v>263</v>
      </c>
      <c r="D311" s="0" t="s">
        <v>470</v>
      </c>
      <c r="E311" s="0" t="n">
        <v>9.3</v>
      </c>
    </row>
    <row r="312" customFormat="false" ht="15" hidden="false" customHeight="false" outlineLevel="0" collapsed="false">
      <c r="A312" s="0" t="s">
        <v>262</v>
      </c>
      <c r="B312" s="0" t="s">
        <v>236</v>
      </c>
      <c r="C312" s="0" t="s">
        <v>263</v>
      </c>
      <c r="D312" s="0" t="s">
        <v>470</v>
      </c>
      <c r="E312" s="0" t="n">
        <v>9.5</v>
      </c>
    </row>
    <row r="313" customFormat="false" ht="15" hidden="false" customHeight="false" outlineLevel="0" collapsed="false">
      <c r="A313" s="0" t="s">
        <v>265</v>
      </c>
      <c r="B313" s="0" t="s">
        <v>236</v>
      </c>
      <c r="C313" s="0" t="s">
        <v>266</v>
      </c>
      <c r="D313" s="0" t="s">
        <v>365</v>
      </c>
      <c r="E313" s="0" t="n">
        <v>3.6</v>
      </c>
    </row>
    <row r="314" customFormat="false" ht="15" hidden="false" customHeight="false" outlineLevel="0" collapsed="false">
      <c r="A314" s="0" t="s">
        <v>265</v>
      </c>
      <c r="B314" s="0" t="s">
        <v>236</v>
      </c>
      <c r="C314" s="0" t="s">
        <v>266</v>
      </c>
      <c r="D314" s="0" t="s">
        <v>365</v>
      </c>
      <c r="E314" s="0" t="n">
        <v>4.45</v>
      </c>
    </row>
    <row r="315" customFormat="false" ht="15" hidden="false" customHeight="false" outlineLevel="0" collapsed="false">
      <c r="A315" s="0" t="s">
        <v>265</v>
      </c>
      <c r="B315" s="0" t="s">
        <v>236</v>
      </c>
      <c r="C315" s="0" t="s">
        <v>266</v>
      </c>
      <c r="D315" s="0" t="s">
        <v>365</v>
      </c>
      <c r="E315" s="0" t="n">
        <v>4.9</v>
      </c>
    </row>
    <row r="316" customFormat="false" ht="15" hidden="false" customHeight="false" outlineLevel="0" collapsed="false">
      <c r="A316" s="0" t="s">
        <v>265</v>
      </c>
      <c r="B316" s="0" t="s">
        <v>236</v>
      </c>
      <c r="C316" s="0" t="s">
        <v>266</v>
      </c>
      <c r="D316" s="0" t="s">
        <v>365</v>
      </c>
      <c r="E316" s="0" t="n">
        <v>9.5</v>
      </c>
    </row>
    <row r="317" customFormat="false" ht="15" hidden="false" customHeight="false" outlineLevel="0" collapsed="false">
      <c r="A317" s="0" t="s">
        <v>265</v>
      </c>
      <c r="B317" s="0" t="s">
        <v>236</v>
      </c>
      <c r="C317" s="0" t="s">
        <v>266</v>
      </c>
      <c r="D317" s="0" t="s">
        <v>365</v>
      </c>
      <c r="E317" s="0" t="n">
        <v>13.9</v>
      </c>
    </row>
    <row r="318" customFormat="false" ht="15" hidden="false" customHeight="false" outlineLevel="0" collapsed="false">
      <c r="A318" s="0" t="s">
        <v>268</v>
      </c>
      <c r="B318" s="0" t="s">
        <v>236</v>
      </c>
      <c r="C318" s="0" t="s">
        <v>269</v>
      </c>
      <c r="D318" s="0" t="s">
        <v>471</v>
      </c>
      <c r="E318" s="0" t="n">
        <v>2.6</v>
      </c>
    </row>
    <row r="319" customFormat="false" ht="15" hidden="false" customHeight="false" outlineLevel="0" collapsed="false">
      <c r="A319" s="0" t="s">
        <v>268</v>
      </c>
      <c r="B319" s="0" t="s">
        <v>236</v>
      </c>
      <c r="C319" s="0" t="s">
        <v>269</v>
      </c>
      <c r="D319" s="0" t="s">
        <v>471</v>
      </c>
      <c r="E319" s="0" t="n">
        <v>2.95</v>
      </c>
    </row>
    <row r="320" customFormat="false" ht="15" hidden="false" customHeight="false" outlineLevel="0" collapsed="false">
      <c r="A320" s="0" t="s">
        <v>268</v>
      </c>
      <c r="B320" s="0" t="s">
        <v>236</v>
      </c>
      <c r="C320" s="0" t="s">
        <v>269</v>
      </c>
      <c r="D320" s="0" t="s">
        <v>471</v>
      </c>
      <c r="E320" s="0" t="n">
        <v>5.95</v>
      </c>
    </row>
    <row r="321" customFormat="false" ht="15" hidden="false" customHeight="false" outlineLevel="0" collapsed="false">
      <c r="A321" s="0" t="s">
        <v>268</v>
      </c>
      <c r="B321" s="0" t="s">
        <v>236</v>
      </c>
      <c r="C321" s="0" t="s">
        <v>269</v>
      </c>
      <c r="D321" s="0" t="s">
        <v>471</v>
      </c>
      <c r="E321" s="0" t="n">
        <v>9.3</v>
      </c>
    </row>
    <row r="322" customFormat="false" ht="15" hidden="false" customHeight="false" outlineLevel="0" collapsed="false">
      <c r="A322" s="0" t="s">
        <v>268</v>
      </c>
      <c r="B322" s="0" t="s">
        <v>236</v>
      </c>
      <c r="C322" s="0" t="s">
        <v>269</v>
      </c>
      <c r="D322" s="0" t="s">
        <v>471</v>
      </c>
      <c r="E322" s="0" t="n">
        <v>14.95</v>
      </c>
    </row>
    <row r="323" customFormat="false" ht="15" hidden="false" customHeight="false" outlineLevel="0" collapsed="false">
      <c r="A323" s="0" t="s">
        <v>271</v>
      </c>
      <c r="B323" s="0" t="s">
        <v>236</v>
      </c>
      <c r="C323" s="0" t="s">
        <v>272</v>
      </c>
      <c r="D323" s="0" t="s">
        <v>472</v>
      </c>
      <c r="E323" s="0" t="n">
        <v>1.95</v>
      </c>
    </row>
    <row r="324" customFormat="false" ht="15" hidden="false" customHeight="false" outlineLevel="0" collapsed="false">
      <c r="A324" s="0" t="s">
        <v>271</v>
      </c>
      <c r="B324" s="0" t="s">
        <v>236</v>
      </c>
      <c r="C324" s="0" t="s">
        <v>272</v>
      </c>
      <c r="D324" s="0" t="s">
        <v>472</v>
      </c>
      <c r="E324" s="0" t="n">
        <v>2.45</v>
      </c>
    </row>
    <row r="325" customFormat="false" ht="15" hidden="false" customHeight="false" outlineLevel="0" collapsed="false">
      <c r="A325" s="0" t="s">
        <v>271</v>
      </c>
      <c r="B325" s="0" t="s">
        <v>236</v>
      </c>
      <c r="C325" s="0" t="s">
        <v>272</v>
      </c>
      <c r="D325" s="0" t="s">
        <v>472</v>
      </c>
      <c r="E325" s="0" t="n">
        <v>8.9</v>
      </c>
    </row>
    <row r="326" customFormat="false" ht="15" hidden="false" customHeight="false" outlineLevel="0" collapsed="false">
      <c r="A326" s="0" t="s">
        <v>271</v>
      </c>
      <c r="B326" s="0" t="s">
        <v>236</v>
      </c>
      <c r="C326" s="0" t="s">
        <v>272</v>
      </c>
      <c r="D326" s="0" t="s">
        <v>472</v>
      </c>
      <c r="E326" s="0" t="n">
        <v>9.05</v>
      </c>
    </row>
    <row r="327" customFormat="false" ht="15" hidden="false" customHeight="false" outlineLevel="0" collapsed="false">
      <c r="A327" s="0" t="s">
        <v>274</v>
      </c>
      <c r="B327" s="0" t="s">
        <v>236</v>
      </c>
      <c r="C327" s="0" t="s">
        <v>275</v>
      </c>
      <c r="D327" s="0" t="s">
        <v>473</v>
      </c>
      <c r="E327" s="0" t="n">
        <v>5</v>
      </c>
    </row>
    <row r="328" customFormat="false" ht="15" hidden="false" customHeight="false" outlineLevel="0" collapsed="false">
      <c r="A328" s="0" t="s">
        <v>274</v>
      </c>
      <c r="B328" s="0" t="s">
        <v>236</v>
      </c>
      <c r="C328" s="0" t="s">
        <v>275</v>
      </c>
      <c r="D328" s="0" t="s">
        <v>473</v>
      </c>
      <c r="E328" s="0" t="n">
        <v>5.9</v>
      </c>
    </row>
    <row r="329" customFormat="false" ht="15" hidden="false" customHeight="false" outlineLevel="0" collapsed="false">
      <c r="A329" s="0" t="s">
        <v>274</v>
      </c>
      <c r="B329" s="0" t="s">
        <v>236</v>
      </c>
      <c r="C329" s="0" t="s">
        <v>275</v>
      </c>
      <c r="D329" s="0" t="s">
        <v>473</v>
      </c>
      <c r="E329" s="0" t="n">
        <v>6.4</v>
      </c>
    </row>
    <row r="330" customFormat="false" ht="15" hidden="false" customHeight="false" outlineLevel="0" collapsed="false">
      <c r="A330" s="0" t="s">
        <v>274</v>
      </c>
      <c r="B330" s="0" t="s">
        <v>236</v>
      </c>
      <c r="C330" s="0" t="s">
        <v>275</v>
      </c>
      <c r="D330" s="0" t="s">
        <v>473</v>
      </c>
      <c r="E330" s="0" t="n">
        <v>19.8</v>
      </c>
    </row>
    <row r="331" customFormat="false" ht="15" hidden="false" customHeight="false" outlineLevel="0" collapsed="false">
      <c r="A331" s="0" t="s">
        <v>274</v>
      </c>
      <c r="B331" s="0" t="s">
        <v>236</v>
      </c>
      <c r="C331" s="0" t="s">
        <v>275</v>
      </c>
      <c r="D331" s="0" t="s">
        <v>473</v>
      </c>
      <c r="E331" s="0" t="n">
        <v>33.8</v>
      </c>
    </row>
    <row r="332" customFormat="false" ht="15" hidden="false" customHeight="false" outlineLevel="0" collapsed="false">
      <c r="A332" s="0" t="s">
        <v>277</v>
      </c>
      <c r="B332" s="0" t="s">
        <v>236</v>
      </c>
      <c r="C332" s="0" t="s">
        <v>278</v>
      </c>
      <c r="D332" s="0" t="s">
        <v>474</v>
      </c>
      <c r="E332" s="0" t="n">
        <v>8.9</v>
      </c>
    </row>
    <row r="333" customFormat="false" ht="15" hidden="false" customHeight="false" outlineLevel="0" collapsed="false">
      <c r="A333" s="0" t="s">
        <v>277</v>
      </c>
      <c r="B333" s="0" t="s">
        <v>236</v>
      </c>
      <c r="C333" s="0" t="s">
        <v>278</v>
      </c>
      <c r="D333" s="0" t="s">
        <v>474</v>
      </c>
      <c r="E333" s="0" t="n">
        <v>8.9</v>
      </c>
    </row>
    <row r="334" customFormat="false" ht="15" hidden="false" customHeight="false" outlineLevel="0" collapsed="false">
      <c r="A334" s="0" t="s">
        <v>277</v>
      </c>
      <c r="B334" s="0" t="s">
        <v>236</v>
      </c>
      <c r="C334" s="0" t="s">
        <v>278</v>
      </c>
      <c r="D334" s="0" t="s">
        <v>474</v>
      </c>
      <c r="E334" s="0" t="n">
        <v>14.4</v>
      </c>
    </row>
    <row r="335" customFormat="false" ht="15" hidden="false" customHeight="false" outlineLevel="0" collapsed="false">
      <c r="A335" s="0" t="s">
        <v>277</v>
      </c>
      <c r="B335" s="0" t="s">
        <v>236</v>
      </c>
      <c r="C335" s="0" t="s">
        <v>278</v>
      </c>
      <c r="D335" s="0" t="s">
        <v>474</v>
      </c>
      <c r="E335" s="0" t="n">
        <v>18.1</v>
      </c>
    </row>
    <row r="336" customFormat="false" ht="15" hidden="false" customHeight="false" outlineLevel="0" collapsed="false">
      <c r="A336" s="0" t="s">
        <v>277</v>
      </c>
      <c r="B336" s="0" t="s">
        <v>236</v>
      </c>
      <c r="C336" s="0" t="s">
        <v>278</v>
      </c>
      <c r="D336" s="0" t="s">
        <v>474</v>
      </c>
      <c r="E336" s="0" t="n">
        <v>18.6</v>
      </c>
    </row>
    <row r="337" customFormat="false" ht="15" hidden="false" customHeight="false" outlineLevel="0" collapsed="false">
      <c r="A337" s="0" t="s">
        <v>280</v>
      </c>
      <c r="B337" s="0" t="s">
        <v>236</v>
      </c>
      <c r="C337" s="0" t="s">
        <v>281</v>
      </c>
      <c r="D337" s="0" t="s">
        <v>475</v>
      </c>
      <c r="E337" s="0" t="n">
        <v>1.1</v>
      </c>
    </row>
    <row r="338" customFormat="false" ht="15" hidden="false" customHeight="false" outlineLevel="0" collapsed="false">
      <c r="A338" s="0" t="s">
        <v>280</v>
      </c>
      <c r="B338" s="0" t="s">
        <v>236</v>
      </c>
      <c r="C338" s="0" t="s">
        <v>281</v>
      </c>
      <c r="D338" s="0" t="s">
        <v>475</v>
      </c>
      <c r="E338" s="0" t="n">
        <v>2.95</v>
      </c>
    </row>
    <row r="339" customFormat="false" ht="15" hidden="false" customHeight="false" outlineLevel="0" collapsed="false">
      <c r="A339" s="0" t="s">
        <v>280</v>
      </c>
      <c r="B339" s="0" t="s">
        <v>236</v>
      </c>
      <c r="C339" s="0" t="s">
        <v>281</v>
      </c>
      <c r="D339" s="0" t="s">
        <v>475</v>
      </c>
      <c r="E339" s="0" t="n">
        <v>2.95</v>
      </c>
    </row>
    <row r="340" customFormat="false" ht="15" hidden="false" customHeight="false" outlineLevel="0" collapsed="false">
      <c r="A340" s="0" t="s">
        <v>280</v>
      </c>
      <c r="B340" s="0" t="s">
        <v>236</v>
      </c>
      <c r="C340" s="0" t="s">
        <v>281</v>
      </c>
      <c r="D340" s="0" t="s">
        <v>475</v>
      </c>
      <c r="E340" s="0" t="n">
        <v>14</v>
      </c>
    </row>
    <row r="341" customFormat="false" ht="15" hidden="false" customHeight="false" outlineLevel="0" collapsed="false">
      <c r="A341" s="0" t="s">
        <v>280</v>
      </c>
      <c r="B341" s="0" t="s">
        <v>236</v>
      </c>
      <c r="C341" s="0" t="s">
        <v>281</v>
      </c>
      <c r="D341" s="0" t="s">
        <v>475</v>
      </c>
      <c r="E341" s="0" t="n">
        <v>14</v>
      </c>
    </row>
    <row r="342" customFormat="false" ht="15" hidden="false" customHeight="false" outlineLevel="0" collapsed="false">
      <c r="A342" s="0" t="s">
        <v>280</v>
      </c>
      <c r="B342" s="0" t="s">
        <v>236</v>
      </c>
      <c r="C342" s="0" t="s">
        <v>281</v>
      </c>
      <c r="D342" s="0" t="s">
        <v>475</v>
      </c>
      <c r="E342" s="0" t="n">
        <v>22.5</v>
      </c>
    </row>
    <row r="343" customFormat="false" ht="15" hidden="false" customHeight="false" outlineLevel="0" collapsed="false">
      <c r="A343" s="0" t="s">
        <v>283</v>
      </c>
      <c r="B343" s="0" t="s">
        <v>236</v>
      </c>
      <c r="C343" s="0" t="s">
        <v>284</v>
      </c>
      <c r="D343" s="0" t="s">
        <v>352</v>
      </c>
      <c r="E343" s="0" t="n">
        <v>1.1</v>
      </c>
    </row>
    <row r="344" customFormat="false" ht="15" hidden="false" customHeight="false" outlineLevel="0" collapsed="false">
      <c r="A344" s="0" t="s">
        <v>283</v>
      </c>
      <c r="B344" s="0" t="s">
        <v>236</v>
      </c>
      <c r="C344" s="0" t="s">
        <v>284</v>
      </c>
      <c r="D344" s="0" t="s">
        <v>352</v>
      </c>
      <c r="E344" s="0" t="n">
        <v>2</v>
      </c>
    </row>
    <row r="345" customFormat="false" ht="15" hidden="false" customHeight="false" outlineLevel="0" collapsed="false">
      <c r="A345" s="0" t="s">
        <v>283</v>
      </c>
      <c r="B345" s="0" t="s">
        <v>236</v>
      </c>
      <c r="C345" s="0" t="s">
        <v>284</v>
      </c>
      <c r="D345" s="0" t="s">
        <v>352</v>
      </c>
      <c r="E345" s="0" t="n">
        <v>2.95</v>
      </c>
    </row>
    <row r="346" customFormat="false" ht="15" hidden="false" customHeight="false" outlineLevel="0" collapsed="false">
      <c r="A346" s="0" t="s">
        <v>283</v>
      </c>
      <c r="B346" s="0" t="s">
        <v>236</v>
      </c>
      <c r="C346" s="0" t="s">
        <v>284</v>
      </c>
      <c r="D346" s="0" t="s">
        <v>352</v>
      </c>
      <c r="E346" s="0" t="n">
        <v>5.9</v>
      </c>
    </row>
    <row r="347" customFormat="false" ht="15" hidden="false" customHeight="false" outlineLevel="0" collapsed="false">
      <c r="A347" s="0" t="s">
        <v>283</v>
      </c>
      <c r="B347" s="0" t="s">
        <v>236</v>
      </c>
      <c r="C347" s="0" t="s">
        <v>284</v>
      </c>
      <c r="D347" s="0" t="s">
        <v>352</v>
      </c>
      <c r="E347" s="0" t="n">
        <v>14</v>
      </c>
    </row>
    <row r="348" customFormat="false" ht="15" hidden="false" customHeight="false" outlineLevel="0" collapsed="false">
      <c r="A348" s="0" t="s">
        <v>283</v>
      </c>
      <c r="B348" s="0" t="s">
        <v>236</v>
      </c>
      <c r="C348" s="0" t="s">
        <v>284</v>
      </c>
      <c r="D348" s="0" t="s">
        <v>352</v>
      </c>
      <c r="E348" s="0" t="n">
        <v>44.85</v>
      </c>
    </row>
    <row r="349" customFormat="false" ht="15" hidden="false" customHeight="false" outlineLevel="0" collapsed="false">
      <c r="A349" s="0" t="s">
        <v>286</v>
      </c>
      <c r="B349" s="0" t="s">
        <v>236</v>
      </c>
      <c r="C349" s="0" t="s">
        <v>287</v>
      </c>
      <c r="D349" s="0" t="s">
        <v>476</v>
      </c>
      <c r="E349" s="0" t="n">
        <v>3.9</v>
      </c>
    </row>
    <row r="350" customFormat="false" ht="15" hidden="false" customHeight="false" outlineLevel="0" collapsed="false">
      <c r="A350" s="0" t="s">
        <v>286</v>
      </c>
      <c r="B350" s="0" t="s">
        <v>236</v>
      </c>
      <c r="C350" s="0" t="s">
        <v>287</v>
      </c>
      <c r="D350" s="0" t="s">
        <v>476</v>
      </c>
      <c r="E350" s="0" t="n">
        <v>4.8</v>
      </c>
    </row>
    <row r="351" customFormat="false" ht="15" hidden="false" customHeight="false" outlineLevel="0" collapsed="false">
      <c r="A351" s="0" t="s">
        <v>286</v>
      </c>
      <c r="B351" s="0" t="s">
        <v>236</v>
      </c>
      <c r="C351" s="0" t="s">
        <v>287</v>
      </c>
      <c r="D351" s="0" t="s">
        <v>476</v>
      </c>
      <c r="E351" s="0" t="n">
        <v>8.3</v>
      </c>
    </row>
    <row r="352" customFormat="false" ht="15" hidden="false" customHeight="false" outlineLevel="0" collapsed="false">
      <c r="A352" s="0" t="s">
        <v>286</v>
      </c>
      <c r="B352" s="0" t="s">
        <v>236</v>
      </c>
      <c r="C352" s="0" t="s">
        <v>287</v>
      </c>
      <c r="D352" s="0" t="s">
        <v>476</v>
      </c>
      <c r="E352" s="0" t="n">
        <v>68</v>
      </c>
    </row>
    <row r="353" customFormat="false" ht="15" hidden="false" customHeight="false" outlineLevel="0" collapsed="false">
      <c r="A353" s="0" t="s">
        <v>289</v>
      </c>
      <c r="B353" s="0" t="s">
        <v>236</v>
      </c>
      <c r="C353" s="0" t="s">
        <v>290</v>
      </c>
      <c r="D353" s="0" t="s">
        <v>477</v>
      </c>
      <c r="E353" s="0" t="n">
        <v>2.2</v>
      </c>
    </row>
    <row r="354" customFormat="false" ht="15" hidden="false" customHeight="false" outlineLevel="0" collapsed="false">
      <c r="A354" s="0" t="s">
        <v>289</v>
      </c>
      <c r="B354" s="0" t="s">
        <v>236</v>
      </c>
      <c r="C354" s="0" t="s">
        <v>290</v>
      </c>
      <c r="D354" s="0" t="s">
        <v>477</v>
      </c>
      <c r="E354" s="0" t="n">
        <v>8.9</v>
      </c>
    </row>
    <row r="355" customFormat="false" ht="15" hidden="false" customHeight="false" outlineLevel="0" collapsed="false">
      <c r="A355" s="0" t="s">
        <v>289</v>
      </c>
      <c r="B355" s="0" t="s">
        <v>236</v>
      </c>
      <c r="C355" s="0" t="s">
        <v>290</v>
      </c>
      <c r="D355" s="0" t="s">
        <v>477</v>
      </c>
      <c r="E355" s="0" t="n">
        <v>9</v>
      </c>
    </row>
    <row r="356" customFormat="false" ht="15" hidden="false" customHeight="false" outlineLevel="0" collapsed="false">
      <c r="A356" s="0" t="s">
        <v>289</v>
      </c>
      <c r="B356" s="0" t="s">
        <v>236</v>
      </c>
      <c r="C356" s="0" t="s">
        <v>290</v>
      </c>
      <c r="D356" s="0" t="s">
        <v>477</v>
      </c>
      <c r="E356" s="0" t="n">
        <v>18.6</v>
      </c>
    </row>
    <row r="357" customFormat="false" ht="15" hidden="false" customHeight="false" outlineLevel="0" collapsed="false">
      <c r="A357" s="0" t="s">
        <v>292</v>
      </c>
      <c r="B357" s="0" t="s">
        <v>236</v>
      </c>
      <c r="C357" s="0" t="s">
        <v>293</v>
      </c>
      <c r="D357" s="0" t="s">
        <v>397</v>
      </c>
      <c r="E357" s="0" t="n">
        <v>1.1</v>
      </c>
    </row>
    <row r="358" customFormat="false" ht="15" hidden="false" customHeight="false" outlineLevel="0" collapsed="false">
      <c r="A358" s="0" t="s">
        <v>292</v>
      </c>
      <c r="B358" s="0" t="s">
        <v>236</v>
      </c>
      <c r="C358" s="0" t="s">
        <v>293</v>
      </c>
      <c r="D358" s="0" t="s">
        <v>397</v>
      </c>
      <c r="E358" s="0" t="n">
        <v>2.45</v>
      </c>
    </row>
    <row r="359" customFormat="false" ht="15" hidden="false" customHeight="false" outlineLevel="0" collapsed="false">
      <c r="A359" s="0" t="s">
        <v>292</v>
      </c>
      <c r="B359" s="0" t="s">
        <v>236</v>
      </c>
      <c r="C359" s="0" t="s">
        <v>293</v>
      </c>
      <c r="D359" s="0" t="s">
        <v>397</v>
      </c>
      <c r="E359" s="0" t="n">
        <v>2.75</v>
      </c>
    </row>
    <row r="360" customFormat="false" ht="15" hidden="false" customHeight="false" outlineLevel="0" collapsed="false">
      <c r="A360" s="0" t="s">
        <v>292</v>
      </c>
      <c r="B360" s="0" t="s">
        <v>236</v>
      </c>
      <c r="C360" s="0" t="s">
        <v>293</v>
      </c>
      <c r="D360" s="0" t="s">
        <v>397</v>
      </c>
      <c r="E360" s="0" t="n">
        <v>3.45</v>
      </c>
    </row>
    <row r="361" customFormat="false" ht="15" hidden="false" customHeight="false" outlineLevel="0" collapsed="false">
      <c r="A361" s="0" t="s">
        <v>292</v>
      </c>
      <c r="B361" s="0" t="s">
        <v>236</v>
      </c>
      <c r="C361" s="0" t="s">
        <v>293</v>
      </c>
      <c r="D361" s="0" t="s">
        <v>397</v>
      </c>
      <c r="E361" s="0" t="n">
        <v>3.9</v>
      </c>
    </row>
    <row r="362" customFormat="false" ht="15" hidden="false" customHeight="false" outlineLevel="0" collapsed="false">
      <c r="A362" s="0" t="s">
        <v>292</v>
      </c>
      <c r="B362" s="0" t="s">
        <v>236</v>
      </c>
      <c r="C362" s="0" t="s">
        <v>293</v>
      </c>
      <c r="D362" s="0" t="s">
        <v>397</v>
      </c>
      <c r="E362" s="0" t="n">
        <v>4.2</v>
      </c>
    </row>
    <row r="363" customFormat="false" ht="15" hidden="false" customHeight="false" outlineLevel="0" collapsed="false">
      <c r="A363" s="0" t="s">
        <v>292</v>
      </c>
      <c r="B363" s="0" t="s">
        <v>236</v>
      </c>
      <c r="C363" s="0" t="s">
        <v>293</v>
      </c>
      <c r="D363" s="0" t="s">
        <v>397</v>
      </c>
      <c r="E363" s="0" t="n">
        <v>4.75</v>
      </c>
    </row>
    <row r="364" customFormat="false" ht="15" hidden="false" customHeight="false" outlineLevel="0" collapsed="false">
      <c r="A364" s="0" t="s">
        <v>292</v>
      </c>
      <c r="B364" s="0" t="s">
        <v>236</v>
      </c>
      <c r="C364" s="0" t="s">
        <v>293</v>
      </c>
      <c r="D364" s="0" t="s">
        <v>397</v>
      </c>
      <c r="E364" s="0" t="n">
        <v>6.4</v>
      </c>
    </row>
    <row r="365" customFormat="false" ht="15" hidden="false" customHeight="false" outlineLevel="0" collapsed="false">
      <c r="A365" s="0" t="s">
        <v>292</v>
      </c>
      <c r="B365" s="0" t="s">
        <v>236</v>
      </c>
      <c r="C365" s="0" t="s">
        <v>293</v>
      </c>
      <c r="D365" s="0" t="s">
        <v>397</v>
      </c>
      <c r="E365" s="0" t="n">
        <v>9.3</v>
      </c>
    </row>
    <row r="366" customFormat="false" ht="15" hidden="false" customHeight="false" outlineLevel="0" collapsed="false">
      <c r="A366" s="0" t="s">
        <v>292</v>
      </c>
      <c r="B366" s="0" t="s">
        <v>236</v>
      </c>
      <c r="C366" s="0" t="s">
        <v>293</v>
      </c>
      <c r="D366" s="0" t="s">
        <v>397</v>
      </c>
      <c r="E366" s="0" t="n">
        <v>9.95</v>
      </c>
    </row>
    <row r="367" customFormat="false" ht="15" hidden="false" customHeight="false" outlineLevel="0" collapsed="false">
      <c r="A367" s="0" t="s">
        <v>292</v>
      </c>
      <c r="B367" s="0" t="s">
        <v>236</v>
      </c>
      <c r="C367" s="0" t="s">
        <v>293</v>
      </c>
      <c r="D367" s="0" t="s">
        <v>397</v>
      </c>
      <c r="E367" s="0" t="n">
        <v>18.6</v>
      </c>
    </row>
    <row r="368" customFormat="false" ht="15" hidden="false" customHeight="false" outlineLevel="0" collapsed="false">
      <c r="A368" s="0" t="s">
        <v>295</v>
      </c>
      <c r="B368" s="0" t="s">
        <v>236</v>
      </c>
      <c r="C368" s="0" t="s">
        <v>296</v>
      </c>
      <c r="D368" s="0" t="s">
        <v>478</v>
      </c>
      <c r="E368" s="0" t="n">
        <v>2.1</v>
      </c>
    </row>
    <row r="369" customFormat="false" ht="15" hidden="false" customHeight="false" outlineLevel="0" collapsed="false">
      <c r="A369" s="0" t="s">
        <v>295</v>
      </c>
      <c r="B369" s="0" t="s">
        <v>236</v>
      </c>
      <c r="C369" s="0" t="s">
        <v>296</v>
      </c>
      <c r="D369" s="0" t="s">
        <v>478</v>
      </c>
      <c r="E369" s="0" t="n">
        <v>2.1</v>
      </c>
    </row>
    <row r="370" customFormat="false" ht="15" hidden="false" customHeight="false" outlineLevel="0" collapsed="false">
      <c r="A370" s="0" t="s">
        <v>295</v>
      </c>
      <c r="B370" s="0" t="s">
        <v>236</v>
      </c>
      <c r="C370" s="0" t="s">
        <v>296</v>
      </c>
      <c r="D370" s="0" t="s">
        <v>478</v>
      </c>
      <c r="E370" s="0" t="n">
        <v>3.25</v>
      </c>
    </row>
    <row r="371" customFormat="false" ht="15" hidden="false" customHeight="false" outlineLevel="0" collapsed="false">
      <c r="A371" s="0" t="s">
        <v>295</v>
      </c>
      <c r="B371" s="0" t="s">
        <v>236</v>
      </c>
      <c r="C371" s="0" t="s">
        <v>296</v>
      </c>
      <c r="D371" s="0" t="s">
        <v>478</v>
      </c>
      <c r="E371" s="0" t="n">
        <v>3.9</v>
      </c>
    </row>
    <row r="372" customFormat="false" ht="15" hidden="false" customHeight="false" outlineLevel="0" collapsed="false">
      <c r="A372" s="0" t="s">
        <v>295</v>
      </c>
      <c r="B372" s="0" t="s">
        <v>236</v>
      </c>
      <c r="C372" s="0" t="s">
        <v>296</v>
      </c>
      <c r="D372" s="0" t="s">
        <v>478</v>
      </c>
      <c r="E372" s="0" t="n">
        <v>4.9</v>
      </c>
    </row>
    <row r="373" customFormat="false" ht="15" hidden="false" customHeight="false" outlineLevel="0" collapsed="false">
      <c r="A373" s="0" t="s">
        <v>295</v>
      </c>
      <c r="B373" s="0" t="s">
        <v>236</v>
      </c>
      <c r="C373" s="0" t="s">
        <v>296</v>
      </c>
      <c r="D373" s="0" t="s">
        <v>478</v>
      </c>
      <c r="E373" s="0" t="n">
        <v>7.3</v>
      </c>
    </row>
    <row r="374" customFormat="false" ht="15" hidden="false" customHeight="false" outlineLevel="0" collapsed="false">
      <c r="A374" s="0" t="s">
        <v>295</v>
      </c>
      <c r="B374" s="0" t="s">
        <v>236</v>
      </c>
      <c r="C374" s="0" t="s">
        <v>296</v>
      </c>
      <c r="D374" s="0" t="s">
        <v>478</v>
      </c>
      <c r="E374" s="0" t="n">
        <v>9.3</v>
      </c>
    </row>
    <row r="375" customFormat="false" ht="15" hidden="false" customHeight="false" outlineLevel="0" collapsed="false">
      <c r="A375" s="0" t="s">
        <v>295</v>
      </c>
      <c r="B375" s="0" t="s">
        <v>236</v>
      </c>
      <c r="C375" s="0" t="s">
        <v>296</v>
      </c>
      <c r="D375" s="0" t="s">
        <v>478</v>
      </c>
      <c r="E375" s="0" t="n">
        <v>9.5</v>
      </c>
    </row>
    <row r="376" customFormat="false" ht="15" hidden="false" customHeight="false" outlineLevel="0" collapsed="false">
      <c r="A376" s="0" t="s">
        <v>298</v>
      </c>
      <c r="B376" s="0" t="s">
        <v>236</v>
      </c>
      <c r="C376" s="0" t="s">
        <v>299</v>
      </c>
      <c r="D376" s="0" t="s">
        <v>479</v>
      </c>
      <c r="E376" s="0" t="n">
        <v>2.1</v>
      </c>
    </row>
    <row r="377" customFormat="false" ht="15" hidden="false" customHeight="false" outlineLevel="0" collapsed="false">
      <c r="A377" s="0" t="s">
        <v>298</v>
      </c>
      <c r="B377" s="0" t="s">
        <v>236</v>
      </c>
      <c r="C377" s="0" t="s">
        <v>299</v>
      </c>
      <c r="D377" s="0" t="s">
        <v>479</v>
      </c>
      <c r="E377" s="0" t="n">
        <v>3.95</v>
      </c>
    </row>
    <row r="378" customFormat="false" ht="15" hidden="false" customHeight="false" outlineLevel="0" collapsed="false">
      <c r="A378" s="0" t="s">
        <v>298</v>
      </c>
      <c r="B378" s="0" t="s">
        <v>236</v>
      </c>
      <c r="C378" s="0" t="s">
        <v>299</v>
      </c>
      <c r="D378" s="0" t="s">
        <v>479</v>
      </c>
      <c r="E378" s="0" t="n">
        <v>9.3</v>
      </c>
    </row>
    <row r="379" customFormat="false" ht="15" hidden="false" customHeight="false" outlineLevel="0" collapsed="false">
      <c r="A379" s="0" t="s">
        <v>298</v>
      </c>
      <c r="B379" s="0" t="s">
        <v>236</v>
      </c>
      <c r="C379" s="0" t="s">
        <v>299</v>
      </c>
      <c r="D379" s="0" t="s">
        <v>479</v>
      </c>
      <c r="E379" s="0" t="n">
        <v>12.75</v>
      </c>
    </row>
    <row r="380" customFormat="false" ht="15" hidden="false" customHeight="false" outlineLevel="0" collapsed="false">
      <c r="A380" s="0" t="s">
        <v>298</v>
      </c>
      <c r="B380" s="0" t="s">
        <v>236</v>
      </c>
      <c r="C380" s="0" t="s">
        <v>299</v>
      </c>
      <c r="D380" s="0" t="s">
        <v>479</v>
      </c>
      <c r="E380" s="0" t="n">
        <v>14.5</v>
      </c>
    </row>
    <row r="381" customFormat="false" ht="15" hidden="false" customHeight="false" outlineLevel="0" collapsed="false">
      <c r="A381" s="0" t="s">
        <v>298</v>
      </c>
      <c r="B381" s="0" t="s">
        <v>236</v>
      </c>
      <c r="C381" s="0" t="s">
        <v>299</v>
      </c>
      <c r="D381" s="0" t="s">
        <v>479</v>
      </c>
      <c r="E381" s="0" t="n">
        <v>17</v>
      </c>
    </row>
    <row r="382" customFormat="false" ht="15" hidden="false" customHeight="false" outlineLevel="0" collapsed="false">
      <c r="A382" s="0" t="s">
        <v>298</v>
      </c>
      <c r="B382" s="0" t="s">
        <v>236</v>
      </c>
      <c r="C382" s="0" t="s">
        <v>299</v>
      </c>
      <c r="D382" s="0" t="s">
        <v>479</v>
      </c>
      <c r="E382" s="0" t="n">
        <v>17</v>
      </c>
    </row>
    <row r="383" customFormat="false" ht="15" hidden="false" customHeight="false" outlineLevel="0" collapsed="false">
      <c r="A383" s="0" t="s">
        <v>301</v>
      </c>
      <c r="B383" s="0" t="s">
        <v>236</v>
      </c>
      <c r="C383" s="0" t="s">
        <v>302</v>
      </c>
      <c r="D383" s="0" t="s">
        <v>480</v>
      </c>
      <c r="E383" s="0" t="n">
        <v>2.2</v>
      </c>
    </row>
    <row r="384" customFormat="false" ht="15" hidden="false" customHeight="false" outlineLevel="0" collapsed="false">
      <c r="A384" s="0" t="s">
        <v>301</v>
      </c>
      <c r="B384" s="0" t="s">
        <v>236</v>
      </c>
      <c r="C384" s="0" t="s">
        <v>302</v>
      </c>
      <c r="D384" s="0" t="s">
        <v>480</v>
      </c>
      <c r="E384" s="0" t="n">
        <v>9.5</v>
      </c>
    </row>
    <row r="385" customFormat="false" ht="15" hidden="false" customHeight="false" outlineLevel="0" collapsed="false">
      <c r="A385" s="0" t="s">
        <v>301</v>
      </c>
      <c r="B385" s="0" t="s">
        <v>236</v>
      </c>
      <c r="C385" s="0" t="s">
        <v>302</v>
      </c>
      <c r="D385" s="0" t="s">
        <v>480</v>
      </c>
      <c r="E385" s="0" t="n">
        <v>12.5</v>
      </c>
    </row>
    <row r="386" customFormat="false" ht="15" hidden="false" customHeight="false" outlineLevel="0" collapsed="false">
      <c r="A386" s="0" t="s">
        <v>301</v>
      </c>
      <c r="B386" s="0" t="s">
        <v>236</v>
      </c>
      <c r="C386" s="0" t="s">
        <v>302</v>
      </c>
      <c r="D386" s="0" t="s">
        <v>480</v>
      </c>
      <c r="E386" s="0" t="n">
        <v>18.6</v>
      </c>
    </row>
    <row r="387" customFormat="false" ht="15" hidden="false" customHeight="false" outlineLevel="0" collapsed="false">
      <c r="A387" s="0" t="s">
        <v>304</v>
      </c>
      <c r="B387" s="0" t="s">
        <v>236</v>
      </c>
      <c r="C387" s="0" t="s">
        <v>305</v>
      </c>
      <c r="D387" s="0" t="s">
        <v>326</v>
      </c>
      <c r="E387" s="0" t="n">
        <v>2.95</v>
      </c>
    </row>
    <row r="388" customFormat="false" ht="15" hidden="false" customHeight="false" outlineLevel="0" collapsed="false">
      <c r="A388" s="0" t="s">
        <v>304</v>
      </c>
      <c r="B388" s="0" t="s">
        <v>236</v>
      </c>
      <c r="C388" s="0" t="s">
        <v>305</v>
      </c>
      <c r="D388" s="0" t="s">
        <v>326</v>
      </c>
      <c r="E388" s="0" t="n">
        <v>3.95</v>
      </c>
    </row>
    <row r="389" customFormat="false" ht="15" hidden="false" customHeight="false" outlineLevel="0" collapsed="false">
      <c r="A389" s="0" t="s">
        <v>304</v>
      </c>
      <c r="B389" s="0" t="s">
        <v>236</v>
      </c>
      <c r="C389" s="0" t="s">
        <v>305</v>
      </c>
      <c r="D389" s="0" t="s">
        <v>326</v>
      </c>
      <c r="E389" s="0" t="n">
        <v>7.8</v>
      </c>
    </row>
    <row r="390" customFormat="false" ht="15" hidden="false" customHeight="false" outlineLevel="0" collapsed="false">
      <c r="A390" s="0" t="s">
        <v>304</v>
      </c>
      <c r="B390" s="0" t="s">
        <v>236</v>
      </c>
      <c r="C390" s="0" t="s">
        <v>305</v>
      </c>
      <c r="D390" s="0" t="s">
        <v>326</v>
      </c>
      <c r="E390" s="0" t="n">
        <v>8.9</v>
      </c>
    </row>
    <row r="391" customFormat="false" ht="15" hidden="false" customHeight="false" outlineLevel="0" collapsed="false">
      <c r="A391" s="0" t="s">
        <v>304</v>
      </c>
      <c r="B391" s="0" t="s">
        <v>236</v>
      </c>
      <c r="C391" s="0" t="s">
        <v>305</v>
      </c>
      <c r="D391" s="0" t="s">
        <v>326</v>
      </c>
      <c r="E391" s="0" t="n">
        <v>16.9</v>
      </c>
    </row>
    <row r="392" customFormat="false" ht="15" hidden="false" customHeight="false" outlineLevel="0" collapsed="false">
      <c r="A392" s="0" t="s">
        <v>304</v>
      </c>
      <c r="B392" s="0" t="s">
        <v>236</v>
      </c>
      <c r="C392" s="0" t="s">
        <v>305</v>
      </c>
      <c r="D392" s="0" t="s">
        <v>326</v>
      </c>
      <c r="E392" s="0" t="n">
        <v>21.9</v>
      </c>
    </row>
    <row r="393" customFormat="false" ht="15" hidden="false" customHeight="false" outlineLevel="0" collapsed="false">
      <c r="A393" s="0" t="s">
        <v>304</v>
      </c>
      <c r="B393" s="0" t="s">
        <v>236</v>
      </c>
      <c r="C393" s="0" t="s">
        <v>305</v>
      </c>
      <c r="D393" s="0" t="s">
        <v>326</v>
      </c>
      <c r="E393" s="0" t="n">
        <v>24.5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</cols>
  <sheetData>
    <row r="1" customFormat="false" ht="28.35" hidden="false" customHeight="false" outlineLevel="0" collapsed="false">
      <c r="A1" s="1" t="s">
        <v>27</v>
      </c>
      <c r="B1" s="1" t="s">
        <v>28</v>
      </c>
      <c r="C1" s="1" t="s">
        <v>30</v>
      </c>
      <c r="D1" s="1" t="s">
        <v>481</v>
      </c>
      <c r="E1" s="1" t="s">
        <v>307</v>
      </c>
      <c r="F1" s="1" t="s">
        <v>482</v>
      </c>
      <c r="G1" s="1" t="s">
        <v>483</v>
      </c>
      <c r="H1" s="1" t="s">
        <v>484</v>
      </c>
      <c r="I1" s="1" t="s">
        <v>35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41</v>
      </c>
      <c r="D2" s="0" t="s">
        <v>485</v>
      </c>
      <c r="E2" s="0" t="s">
        <v>486</v>
      </c>
      <c r="F2" s="0" t="n">
        <v>30.4</v>
      </c>
      <c r="G2" s="0" t="n">
        <f aca="false">COUNTIFS(Articles!$A:$A,A2,Articles!$D:$D,D2)</f>
        <v>1</v>
      </c>
      <c r="H2" s="0" t="n">
        <f aca="false">ROUND(SUMIFS(Articles!$H:$H,Articles!$A:$A,A2,Articles!$D:$D,D2),2)</f>
        <v>30.4</v>
      </c>
      <c r="I2" s="0" t="n">
        <f aca="false">ROUND(H2-F2,2)</f>
        <v>0</v>
      </c>
    </row>
    <row r="3" customFormat="false" ht="15" hidden="false" customHeight="false" outlineLevel="0" collapsed="false">
      <c r="A3" s="0" t="s">
        <v>43</v>
      </c>
      <c r="B3" s="0" t="s">
        <v>39</v>
      </c>
      <c r="C3" s="0" t="s">
        <v>44</v>
      </c>
      <c r="D3" s="0" t="s">
        <v>487</v>
      </c>
      <c r="E3" s="0" t="s">
        <v>312</v>
      </c>
      <c r="F3" s="0" t="n">
        <v>63.6</v>
      </c>
      <c r="G3" s="0" t="n">
        <f aca="false">COUNTIFS(Articles!$A:$A,A3,Articles!$D:$D,D3)</f>
        <v>1</v>
      </c>
      <c r="H3" s="0" t="n">
        <f aca="false">ROUND(SUMIFS(Articles!$H:$H,Articles!$A:$A,A3,Articles!$D:$D,D3),2)</f>
        <v>63.6</v>
      </c>
      <c r="I3" s="0" t="n">
        <f aca="false">ROUND(H3-F3,2)</f>
        <v>0</v>
      </c>
    </row>
    <row r="4" customFormat="false" ht="15" hidden="false" customHeight="false" outlineLevel="0" collapsed="false">
      <c r="A4" s="0" t="s">
        <v>46</v>
      </c>
      <c r="B4" s="0" t="s">
        <v>39</v>
      </c>
      <c r="C4" s="0" t="s">
        <v>47</v>
      </c>
      <c r="D4" s="0" t="s">
        <v>488</v>
      </c>
      <c r="E4" s="0" t="s">
        <v>313</v>
      </c>
      <c r="F4" s="0" t="n">
        <v>76.9</v>
      </c>
      <c r="G4" s="0" t="n">
        <f aca="false">COUNTIFS(Articles!$A:$A,A4,Articles!$D:$D,D4)</f>
        <v>1</v>
      </c>
      <c r="H4" s="0" t="n">
        <f aca="false">ROUND(SUMIFS(Articles!$H:$H,Articles!$A:$A,A4,Articles!$D:$D,D4),2)</f>
        <v>76.9</v>
      </c>
      <c r="I4" s="0" t="n">
        <f aca="false">ROUND(H4-F4,2)</f>
        <v>0</v>
      </c>
    </row>
    <row r="5" customFormat="false" ht="15" hidden="false" customHeight="false" outlineLevel="0" collapsed="false">
      <c r="A5" s="0" t="s">
        <v>49</v>
      </c>
      <c r="B5" s="0" t="s">
        <v>39</v>
      </c>
      <c r="C5" s="0" t="s">
        <v>50</v>
      </c>
      <c r="D5" s="0" t="s">
        <v>485</v>
      </c>
      <c r="E5" s="0" t="s">
        <v>422</v>
      </c>
      <c r="F5" s="0" t="n">
        <v>57.1</v>
      </c>
      <c r="G5" s="0" t="n">
        <f aca="false">COUNTIFS(Articles!$A:$A,A5,Articles!$D:$D,D5)</f>
        <v>1</v>
      </c>
      <c r="H5" s="0" t="n">
        <f aca="false">ROUND(SUMIFS(Articles!$H:$H,Articles!$A:$A,A5,Articles!$D:$D,D5),2)</f>
        <v>57.1</v>
      </c>
      <c r="I5" s="0" t="n">
        <f aca="false">ROUND(H5-F5,2)</f>
        <v>0</v>
      </c>
    </row>
    <row r="6" customFormat="false" ht="15" hidden="false" customHeight="false" outlineLevel="0" collapsed="false">
      <c r="A6" s="0" t="s">
        <v>52</v>
      </c>
      <c r="B6" s="0" t="s">
        <v>39</v>
      </c>
      <c r="C6" s="0" t="s">
        <v>53</v>
      </c>
      <c r="D6" s="0" t="s">
        <v>489</v>
      </c>
      <c r="E6" s="0" t="s">
        <v>490</v>
      </c>
      <c r="F6" s="0" t="n">
        <v>45.6</v>
      </c>
      <c r="G6" s="0" t="n">
        <f aca="false">COUNTIFS(Articles!$A:$A,A6,Articles!$D:$D,D6)</f>
        <v>1</v>
      </c>
      <c r="H6" s="0" t="n">
        <f aca="false">ROUND(SUMIFS(Articles!$H:$H,Articles!$A:$A,A6,Articles!$D:$D,D6),2)</f>
        <v>45.6</v>
      </c>
      <c r="I6" s="0" t="n">
        <f aca="false">ROUND(H6-F6,2)</f>
        <v>0</v>
      </c>
    </row>
    <row r="7" customFormat="false" ht="15" hidden="false" customHeight="false" outlineLevel="0" collapsed="false">
      <c r="A7" s="0" t="s">
        <v>55</v>
      </c>
      <c r="B7" s="0" t="s">
        <v>39</v>
      </c>
      <c r="C7" s="0" t="s">
        <v>56</v>
      </c>
      <c r="D7" s="0" t="s">
        <v>491</v>
      </c>
      <c r="E7" s="0" t="s">
        <v>404</v>
      </c>
      <c r="F7" s="0" t="n">
        <v>76.9</v>
      </c>
      <c r="G7" s="0" t="n">
        <f aca="false">COUNTIFS(Articles!$A:$A,A7,Articles!$D:$D,D7)</f>
        <v>1</v>
      </c>
      <c r="H7" s="0" t="n">
        <f aca="false">ROUND(SUMIFS(Articles!$H:$H,Articles!$A:$A,A7,Articles!$D:$D,D7),2)</f>
        <v>76.9</v>
      </c>
      <c r="I7" s="0" t="n">
        <f aca="false">ROUND(H7-F7,2)</f>
        <v>0</v>
      </c>
    </row>
    <row r="8" customFormat="false" ht="15" hidden="false" customHeight="false" outlineLevel="0" collapsed="false">
      <c r="A8" s="0" t="s">
        <v>58</v>
      </c>
      <c r="B8" s="0" t="s">
        <v>39</v>
      </c>
      <c r="C8" s="0" t="s">
        <v>59</v>
      </c>
      <c r="D8" s="0" t="s">
        <v>492</v>
      </c>
      <c r="E8" s="0" t="s">
        <v>317</v>
      </c>
      <c r="F8" s="0" t="n">
        <v>21.1</v>
      </c>
      <c r="G8" s="0" t="n">
        <f aca="false">COUNTIFS(Articles!$A:$A,A8,Articles!$D:$D,D8)</f>
        <v>1</v>
      </c>
      <c r="H8" s="0" t="n">
        <f aca="false">ROUND(SUMIFS(Articles!$H:$H,Articles!$A:$A,A8,Articles!$D:$D,D8),2)</f>
        <v>21.1</v>
      </c>
      <c r="I8" s="0" t="n">
        <f aca="false">ROUND(H8-F8,2)</f>
        <v>0</v>
      </c>
    </row>
    <row r="9" customFormat="false" ht="15" hidden="false" customHeight="false" outlineLevel="0" collapsed="false">
      <c r="A9" s="0" t="s">
        <v>61</v>
      </c>
      <c r="B9" s="0" t="s">
        <v>39</v>
      </c>
      <c r="C9" s="0" t="s">
        <v>62</v>
      </c>
      <c r="D9" s="0" t="s">
        <v>485</v>
      </c>
      <c r="E9" s="0" t="s">
        <v>318</v>
      </c>
      <c r="F9" s="0" t="n">
        <v>47.7</v>
      </c>
      <c r="G9" s="0" t="n">
        <f aca="false">COUNTIFS(Articles!$A:$A,A9,Articles!$D:$D,D9)</f>
        <v>1</v>
      </c>
      <c r="H9" s="0" t="n">
        <f aca="false">ROUND(SUMIFS(Articles!$H:$H,Articles!$A:$A,A9,Articles!$D:$D,D9),2)</f>
        <v>47.7</v>
      </c>
      <c r="I9" s="0" t="n">
        <f aca="false">ROUND(H9-F9,2)</f>
        <v>0</v>
      </c>
    </row>
    <row r="10" customFormat="false" ht="15" hidden="false" customHeight="false" outlineLevel="0" collapsed="false">
      <c r="A10" s="0" t="s">
        <v>64</v>
      </c>
      <c r="B10" s="0" t="s">
        <v>39</v>
      </c>
      <c r="C10" s="0" t="s">
        <v>65</v>
      </c>
      <c r="D10" s="0" t="s">
        <v>493</v>
      </c>
      <c r="E10" s="0" t="s">
        <v>494</v>
      </c>
      <c r="F10" s="0" t="n">
        <v>53.5</v>
      </c>
      <c r="G10" s="0" t="n">
        <f aca="false">COUNTIFS(Articles!$A:$A,A10,Articles!$D:$D,D10)</f>
        <v>1</v>
      </c>
      <c r="H10" s="0" t="n">
        <f aca="false">ROUND(SUMIFS(Articles!$H:$H,Articles!$A:$A,A10,Articles!$D:$D,D10),2)</f>
        <v>53.5</v>
      </c>
      <c r="I10" s="0" t="n">
        <f aca="false">ROUND(H10-F10,2)</f>
        <v>0</v>
      </c>
    </row>
    <row r="11" customFormat="false" ht="15" hidden="false" customHeight="false" outlineLevel="0" collapsed="false">
      <c r="A11" s="0" t="s">
        <v>67</v>
      </c>
      <c r="B11" s="0" t="s">
        <v>39</v>
      </c>
      <c r="C11" s="0" t="s">
        <v>68</v>
      </c>
      <c r="D11" s="0" t="s">
        <v>495</v>
      </c>
      <c r="E11" s="0" t="s">
        <v>320</v>
      </c>
      <c r="F11" s="0" t="n">
        <v>64.7</v>
      </c>
      <c r="G11" s="0" t="n">
        <f aca="false">COUNTIFS(Articles!$A:$A,A11,Articles!$D:$D,D11)</f>
        <v>1</v>
      </c>
      <c r="H11" s="0" t="n">
        <f aca="false">ROUND(SUMIFS(Articles!$H:$H,Articles!$A:$A,A11,Articles!$D:$D,D11),2)</f>
        <v>64.7</v>
      </c>
      <c r="I11" s="0" t="n">
        <f aca="false">ROUND(H11-F11,2)</f>
        <v>0</v>
      </c>
    </row>
    <row r="12" customFormat="false" ht="15" hidden="false" customHeight="false" outlineLevel="0" collapsed="false">
      <c r="A12" s="0" t="s">
        <v>70</v>
      </c>
      <c r="B12" s="0" t="s">
        <v>39</v>
      </c>
      <c r="C12" s="0" t="s">
        <v>71</v>
      </c>
      <c r="D12" s="0" t="s">
        <v>496</v>
      </c>
      <c r="E12" s="0" t="s">
        <v>497</v>
      </c>
      <c r="F12" s="0" t="n">
        <v>194.3</v>
      </c>
      <c r="G12" s="0" t="n">
        <f aca="false">COUNTIFS(Articles!$A:$A,A12,Articles!$D:$D,D12)</f>
        <v>2</v>
      </c>
      <c r="H12" s="0" t="n">
        <f aca="false">ROUND(SUMIFS(Articles!$H:$H,Articles!$A:$A,A12,Articles!$D:$D,D12),2)</f>
        <v>194.3</v>
      </c>
      <c r="I12" s="0" t="n">
        <f aca="false">ROUND(H12-F12,2)</f>
        <v>0</v>
      </c>
    </row>
    <row r="13" customFormat="false" ht="15" hidden="false" customHeight="false" outlineLevel="0" collapsed="false">
      <c r="A13" s="0" t="s">
        <v>73</v>
      </c>
      <c r="B13" s="0" t="s">
        <v>39</v>
      </c>
      <c r="C13" s="0" t="s">
        <v>75</v>
      </c>
      <c r="D13" s="0" t="s">
        <v>496</v>
      </c>
      <c r="E13" s="0" t="s">
        <v>322</v>
      </c>
      <c r="F13" s="0" t="n">
        <v>38</v>
      </c>
      <c r="G13" s="0" t="n">
        <f aca="false">COUNTIFS(Articles!$A:$A,A13,Articles!$D:$D,D13)</f>
        <v>1</v>
      </c>
      <c r="H13" s="0" t="n">
        <f aca="false">ROUND(SUMIFS(Articles!$H:$H,Articles!$A:$A,A13,Articles!$D:$D,D13),2)</f>
        <v>38</v>
      </c>
      <c r="I13" s="0" t="n">
        <f aca="false">ROUND(H13-F13,2)</f>
        <v>0</v>
      </c>
    </row>
    <row r="14" customFormat="false" ht="15" hidden="false" customHeight="false" outlineLevel="0" collapsed="false">
      <c r="A14" s="0" t="s">
        <v>77</v>
      </c>
      <c r="B14" s="0" t="s">
        <v>39</v>
      </c>
      <c r="C14" s="0" t="s">
        <v>78</v>
      </c>
      <c r="D14" s="0" t="s">
        <v>498</v>
      </c>
      <c r="E14" s="0" t="s">
        <v>323</v>
      </c>
      <c r="F14" s="0" t="n">
        <v>18.7</v>
      </c>
      <c r="G14" s="0" t="n">
        <f aca="false">COUNTIFS(Articles!$A:$A,A14,Articles!$D:$D,D14)</f>
        <v>1</v>
      </c>
      <c r="H14" s="0" t="n">
        <f aca="false">ROUND(SUMIFS(Articles!$H:$H,Articles!$A:$A,A14,Articles!$D:$D,D14),2)</f>
        <v>18.7</v>
      </c>
      <c r="I14" s="0" t="n">
        <f aca="false">ROUND(H14-F14,2)</f>
        <v>0</v>
      </c>
    </row>
    <row r="15" customFormat="false" ht="15" hidden="false" customHeight="false" outlineLevel="0" collapsed="false">
      <c r="A15" s="0" t="s">
        <v>80</v>
      </c>
      <c r="B15" s="0" t="s">
        <v>39</v>
      </c>
      <c r="C15" s="0" t="s">
        <v>81</v>
      </c>
      <c r="D15" s="0" t="s">
        <v>491</v>
      </c>
      <c r="E15" s="0" t="s">
        <v>324</v>
      </c>
      <c r="F15" s="0" t="n">
        <v>26.9</v>
      </c>
      <c r="G15" s="0" t="n">
        <f aca="false">COUNTIFS(Articles!$A:$A,A15,Articles!$D:$D,D15)</f>
        <v>1</v>
      </c>
      <c r="H15" s="0" t="n">
        <f aca="false">ROUND(SUMIFS(Articles!$H:$H,Articles!$A:$A,A15,Articles!$D:$D,D15),2)</f>
        <v>26.9</v>
      </c>
      <c r="I15" s="0" t="n">
        <f aca="false">ROUND(H15-F15,2)</f>
        <v>0</v>
      </c>
    </row>
    <row r="16" customFormat="false" ht="15" hidden="false" customHeight="false" outlineLevel="0" collapsed="false">
      <c r="A16" s="0" t="s">
        <v>83</v>
      </c>
      <c r="B16" s="0" t="s">
        <v>39</v>
      </c>
      <c r="C16" s="0" t="s">
        <v>84</v>
      </c>
      <c r="D16" s="0" t="s">
        <v>499</v>
      </c>
      <c r="E16" s="0" t="s">
        <v>325</v>
      </c>
      <c r="F16" s="0" t="n">
        <v>71.6</v>
      </c>
      <c r="G16" s="0" t="n">
        <f aca="false">COUNTIFS(Articles!$A:$A,A16,Articles!$D:$D,D16)</f>
        <v>1</v>
      </c>
      <c r="H16" s="0" t="n">
        <f aca="false">ROUND(SUMIFS(Articles!$H:$H,Articles!$A:$A,A16,Articles!$D:$D,D16),2)</f>
        <v>71.6</v>
      </c>
      <c r="I16" s="0" t="n">
        <f aca="false">ROUND(H16-F16,2)</f>
        <v>0</v>
      </c>
    </row>
    <row r="17" customFormat="false" ht="15" hidden="false" customHeight="false" outlineLevel="0" collapsed="false">
      <c r="A17" s="0" t="s">
        <v>86</v>
      </c>
      <c r="B17" s="0" t="s">
        <v>39</v>
      </c>
      <c r="C17" s="0" t="s">
        <v>87</v>
      </c>
      <c r="D17" s="0" t="s">
        <v>500</v>
      </c>
      <c r="E17" s="0" t="s">
        <v>326</v>
      </c>
      <c r="F17" s="0" t="n">
        <v>60.6</v>
      </c>
      <c r="G17" s="0" t="n">
        <f aca="false">COUNTIFS(Articles!$A:$A,A17,Articles!$D:$D,D17)</f>
        <v>1</v>
      </c>
      <c r="H17" s="0" t="n">
        <f aca="false">ROUND(SUMIFS(Articles!$H:$H,Articles!$A:$A,A17,Articles!$D:$D,D17),2)</f>
        <v>60.6</v>
      </c>
      <c r="I17" s="0" t="n">
        <f aca="false">ROUND(H17-F17,2)</f>
        <v>0</v>
      </c>
    </row>
    <row r="18" customFormat="false" ht="15" hidden="false" customHeight="false" outlineLevel="0" collapsed="false">
      <c r="A18" s="0" t="s">
        <v>89</v>
      </c>
      <c r="B18" s="0" t="s">
        <v>39</v>
      </c>
      <c r="C18" s="0" t="s">
        <v>90</v>
      </c>
      <c r="D18" s="0" t="s">
        <v>499</v>
      </c>
      <c r="E18" s="0" t="s">
        <v>501</v>
      </c>
      <c r="F18" s="0" t="n">
        <v>128.8</v>
      </c>
      <c r="G18" s="0" t="n">
        <f aca="false">COUNTIFS(Articles!$A:$A,A18,Articles!$D:$D,D18)</f>
        <v>1</v>
      </c>
      <c r="H18" s="0" t="n">
        <f aca="false">ROUND(SUMIFS(Articles!$H:$H,Articles!$A:$A,A18,Articles!$D:$D,D18),2)</f>
        <v>128.8</v>
      </c>
      <c r="I18" s="0" t="n">
        <f aca="false">ROUND(H18-F18,2)</f>
        <v>0</v>
      </c>
    </row>
    <row r="19" customFormat="false" ht="15" hidden="false" customHeight="false" outlineLevel="0" collapsed="false">
      <c r="A19" s="0" t="s">
        <v>92</v>
      </c>
      <c r="B19" s="0" t="s">
        <v>39</v>
      </c>
      <c r="C19" s="0" t="s">
        <v>93</v>
      </c>
      <c r="D19" s="0" t="s">
        <v>502</v>
      </c>
      <c r="E19" s="0" t="s">
        <v>328</v>
      </c>
      <c r="F19" s="0" t="n">
        <v>208.5</v>
      </c>
      <c r="G19" s="0" t="n">
        <f aca="false">COUNTIFS(Articles!$A:$A,A19,Articles!$D:$D,D19)</f>
        <v>1</v>
      </c>
      <c r="H19" s="0" t="n">
        <f aca="false">ROUND(SUMIFS(Articles!$H:$H,Articles!$A:$A,A19,Articles!$D:$D,D19),2)</f>
        <v>208.5</v>
      </c>
      <c r="I19" s="0" t="n">
        <f aca="false">ROUND(H19-F19,2)</f>
        <v>0</v>
      </c>
    </row>
    <row r="20" customFormat="false" ht="15" hidden="false" customHeight="false" outlineLevel="0" collapsed="false">
      <c r="A20" s="0" t="s">
        <v>95</v>
      </c>
      <c r="B20" s="0" t="s">
        <v>39</v>
      </c>
      <c r="C20" s="0" t="s">
        <v>96</v>
      </c>
      <c r="D20" s="0" t="s">
        <v>493</v>
      </c>
      <c r="E20" s="0" t="s">
        <v>329</v>
      </c>
      <c r="F20" s="0" t="n">
        <v>184.2</v>
      </c>
      <c r="G20" s="0" t="n">
        <f aca="false">COUNTIFS(Articles!$A:$A,A20,Articles!$D:$D,D20)</f>
        <v>1</v>
      </c>
      <c r="H20" s="0" t="n">
        <f aca="false">ROUND(SUMIFS(Articles!$H:$H,Articles!$A:$A,A20,Articles!$D:$D,D20),2)</f>
        <v>184.2</v>
      </c>
      <c r="I20" s="0" t="n">
        <f aca="false">ROUND(H20-F20,2)</f>
        <v>0</v>
      </c>
    </row>
    <row r="21" customFormat="false" ht="15" hidden="false" customHeight="false" outlineLevel="0" collapsed="false">
      <c r="A21" s="0" t="s">
        <v>98</v>
      </c>
      <c r="B21" s="0" t="s">
        <v>39</v>
      </c>
      <c r="C21" s="0" t="s">
        <v>99</v>
      </c>
      <c r="D21" s="0" t="s">
        <v>503</v>
      </c>
      <c r="E21" s="0" t="s">
        <v>330</v>
      </c>
      <c r="F21" s="0" t="n">
        <v>48.7</v>
      </c>
      <c r="G21" s="0" t="n">
        <f aca="false">COUNTIFS(Articles!$A:$A,A21,Articles!$D:$D,D21)</f>
        <v>1</v>
      </c>
      <c r="H21" s="0" t="n">
        <f aca="false">ROUND(SUMIFS(Articles!$H:$H,Articles!$A:$A,A21,Articles!$D:$D,D21),2)</f>
        <v>48.7</v>
      </c>
      <c r="I21" s="0" t="n">
        <f aca="false">ROUND(H21-F21,2)</f>
        <v>0</v>
      </c>
    </row>
    <row r="22" customFormat="false" ht="15" hidden="false" customHeight="false" outlineLevel="0" collapsed="false">
      <c r="A22" s="0" t="s">
        <v>101</v>
      </c>
      <c r="B22" s="0" t="s">
        <v>39</v>
      </c>
      <c r="C22" s="0" t="s">
        <v>102</v>
      </c>
      <c r="D22" s="0" t="s">
        <v>504</v>
      </c>
      <c r="E22" s="0" t="s">
        <v>331</v>
      </c>
      <c r="F22" s="0" t="n">
        <v>70.6</v>
      </c>
      <c r="G22" s="0" t="n">
        <f aca="false">COUNTIFS(Articles!$A:$A,A22,Articles!$D:$D,D22)</f>
        <v>2</v>
      </c>
      <c r="H22" s="0" t="n">
        <f aca="false">ROUND(SUMIFS(Articles!$H:$H,Articles!$A:$A,A22,Articles!$D:$D,D22),2)</f>
        <v>70.6</v>
      </c>
      <c r="I22" s="0" t="n">
        <f aca="false">ROUND(H22-F22,2)</f>
        <v>0</v>
      </c>
    </row>
    <row r="23" customFormat="false" ht="15" hidden="false" customHeight="false" outlineLevel="0" collapsed="false">
      <c r="A23" s="0" t="s">
        <v>104</v>
      </c>
      <c r="B23" s="0" t="s">
        <v>39</v>
      </c>
      <c r="C23" s="0" t="s">
        <v>106</v>
      </c>
      <c r="D23" s="0" t="s">
        <v>504</v>
      </c>
      <c r="E23" s="0" t="s">
        <v>332</v>
      </c>
      <c r="F23" s="0" t="n">
        <v>22.9</v>
      </c>
      <c r="G23" s="0" t="n">
        <f aca="false">COUNTIFS(Articles!$A:$A,A23,Articles!$D:$D,D23)</f>
        <v>1</v>
      </c>
      <c r="H23" s="0" t="n">
        <f aca="false">ROUND(SUMIFS(Articles!$H:$H,Articles!$A:$A,A23,Articles!$D:$D,D23),2)</f>
        <v>22.9</v>
      </c>
      <c r="I23" s="0" t="n">
        <f aca="false">ROUND(H23-F23,2)</f>
        <v>0</v>
      </c>
    </row>
    <row r="24" customFormat="false" ht="15" hidden="false" customHeight="false" outlineLevel="0" collapsed="false">
      <c r="A24" s="0" t="s">
        <v>108</v>
      </c>
      <c r="B24" s="0" t="s">
        <v>39</v>
      </c>
      <c r="C24" s="0" t="s">
        <v>109</v>
      </c>
      <c r="D24" s="0" t="s">
        <v>485</v>
      </c>
      <c r="E24" s="0" t="s">
        <v>333</v>
      </c>
      <c r="F24" s="0" t="n">
        <v>61.3</v>
      </c>
      <c r="G24" s="0" t="n">
        <f aca="false">COUNTIFS(Articles!$A:$A,A24,Articles!$D:$D,D24)</f>
        <v>1</v>
      </c>
      <c r="H24" s="0" t="n">
        <f aca="false">ROUND(SUMIFS(Articles!$H:$H,Articles!$A:$A,A24,Articles!$D:$D,D24),2)</f>
        <v>61.3</v>
      </c>
      <c r="I24" s="0" t="n">
        <f aca="false">ROUND(H24-F24,2)</f>
        <v>0</v>
      </c>
    </row>
    <row r="25" customFormat="false" ht="15" hidden="false" customHeight="false" outlineLevel="0" collapsed="false">
      <c r="A25" s="0" t="s">
        <v>111</v>
      </c>
      <c r="B25" s="0" t="s">
        <v>39</v>
      </c>
      <c r="C25" s="0" t="s">
        <v>112</v>
      </c>
      <c r="D25" s="0" t="s">
        <v>505</v>
      </c>
      <c r="E25" s="0" t="s">
        <v>334</v>
      </c>
      <c r="F25" s="0" t="n">
        <v>61.8</v>
      </c>
      <c r="G25" s="0" t="n">
        <f aca="false">COUNTIFS(Articles!$A:$A,A25,Articles!$D:$D,D25)</f>
        <v>1</v>
      </c>
      <c r="H25" s="0" t="n">
        <f aca="false">ROUND(SUMIFS(Articles!$H:$H,Articles!$A:$A,A25,Articles!$D:$D,D25),2)</f>
        <v>61.8</v>
      </c>
      <c r="I25" s="0" t="n">
        <f aca="false">ROUND(H25-F25,2)</f>
        <v>0</v>
      </c>
    </row>
    <row r="26" customFormat="false" ht="15" hidden="false" customHeight="false" outlineLevel="0" collapsed="false">
      <c r="A26" s="0" t="s">
        <v>114</v>
      </c>
      <c r="B26" s="0" t="s">
        <v>39</v>
      </c>
      <c r="C26" s="0" t="s">
        <v>115</v>
      </c>
      <c r="D26" s="0" t="s">
        <v>489</v>
      </c>
      <c r="E26" s="0" t="s">
        <v>335</v>
      </c>
      <c r="F26" s="0" t="n">
        <v>60.5</v>
      </c>
      <c r="G26" s="0" t="n">
        <f aca="false">COUNTIFS(Articles!$A:$A,A26,Articles!$D:$D,D26)</f>
        <v>1</v>
      </c>
      <c r="H26" s="0" t="n">
        <f aca="false">ROUND(SUMIFS(Articles!$H:$H,Articles!$A:$A,A26,Articles!$D:$D,D26),2)</f>
        <v>60.5</v>
      </c>
      <c r="I26" s="0" t="n">
        <f aca="false">ROUND(H26-F26,2)</f>
        <v>0</v>
      </c>
    </row>
    <row r="27" customFormat="false" ht="15" hidden="false" customHeight="false" outlineLevel="0" collapsed="false">
      <c r="A27" s="0" t="s">
        <v>117</v>
      </c>
      <c r="B27" s="0" t="s">
        <v>39</v>
      </c>
      <c r="C27" s="0" t="s">
        <v>118</v>
      </c>
      <c r="D27" s="0" t="s">
        <v>506</v>
      </c>
      <c r="E27" s="0" t="s">
        <v>336</v>
      </c>
      <c r="F27" s="0" t="n">
        <v>49.9</v>
      </c>
      <c r="G27" s="0" t="n">
        <f aca="false">COUNTIFS(Articles!$A:$A,A27,Articles!$D:$D,D27)</f>
        <v>1</v>
      </c>
      <c r="H27" s="0" t="n">
        <f aca="false">ROUND(SUMIFS(Articles!$H:$H,Articles!$A:$A,A27,Articles!$D:$D,D27),2)</f>
        <v>49.9</v>
      </c>
      <c r="I27" s="0" t="n">
        <f aca="false">ROUND(H27-F27,2)</f>
        <v>0</v>
      </c>
    </row>
    <row r="28" customFormat="false" ht="15" hidden="false" customHeight="false" outlineLevel="0" collapsed="false">
      <c r="A28" s="0" t="s">
        <v>120</v>
      </c>
      <c r="B28" s="0" t="s">
        <v>39</v>
      </c>
      <c r="C28" s="0" t="s">
        <v>121</v>
      </c>
      <c r="D28" s="0" t="s">
        <v>488</v>
      </c>
      <c r="E28" s="0" t="s">
        <v>507</v>
      </c>
      <c r="F28" s="0" t="n">
        <v>21.6</v>
      </c>
      <c r="G28" s="0" t="n">
        <f aca="false">COUNTIFS(Articles!$A:$A,A28,Articles!$D:$D,D28)</f>
        <v>1</v>
      </c>
      <c r="H28" s="0" t="n">
        <f aca="false">ROUND(SUMIFS(Articles!$H:$H,Articles!$A:$A,A28,Articles!$D:$D,D28),2)</f>
        <v>21.6</v>
      </c>
      <c r="I28" s="0" t="n">
        <f aca="false">ROUND(H28-F28,2)</f>
        <v>0</v>
      </c>
    </row>
    <row r="29" customFormat="false" ht="15" hidden="false" customHeight="false" outlineLevel="0" collapsed="false">
      <c r="A29" s="0" t="s">
        <v>123</v>
      </c>
      <c r="B29" s="0" t="s">
        <v>39</v>
      </c>
      <c r="C29" s="0" t="s">
        <v>124</v>
      </c>
      <c r="D29" s="0" t="s">
        <v>489</v>
      </c>
      <c r="E29" s="0" t="s">
        <v>338</v>
      </c>
      <c r="F29" s="0" t="n">
        <v>115.9</v>
      </c>
      <c r="G29" s="0" t="n">
        <f aca="false">COUNTIFS(Articles!$A:$A,A29,Articles!$D:$D,D29)</f>
        <v>1</v>
      </c>
      <c r="H29" s="0" t="n">
        <f aca="false">ROUND(SUMIFS(Articles!$H:$H,Articles!$A:$A,A29,Articles!$D:$D,D29),2)</f>
        <v>115.9</v>
      </c>
      <c r="I29" s="0" t="n">
        <f aca="false">ROUND(H29-F29,2)</f>
        <v>0</v>
      </c>
    </row>
    <row r="30" customFormat="false" ht="15" hidden="false" customHeight="false" outlineLevel="0" collapsed="false">
      <c r="A30" s="0" t="s">
        <v>126</v>
      </c>
      <c r="B30" s="0" t="s">
        <v>39</v>
      </c>
      <c r="C30" s="0" t="s">
        <v>127</v>
      </c>
      <c r="D30" s="0" t="s">
        <v>508</v>
      </c>
      <c r="E30" s="0" t="s">
        <v>339</v>
      </c>
      <c r="F30" s="0" t="n">
        <v>59.2</v>
      </c>
      <c r="G30" s="0" t="n">
        <f aca="false">COUNTIFS(Articles!$A:$A,A30,Articles!$D:$D,D30)</f>
        <v>1</v>
      </c>
      <c r="H30" s="0" t="n">
        <f aca="false">ROUND(SUMIFS(Articles!$H:$H,Articles!$A:$A,A30,Articles!$D:$D,D30),2)</f>
        <v>59.2</v>
      </c>
      <c r="I30" s="0" t="n">
        <f aca="false">ROUND(H30-F30,2)</f>
        <v>0</v>
      </c>
    </row>
    <row r="31" customFormat="false" ht="15" hidden="false" customHeight="false" outlineLevel="0" collapsed="false">
      <c r="A31" s="0" t="s">
        <v>129</v>
      </c>
      <c r="B31" s="0" t="s">
        <v>39</v>
      </c>
      <c r="C31" s="0" t="s">
        <v>130</v>
      </c>
      <c r="D31" s="0" t="s">
        <v>509</v>
      </c>
      <c r="E31" s="0" t="s">
        <v>321</v>
      </c>
      <c r="F31" s="0" t="n">
        <v>202.1</v>
      </c>
      <c r="G31" s="0" t="n">
        <f aca="false">COUNTIFS(Articles!$A:$A,A31,Articles!$D:$D,D31)</f>
        <v>2</v>
      </c>
      <c r="H31" s="0" t="n">
        <f aca="false">ROUND(SUMIFS(Articles!$H:$H,Articles!$A:$A,A31,Articles!$D:$D,D31),2)</f>
        <v>202.1</v>
      </c>
      <c r="I31" s="0" t="n">
        <f aca="false">ROUND(H31-F31,2)</f>
        <v>0</v>
      </c>
    </row>
    <row r="32" customFormat="false" ht="15" hidden="false" customHeight="false" outlineLevel="0" collapsed="false">
      <c r="A32" s="0" t="s">
        <v>132</v>
      </c>
      <c r="B32" s="0" t="s">
        <v>39</v>
      </c>
      <c r="C32" s="0" t="s">
        <v>133</v>
      </c>
      <c r="D32" s="0" t="s">
        <v>506</v>
      </c>
      <c r="E32" s="0" t="s">
        <v>314</v>
      </c>
      <c r="F32" s="0" t="n">
        <v>71.9</v>
      </c>
      <c r="G32" s="0" t="n">
        <f aca="false">COUNTIFS(Articles!$A:$A,A32,Articles!$D:$D,D32)</f>
        <v>1</v>
      </c>
      <c r="H32" s="0" t="n">
        <f aca="false">ROUND(SUMIFS(Articles!$H:$H,Articles!$A:$A,A32,Articles!$D:$D,D32),2)</f>
        <v>71.9</v>
      </c>
      <c r="I32" s="0" t="n">
        <f aca="false">ROUND(H32-F32,2)</f>
        <v>0</v>
      </c>
    </row>
    <row r="33" customFormat="false" ht="15" hidden="false" customHeight="false" outlineLevel="0" collapsed="false">
      <c r="A33" s="0" t="s">
        <v>135</v>
      </c>
      <c r="B33" s="0" t="s">
        <v>136</v>
      </c>
      <c r="C33" s="0" t="s">
        <v>137</v>
      </c>
      <c r="D33" s="0" t="s">
        <v>510</v>
      </c>
      <c r="E33" s="0" t="s">
        <v>511</v>
      </c>
      <c r="F33" s="0" t="n">
        <v>34.4</v>
      </c>
      <c r="G33" s="0" t="n">
        <f aca="false">COUNTIFS(Articles!$A:$A,A33,Articles!$D:$D,D33)</f>
        <v>6</v>
      </c>
      <c r="H33" s="0" t="n">
        <f aca="false">ROUND(SUMIFS(Articles!$H:$H,Articles!$A:$A,A33,Articles!$D:$D,D33),2)</f>
        <v>34.4</v>
      </c>
      <c r="I33" s="0" t="n">
        <f aca="false">ROUND(H33-F33,2)</f>
        <v>0</v>
      </c>
    </row>
    <row r="34" customFormat="false" ht="15" hidden="false" customHeight="false" outlineLevel="0" collapsed="false">
      <c r="A34" s="0" t="s">
        <v>135</v>
      </c>
      <c r="B34" s="0" t="s">
        <v>136</v>
      </c>
      <c r="C34" s="0" t="s">
        <v>137</v>
      </c>
      <c r="D34" s="0" t="s">
        <v>505</v>
      </c>
      <c r="E34" s="0" t="s">
        <v>511</v>
      </c>
      <c r="F34" s="0" t="n">
        <v>34.4</v>
      </c>
      <c r="G34" s="0" t="n">
        <f aca="false">COUNTIFS(Articles!$A:$A,A34,Articles!$D:$D,D34)</f>
        <v>6</v>
      </c>
      <c r="H34" s="0" t="n">
        <f aca="false">ROUND(SUMIFS(Articles!$H:$H,Articles!$A:$A,A34,Articles!$D:$D,D34),2)</f>
        <v>34.4</v>
      </c>
      <c r="I34" s="0" t="n">
        <f aca="false">ROUND(H34-F34,2)</f>
        <v>0</v>
      </c>
    </row>
    <row r="35" customFormat="false" ht="15" hidden="false" customHeight="false" outlineLevel="0" collapsed="false">
      <c r="A35" s="0" t="s">
        <v>139</v>
      </c>
      <c r="B35" s="0" t="s">
        <v>136</v>
      </c>
      <c r="C35" s="0" t="s">
        <v>140</v>
      </c>
      <c r="D35" s="0" t="s">
        <v>512</v>
      </c>
      <c r="E35" s="0" t="s">
        <v>513</v>
      </c>
      <c r="F35" s="0" t="n">
        <v>56.75</v>
      </c>
      <c r="G35" s="0" t="n">
        <f aca="false">COUNTIFS(Articles!$A:$A,A35,Articles!$D:$D,D35)</f>
        <v>12</v>
      </c>
      <c r="H35" s="0" t="n">
        <f aca="false">ROUND(SUMIFS(Articles!$H:$H,Articles!$A:$A,A35,Articles!$D:$D,D35),2)</f>
        <v>56.75</v>
      </c>
      <c r="I35" s="0" t="n">
        <f aca="false">ROUND(H35-F35,2)</f>
        <v>0</v>
      </c>
    </row>
    <row r="36" customFormat="false" ht="15" hidden="false" customHeight="false" outlineLevel="0" collapsed="false">
      <c r="A36" s="0" t="s">
        <v>139</v>
      </c>
      <c r="B36" s="0" t="s">
        <v>136</v>
      </c>
      <c r="C36" s="0" t="s">
        <v>140</v>
      </c>
      <c r="D36" s="0" t="s">
        <v>510</v>
      </c>
      <c r="E36" s="0" t="s">
        <v>473</v>
      </c>
      <c r="F36" s="0" t="n">
        <v>56.75</v>
      </c>
      <c r="G36" s="0" t="n">
        <f aca="false">COUNTIFS(Articles!$A:$A,A36,Articles!$D:$D,D36)</f>
        <v>12</v>
      </c>
      <c r="H36" s="0" t="n">
        <f aca="false">ROUND(SUMIFS(Articles!$H:$H,Articles!$A:$A,A36,Articles!$D:$D,D36),2)</f>
        <v>56.75</v>
      </c>
      <c r="I36" s="0" t="n">
        <f aca="false">ROUND(H36-F36,2)</f>
        <v>0</v>
      </c>
    </row>
    <row r="37" customFormat="false" ht="15" hidden="false" customHeight="false" outlineLevel="0" collapsed="false">
      <c r="A37" s="0" t="s">
        <v>142</v>
      </c>
      <c r="B37" s="0" t="s">
        <v>136</v>
      </c>
      <c r="C37" s="0" t="s">
        <v>143</v>
      </c>
      <c r="D37" s="0" t="s">
        <v>500</v>
      </c>
      <c r="E37" s="0" t="s">
        <v>340</v>
      </c>
      <c r="F37" s="0" t="n">
        <v>26.55</v>
      </c>
      <c r="G37" s="0" t="n">
        <f aca="false">COUNTIFS(Articles!$A:$A,A37,Articles!$D:$D,D37)</f>
        <v>5</v>
      </c>
      <c r="H37" s="0" t="n">
        <f aca="false">ROUND(SUMIFS(Articles!$H:$H,Articles!$A:$A,A37,Articles!$D:$D,D37),2)</f>
        <v>26.55</v>
      </c>
      <c r="I37" s="0" t="n">
        <f aca="false">ROUND(H37-F37,2)</f>
        <v>0</v>
      </c>
    </row>
    <row r="38" customFormat="false" ht="15" hidden="false" customHeight="false" outlineLevel="0" collapsed="false">
      <c r="A38" s="0" t="s">
        <v>142</v>
      </c>
      <c r="B38" s="0" t="s">
        <v>136</v>
      </c>
      <c r="C38" s="0" t="s">
        <v>143</v>
      </c>
      <c r="D38" s="0" t="s">
        <v>492</v>
      </c>
      <c r="E38" s="0" t="s">
        <v>340</v>
      </c>
      <c r="F38" s="0" t="n">
        <v>26.55</v>
      </c>
      <c r="G38" s="0" t="n">
        <f aca="false">COUNTIFS(Articles!$A:$A,A38,Articles!$D:$D,D38)</f>
        <v>5</v>
      </c>
      <c r="H38" s="0" t="n">
        <f aca="false">ROUND(SUMIFS(Articles!$H:$H,Articles!$A:$A,A38,Articles!$D:$D,D38),2)</f>
        <v>26.55</v>
      </c>
      <c r="I38" s="0" t="n">
        <f aca="false">ROUND(H38-F38,2)</f>
        <v>0</v>
      </c>
    </row>
    <row r="39" customFormat="false" ht="15" hidden="false" customHeight="false" outlineLevel="0" collapsed="false">
      <c r="A39" s="0" t="s">
        <v>142</v>
      </c>
      <c r="B39" s="0" t="s">
        <v>136</v>
      </c>
      <c r="C39" s="0" t="s">
        <v>143</v>
      </c>
      <c r="D39" s="0" t="s">
        <v>502</v>
      </c>
      <c r="E39" s="0" t="s">
        <v>333</v>
      </c>
      <c r="F39" s="0" t="n">
        <v>25.3</v>
      </c>
      <c r="G39" s="0" t="n">
        <f aca="false">COUNTIFS(Articles!$A:$A,A39,Articles!$D:$D,D39)</f>
        <v>6</v>
      </c>
      <c r="H39" s="0" t="n">
        <f aca="false">ROUND(SUMIFS(Articles!$H:$H,Articles!$A:$A,A39,Articles!$D:$D,D39),2)</f>
        <v>25.3</v>
      </c>
      <c r="I39" s="0" t="n">
        <f aca="false">ROUND(H39-F39,2)</f>
        <v>0</v>
      </c>
    </row>
    <row r="40" customFormat="false" ht="15" hidden="false" customHeight="false" outlineLevel="0" collapsed="false">
      <c r="A40" s="0" t="s">
        <v>142</v>
      </c>
      <c r="B40" s="0" t="s">
        <v>136</v>
      </c>
      <c r="C40" s="0" t="s">
        <v>143</v>
      </c>
      <c r="D40" s="0" t="s">
        <v>514</v>
      </c>
      <c r="E40" s="0" t="s">
        <v>515</v>
      </c>
      <c r="F40" s="0" t="n">
        <v>25.3</v>
      </c>
      <c r="G40" s="0" t="n">
        <f aca="false">COUNTIFS(Articles!$A:$A,A40,Articles!$D:$D,D40)</f>
        <v>6</v>
      </c>
      <c r="H40" s="0" t="n">
        <f aca="false">ROUND(SUMIFS(Articles!$H:$H,Articles!$A:$A,A40,Articles!$D:$D,D40),2)</f>
        <v>25.3</v>
      </c>
      <c r="I40" s="0" t="n">
        <f aca="false">ROUND(H40-F40,2)</f>
        <v>0</v>
      </c>
    </row>
    <row r="41" customFormat="false" ht="15" hidden="false" customHeight="false" outlineLevel="0" collapsed="false">
      <c r="A41" s="0" t="s">
        <v>145</v>
      </c>
      <c r="B41" s="0" t="s">
        <v>136</v>
      </c>
      <c r="C41" s="0" t="s">
        <v>146</v>
      </c>
      <c r="D41" s="0" t="s">
        <v>516</v>
      </c>
      <c r="E41" s="0" t="s">
        <v>517</v>
      </c>
      <c r="F41" s="0" t="n">
        <v>42.65</v>
      </c>
      <c r="G41" s="0" t="n">
        <f aca="false">COUNTIFS(Articles!$A:$A,A41,Articles!$D:$D,D41)</f>
        <v>9</v>
      </c>
      <c r="H41" s="0" t="n">
        <f aca="false">ROUND(SUMIFS(Articles!$H:$H,Articles!$A:$A,A41,Articles!$D:$D,D41),2)</f>
        <v>42.65</v>
      </c>
      <c r="I41" s="0" t="n">
        <f aca="false">ROUND(H41-F41,2)</f>
        <v>0</v>
      </c>
    </row>
    <row r="42" customFormat="false" ht="15" hidden="false" customHeight="false" outlineLevel="0" collapsed="false">
      <c r="A42" s="0" t="s">
        <v>145</v>
      </c>
      <c r="B42" s="0" t="s">
        <v>136</v>
      </c>
      <c r="C42" s="0" t="s">
        <v>146</v>
      </c>
      <c r="D42" s="0" t="s">
        <v>518</v>
      </c>
      <c r="E42" s="0" t="s">
        <v>517</v>
      </c>
      <c r="F42" s="0" t="n">
        <v>42.65</v>
      </c>
      <c r="G42" s="0" t="n">
        <f aca="false">COUNTIFS(Articles!$A:$A,A42,Articles!$D:$D,D42)</f>
        <v>9</v>
      </c>
      <c r="H42" s="0" t="n">
        <f aca="false">ROUND(SUMIFS(Articles!$H:$H,Articles!$A:$A,A42,Articles!$D:$D,D42),2)</f>
        <v>42.65</v>
      </c>
      <c r="I42" s="0" t="n">
        <f aca="false">ROUND(H42-F42,2)</f>
        <v>0</v>
      </c>
    </row>
    <row r="43" customFormat="false" ht="15" hidden="false" customHeight="false" outlineLevel="0" collapsed="false">
      <c r="A43" s="0" t="s">
        <v>145</v>
      </c>
      <c r="B43" s="0" t="s">
        <v>136</v>
      </c>
      <c r="C43" s="0" t="s">
        <v>146</v>
      </c>
      <c r="D43" s="0" t="s">
        <v>496</v>
      </c>
      <c r="E43" s="0" t="s">
        <v>407</v>
      </c>
      <c r="F43" s="0" t="n">
        <v>34.45</v>
      </c>
      <c r="G43" s="0" t="n">
        <f aca="false">COUNTIFS(Articles!$A:$A,A43,Articles!$D:$D,D43)</f>
        <v>7</v>
      </c>
      <c r="H43" s="0" t="n">
        <f aca="false">ROUND(SUMIFS(Articles!$H:$H,Articles!$A:$A,A43,Articles!$D:$D,D43),2)</f>
        <v>34.45</v>
      </c>
      <c r="I43" s="0" t="n">
        <f aca="false">ROUND(H43-F43,2)</f>
        <v>0</v>
      </c>
    </row>
    <row r="44" customFormat="false" ht="15" hidden="false" customHeight="false" outlineLevel="0" collapsed="false">
      <c r="A44" s="0" t="s">
        <v>145</v>
      </c>
      <c r="B44" s="0" t="s">
        <v>136</v>
      </c>
      <c r="C44" s="0" t="s">
        <v>146</v>
      </c>
      <c r="D44" s="0" t="s">
        <v>487</v>
      </c>
      <c r="E44" s="0" t="s">
        <v>407</v>
      </c>
      <c r="F44" s="0" t="n">
        <v>34.45</v>
      </c>
      <c r="G44" s="0" t="n">
        <f aca="false">COUNTIFS(Articles!$A:$A,A44,Articles!$D:$D,D44)</f>
        <v>7</v>
      </c>
      <c r="H44" s="0" t="n">
        <f aca="false">ROUND(SUMIFS(Articles!$H:$H,Articles!$A:$A,A44,Articles!$D:$D,D44),2)</f>
        <v>34.45</v>
      </c>
      <c r="I44" s="0" t="n">
        <f aca="false">ROUND(H44-F44,2)</f>
        <v>0</v>
      </c>
    </row>
    <row r="45" customFormat="false" ht="15" hidden="false" customHeight="false" outlineLevel="0" collapsed="false">
      <c r="A45" s="0" t="s">
        <v>148</v>
      </c>
      <c r="B45" s="0" t="s">
        <v>136</v>
      </c>
      <c r="C45" s="0" t="s">
        <v>149</v>
      </c>
      <c r="D45" s="0" t="s">
        <v>492</v>
      </c>
      <c r="E45" s="0" t="s">
        <v>471</v>
      </c>
      <c r="F45" s="0" t="n">
        <v>71.05</v>
      </c>
      <c r="G45" s="0" t="n">
        <f aca="false">COUNTIFS(Articles!$A:$A,A45,Articles!$D:$D,D45)</f>
        <v>11</v>
      </c>
      <c r="H45" s="0" t="n">
        <f aca="false">ROUND(SUMIFS(Articles!$H:$H,Articles!$A:$A,A45,Articles!$D:$D,D45),2)</f>
        <v>71.05</v>
      </c>
      <c r="I45" s="0" t="n">
        <f aca="false">ROUND(H45-F45,2)</f>
        <v>0</v>
      </c>
    </row>
    <row r="46" customFormat="false" ht="15" hidden="false" customHeight="false" outlineLevel="0" collapsed="false">
      <c r="A46" s="0" t="s">
        <v>148</v>
      </c>
      <c r="B46" s="0" t="s">
        <v>136</v>
      </c>
      <c r="C46" s="0" t="s">
        <v>149</v>
      </c>
      <c r="D46" s="0" t="s">
        <v>502</v>
      </c>
      <c r="E46" s="0" t="s">
        <v>314</v>
      </c>
      <c r="F46" s="0" t="n">
        <v>71.05</v>
      </c>
      <c r="G46" s="0" t="n">
        <f aca="false">COUNTIFS(Articles!$A:$A,A46,Articles!$D:$D,D46)</f>
        <v>11</v>
      </c>
      <c r="H46" s="0" t="n">
        <f aca="false">ROUND(SUMIFS(Articles!$H:$H,Articles!$A:$A,A46,Articles!$D:$D,D46),2)</f>
        <v>71.05</v>
      </c>
      <c r="I46" s="0" t="n">
        <f aca="false">ROUND(H46-F46,2)</f>
        <v>0</v>
      </c>
    </row>
    <row r="47" customFormat="false" ht="15" hidden="false" customHeight="false" outlineLevel="0" collapsed="false">
      <c r="A47" s="0" t="s">
        <v>148</v>
      </c>
      <c r="B47" s="0" t="s">
        <v>136</v>
      </c>
      <c r="C47" s="0" t="s">
        <v>149</v>
      </c>
      <c r="D47" s="0" t="s">
        <v>519</v>
      </c>
      <c r="E47" s="0" t="s">
        <v>520</v>
      </c>
      <c r="F47" s="0" t="n">
        <v>35.35</v>
      </c>
      <c r="G47" s="0" t="n">
        <f aca="false">COUNTIFS(Articles!$A:$A,A47,Articles!$D:$D,D47)</f>
        <v>7</v>
      </c>
      <c r="H47" s="0" t="n">
        <f aca="false">ROUND(SUMIFS(Articles!$H:$H,Articles!$A:$A,A47,Articles!$D:$D,D47),2)</f>
        <v>35.35</v>
      </c>
      <c r="I47" s="0" t="n">
        <f aca="false">ROUND(H47-F47,2)</f>
        <v>0</v>
      </c>
    </row>
    <row r="48" customFormat="false" ht="15" hidden="false" customHeight="false" outlineLevel="0" collapsed="false">
      <c r="A48" s="0" t="s">
        <v>148</v>
      </c>
      <c r="B48" s="0" t="s">
        <v>136</v>
      </c>
      <c r="C48" s="0" t="s">
        <v>149</v>
      </c>
      <c r="D48" s="0" t="s">
        <v>521</v>
      </c>
      <c r="E48" s="0" t="s">
        <v>520</v>
      </c>
      <c r="F48" s="0" t="n">
        <v>35.35</v>
      </c>
      <c r="G48" s="0" t="n">
        <f aca="false">COUNTIFS(Articles!$A:$A,A48,Articles!$D:$D,D48)</f>
        <v>7</v>
      </c>
      <c r="H48" s="0" t="n">
        <f aca="false">ROUND(SUMIFS(Articles!$H:$H,Articles!$A:$A,A48,Articles!$D:$D,D48),2)</f>
        <v>35.35</v>
      </c>
      <c r="I48" s="0" t="n">
        <f aca="false">ROUND(H48-F48,2)</f>
        <v>0</v>
      </c>
    </row>
    <row r="49" customFormat="false" ht="15" hidden="false" customHeight="false" outlineLevel="0" collapsed="false">
      <c r="A49" s="0" t="s">
        <v>151</v>
      </c>
      <c r="B49" s="0" t="s">
        <v>136</v>
      </c>
      <c r="C49" s="0" t="s">
        <v>152</v>
      </c>
      <c r="D49" s="0" t="s">
        <v>506</v>
      </c>
      <c r="E49" s="0" t="s">
        <v>365</v>
      </c>
      <c r="F49" s="0" t="n">
        <v>38.3</v>
      </c>
      <c r="G49" s="0" t="n">
        <f aca="false">COUNTIFS(Articles!$A:$A,A49,Articles!$D:$D,D49)</f>
        <v>8</v>
      </c>
      <c r="H49" s="0" t="n">
        <f aca="false">ROUND(SUMIFS(Articles!$H:$H,Articles!$A:$A,A49,Articles!$D:$D,D49),2)</f>
        <v>38.3</v>
      </c>
      <c r="I49" s="0" t="n">
        <f aca="false">ROUND(H49-F49,2)</f>
        <v>0</v>
      </c>
    </row>
    <row r="50" customFormat="false" ht="15" hidden="false" customHeight="false" outlineLevel="0" collapsed="false">
      <c r="A50" s="0" t="s">
        <v>151</v>
      </c>
      <c r="B50" s="0" t="s">
        <v>136</v>
      </c>
      <c r="C50" s="0" t="s">
        <v>152</v>
      </c>
      <c r="D50" s="0" t="s">
        <v>522</v>
      </c>
      <c r="E50" s="0" t="s">
        <v>370</v>
      </c>
      <c r="F50" s="0" t="n">
        <v>28.2</v>
      </c>
      <c r="G50" s="0" t="n">
        <f aca="false">COUNTIFS(Articles!$A:$A,A50,Articles!$D:$D,D50)</f>
        <v>6</v>
      </c>
      <c r="H50" s="0" t="n">
        <f aca="false">ROUND(SUMIFS(Articles!$H:$H,Articles!$A:$A,A50,Articles!$D:$D,D50),2)</f>
        <v>28.2</v>
      </c>
      <c r="I50" s="0" t="n">
        <f aca="false">ROUND(H50-F50,2)</f>
        <v>0</v>
      </c>
    </row>
    <row r="51" customFormat="false" ht="15" hidden="false" customHeight="false" outlineLevel="0" collapsed="false">
      <c r="A51" s="0" t="s">
        <v>154</v>
      </c>
      <c r="B51" s="0" t="s">
        <v>136</v>
      </c>
      <c r="C51" s="0" t="s">
        <v>155</v>
      </c>
      <c r="D51" s="0" t="s">
        <v>522</v>
      </c>
      <c r="E51" s="0" t="s">
        <v>523</v>
      </c>
      <c r="F51" s="0" t="n">
        <v>133.1</v>
      </c>
      <c r="G51" s="0" t="n">
        <f aca="false">COUNTIFS(Articles!$A:$A,A51,Articles!$D:$D,D51)</f>
        <v>16</v>
      </c>
      <c r="H51" s="0" t="n">
        <f aca="false">ROUND(SUMIFS(Articles!$H:$H,Articles!$A:$A,A51,Articles!$D:$D,D51),2)</f>
        <v>133.1</v>
      </c>
      <c r="I51" s="0" t="n">
        <f aca="false">ROUND(H51-F51,2)</f>
        <v>0</v>
      </c>
    </row>
    <row r="52" customFormat="false" ht="15" hidden="false" customHeight="false" outlineLevel="0" collapsed="false">
      <c r="A52" s="0" t="s">
        <v>154</v>
      </c>
      <c r="B52" s="0" t="s">
        <v>136</v>
      </c>
      <c r="C52" s="0" t="s">
        <v>155</v>
      </c>
      <c r="D52" s="0" t="s">
        <v>512</v>
      </c>
      <c r="E52" s="0" t="s">
        <v>523</v>
      </c>
      <c r="F52" s="0" t="n">
        <v>133.1</v>
      </c>
      <c r="G52" s="0" t="n">
        <f aca="false">COUNTIFS(Articles!$A:$A,A52,Articles!$D:$D,D52)</f>
        <v>16</v>
      </c>
      <c r="H52" s="0" t="n">
        <f aca="false">ROUND(SUMIFS(Articles!$H:$H,Articles!$A:$A,A52,Articles!$D:$D,D52),2)</f>
        <v>133.1</v>
      </c>
      <c r="I52" s="0" t="n">
        <f aca="false">ROUND(H52-F52,2)</f>
        <v>0</v>
      </c>
    </row>
    <row r="53" customFormat="false" ht="15" hidden="false" customHeight="false" outlineLevel="0" collapsed="false">
      <c r="A53" s="0" t="s">
        <v>157</v>
      </c>
      <c r="B53" s="0" t="s">
        <v>136</v>
      </c>
      <c r="C53" s="0" t="s">
        <v>158</v>
      </c>
      <c r="D53" s="0" t="s">
        <v>500</v>
      </c>
      <c r="E53" s="0" t="s">
        <v>524</v>
      </c>
      <c r="F53" s="0" t="n">
        <v>92.6</v>
      </c>
      <c r="G53" s="0" t="n">
        <f aca="false">COUNTIFS(Articles!$A:$A,A53,Articles!$D:$D,D53)</f>
        <v>13</v>
      </c>
      <c r="H53" s="0" t="n">
        <f aca="false">ROUND(SUMIFS(Articles!$H:$H,Articles!$A:$A,A53,Articles!$D:$D,D53),2)</f>
        <v>92.6</v>
      </c>
      <c r="I53" s="0" t="n">
        <f aca="false">ROUND(H53-F53,2)</f>
        <v>0</v>
      </c>
    </row>
    <row r="54" customFormat="false" ht="15" hidden="false" customHeight="false" outlineLevel="0" collapsed="false">
      <c r="A54" s="0" t="s">
        <v>157</v>
      </c>
      <c r="B54" s="0" t="s">
        <v>136</v>
      </c>
      <c r="C54" s="0" t="s">
        <v>158</v>
      </c>
      <c r="D54" s="0" t="s">
        <v>492</v>
      </c>
      <c r="E54" s="0" t="s">
        <v>525</v>
      </c>
      <c r="F54" s="0" t="n">
        <v>92.6</v>
      </c>
      <c r="G54" s="0" t="n">
        <f aca="false">COUNTIFS(Articles!$A:$A,A54,Articles!$D:$D,D54)</f>
        <v>13</v>
      </c>
      <c r="H54" s="0" t="n">
        <f aca="false">ROUND(SUMIFS(Articles!$H:$H,Articles!$A:$A,A54,Articles!$D:$D,D54),2)</f>
        <v>92.6</v>
      </c>
      <c r="I54" s="0" t="n">
        <f aca="false">ROUND(H54-F54,2)</f>
        <v>0</v>
      </c>
    </row>
    <row r="55" customFormat="false" ht="15" hidden="false" customHeight="false" outlineLevel="0" collapsed="false">
      <c r="A55" s="0" t="s">
        <v>157</v>
      </c>
      <c r="B55" s="0" t="s">
        <v>136</v>
      </c>
      <c r="C55" s="0" t="s">
        <v>158</v>
      </c>
      <c r="D55" s="0" t="s">
        <v>514</v>
      </c>
      <c r="E55" s="0" t="s">
        <v>328</v>
      </c>
      <c r="F55" s="0" t="n">
        <v>33.9</v>
      </c>
      <c r="G55" s="0" t="n">
        <f aca="false">COUNTIFS(Articles!$A:$A,A55,Articles!$D:$D,D55)</f>
        <v>7</v>
      </c>
      <c r="H55" s="0" t="n">
        <f aca="false">ROUND(SUMIFS(Articles!$H:$H,Articles!$A:$A,A55,Articles!$D:$D,D55),2)</f>
        <v>33.9</v>
      </c>
      <c r="I55" s="0" t="n">
        <f aca="false">ROUND(H55-F55,2)</f>
        <v>0</v>
      </c>
    </row>
    <row r="56" customFormat="false" ht="15" hidden="false" customHeight="false" outlineLevel="0" collapsed="false">
      <c r="A56" s="0" t="s">
        <v>157</v>
      </c>
      <c r="B56" s="0" t="s">
        <v>136</v>
      </c>
      <c r="C56" s="0" t="s">
        <v>158</v>
      </c>
      <c r="D56" s="0" t="s">
        <v>519</v>
      </c>
      <c r="E56" s="0" t="s">
        <v>328</v>
      </c>
      <c r="F56" s="0" t="n">
        <v>33.9</v>
      </c>
      <c r="G56" s="0" t="n">
        <f aca="false">COUNTIFS(Articles!$A:$A,A56,Articles!$D:$D,D56)</f>
        <v>7</v>
      </c>
      <c r="H56" s="0" t="n">
        <f aca="false">ROUND(SUMIFS(Articles!$H:$H,Articles!$A:$A,A56,Articles!$D:$D,D56),2)</f>
        <v>33.9</v>
      </c>
      <c r="I56" s="0" t="n">
        <f aca="false">ROUND(H56-F56,2)</f>
        <v>0</v>
      </c>
    </row>
    <row r="57" customFormat="false" ht="15" hidden="false" customHeight="false" outlineLevel="0" collapsed="false">
      <c r="A57" s="0" t="s">
        <v>160</v>
      </c>
      <c r="B57" s="0" t="s">
        <v>136</v>
      </c>
      <c r="C57" s="0" t="s">
        <v>161</v>
      </c>
      <c r="D57" s="0" t="s">
        <v>493</v>
      </c>
      <c r="E57" s="0" t="s">
        <v>526</v>
      </c>
      <c r="F57" s="0" t="n">
        <v>33.7</v>
      </c>
      <c r="G57" s="0" t="n">
        <f aca="false">COUNTIFS(Articles!$A:$A,A57,Articles!$D:$D,D57)</f>
        <v>5</v>
      </c>
      <c r="H57" s="0" t="n">
        <f aca="false">ROUND(SUMIFS(Articles!$H:$H,Articles!$A:$A,A57,Articles!$D:$D,D57),2)</f>
        <v>33.7</v>
      </c>
      <c r="I57" s="0" t="n">
        <f aca="false">ROUND(H57-F57,2)</f>
        <v>0</v>
      </c>
    </row>
    <row r="58" customFormat="false" ht="15" hidden="false" customHeight="false" outlineLevel="0" collapsed="false">
      <c r="A58" s="0" t="s">
        <v>160</v>
      </c>
      <c r="B58" s="0" t="s">
        <v>136</v>
      </c>
      <c r="C58" s="0" t="s">
        <v>161</v>
      </c>
      <c r="D58" s="0" t="s">
        <v>503</v>
      </c>
      <c r="E58" s="0" t="s">
        <v>527</v>
      </c>
      <c r="F58" s="0" t="n">
        <v>33.7</v>
      </c>
      <c r="G58" s="0" t="n">
        <f aca="false">COUNTIFS(Articles!$A:$A,A58,Articles!$D:$D,D58)</f>
        <v>5</v>
      </c>
      <c r="H58" s="0" t="n">
        <f aca="false">ROUND(SUMIFS(Articles!$H:$H,Articles!$A:$A,A58,Articles!$D:$D,D58),2)</f>
        <v>33.7</v>
      </c>
      <c r="I58" s="0" t="n">
        <f aca="false">ROUND(H58-F58,2)</f>
        <v>0</v>
      </c>
    </row>
    <row r="59" customFormat="false" ht="15" hidden="false" customHeight="false" outlineLevel="0" collapsed="false">
      <c r="A59" s="0" t="s">
        <v>163</v>
      </c>
      <c r="B59" s="0" t="s">
        <v>136</v>
      </c>
      <c r="C59" s="0" t="s">
        <v>164</v>
      </c>
      <c r="D59" s="0" t="s">
        <v>498</v>
      </c>
      <c r="E59" s="0" t="s">
        <v>528</v>
      </c>
      <c r="F59" s="0" t="n">
        <v>31.25</v>
      </c>
      <c r="G59" s="0" t="n">
        <f aca="false">COUNTIFS(Articles!$A:$A,A59,Articles!$D:$D,D59)</f>
        <v>5</v>
      </c>
      <c r="H59" s="0" t="n">
        <f aca="false">ROUND(SUMIFS(Articles!$H:$H,Articles!$A:$A,A59,Articles!$D:$D,D59),2)</f>
        <v>31.25</v>
      </c>
      <c r="I59" s="0" t="n">
        <f aca="false">ROUND(H59-F59,2)</f>
        <v>0</v>
      </c>
    </row>
    <row r="60" customFormat="false" ht="15" hidden="false" customHeight="false" outlineLevel="0" collapsed="false">
      <c r="A60" s="0" t="s">
        <v>163</v>
      </c>
      <c r="B60" s="0" t="s">
        <v>136</v>
      </c>
      <c r="C60" s="0" t="s">
        <v>164</v>
      </c>
      <c r="D60" s="0" t="s">
        <v>516</v>
      </c>
      <c r="E60" s="0" t="s">
        <v>529</v>
      </c>
      <c r="F60" s="0" t="n">
        <v>31.25</v>
      </c>
      <c r="G60" s="0" t="n">
        <f aca="false">COUNTIFS(Articles!$A:$A,A60,Articles!$D:$D,D60)</f>
        <v>5</v>
      </c>
      <c r="H60" s="0" t="n">
        <f aca="false">ROUND(SUMIFS(Articles!$H:$H,Articles!$A:$A,A60,Articles!$D:$D,D60),2)</f>
        <v>31.25</v>
      </c>
      <c r="I60" s="0" t="n">
        <f aca="false">ROUND(H60-F60,2)</f>
        <v>0</v>
      </c>
    </row>
    <row r="61" customFormat="false" ht="15" hidden="false" customHeight="false" outlineLevel="0" collapsed="false">
      <c r="A61" s="0" t="s">
        <v>163</v>
      </c>
      <c r="B61" s="0" t="s">
        <v>136</v>
      </c>
      <c r="C61" s="0" t="s">
        <v>164</v>
      </c>
      <c r="D61" s="0" t="s">
        <v>489</v>
      </c>
      <c r="E61" s="0" t="s">
        <v>530</v>
      </c>
      <c r="F61" s="0" t="n">
        <v>49.55</v>
      </c>
      <c r="G61" s="0" t="n">
        <f aca="false">COUNTIFS(Articles!$A:$A,A61,Articles!$D:$D,D61)</f>
        <v>5</v>
      </c>
      <c r="H61" s="0" t="n">
        <f aca="false">ROUND(SUMIFS(Articles!$H:$H,Articles!$A:$A,A61,Articles!$D:$D,D61),2)</f>
        <v>49.55</v>
      </c>
      <c r="I61" s="0" t="n">
        <f aca="false">ROUND(H61-F61,2)</f>
        <v>0</v>
      </c>
    </row>
    <row r="62" customFormat="false" ht="15" hidden="false" customHeight="false" outlineLevel="0" collapsed="false">
      <c r="A62" s="0" t="s">
        <v>163</v>
      </c>
      <c r="B62" s="0" t="s">
        <v>136</v>
      </c>
      <c r="C62" s="0" t="s">
        <v>164</v>
      </c>
      <c r="D62" s="0" t="s">
        <v>496</v>
      </c>
      <c r="E62" s="0" t="s">
        <v>530</v>
      </c>
      <c r="F62" s="0" t="n">
        <v>49.55</v>
      </c>
      <c r="G62" s="0" t="n">
        <f aca="false">COUNTIFS(Articles!$A:$A,A62,Articles!$D:$D,D62)</f>
        <v>5</v>
      </c>
      <c r="H62" s="0" t="n">
        <f aca="false">ROUND(SUMIFS(Articles!$H:$H,Articles!$A:$A,A62,Articles!$D:$D,D62),2)</f>
        <v>49.55</v>
      </c>
      <c r="I62" s="0" t="n">
        <f aca="false">ROUND(H62-F62,2)</f>
        <v>0</v>
      </c>
    </row>
    <row r="63" customFormat="false" ht="15" hidden="false" customHeight="false" outlineLevel="0" collapsed="false">
      <c r="A63" s="0" t="s">
        <v>166</v>
      </c>
      <c r="B63" s="0" t="s">
        <v>136</v>
      </c>
      <c r="C63" s="0" t="s">
        <v>167</v>
      </c>
      <c r="D63" s="0" t="s">
        <v>495</v>
      </c>
      <c r="E63" s="0" t="s">
        <v>531</v>
      </c>
      <c r="F63" s="0" t="n">
        <v>78.25</v>
      </c>
      <c r="G63" s="0" t="n">
        <f aca="false">COUNTIFS(Articles!$A:$A,A63,Articles!$D:$D,D63)</f>
        <v>14</v>
      </c>
      <c r="H63" s="0" t="n">
        <f aca="false">ROUND(SUMIFS(Articles!$H:$H,Articles!$A:$A,A63,Articles!$D:$D,D63),2)</f>
        <v>78.25</v>
      </c>
      <c r="I63" s="0" t="n">
        <f aca="false">ROUND(H63-F63,2)</f>
        <v>0</v>
      </c>
    </row>
    <row r="64" customFormat="false" ht="15" hidden="false" customHeight="false" outlineLevel="0" collapsed="false">
      <c r="A64" s="0" t="s">
        <v>166</v>
      </c>
      <c r="B64" s="0" t="s">
        <v>136</v>
      </c>
      <c r="C64" s="0" t="s">
        <v>167</v>
      </c>
      <c r="D64" s="0" t="s">
        <v>493</v>
      </c>
      <c r="E64" s="0" t="s">
        <v>320</v>
      </c>
      <c r="F64" s="0" t="n">
        <v>78.25</v>
      </c>
      <c r="G64" s="0" t="n">
        <f aca="false">COUNTIFS(Articles!$A:$A,A64,Articles!$D:$D,D64)</f>
        <v>14</v>
      </c>
      <c r="H64" s="0" t="n">
        <f aca="false">ROUND(SUMIFS(Articles!$H:$H,Articles!$A:$A,A64,Articles!$D:$D,D64),2)</f>
        <v>78.25</v>
      </c>
      <c r="I64" s="0" t="n">
        <f aca="false">ROUND(H64-F64,2)</f>
        <v>0</v>
      </c>
    </row>
    <row r="65" customFormat="false" ht="15" hidden="false" customHeight="false" outlineLevel="0" collapsed="false">
      <c r="A65" s="0" t="s">
        <v>169</v>
      </c>
      <c r="B65" s="0" t="s">
        <v>136</v>
      </c>
      <c r="C65" s="0" t="s">
        <v>170</v>
      </c>
      <c r="D65" s="0" t="s">
        <v>532</v>
      </c>
      <c r="E65" s="0" t="s">
        <v>533</v>
      </c>
      <c r="F65" s="0" t="n">
        <v>89.1</v>
      </c>
      <c r="G65" s="0" t="n">
        <f aca="false">COUNTIFS(Articles!$A:$A,A65,Articles!$D:$D,D65)</f>
        <v>12</v>
      </c>
      <c r="H65" s="0" t="n">
        <f aca="false">ROUND(SUMIFS(Articles!$H:$H,Articles!$A:$A,A65,Articles!$D:$D,D65),2)</f>
        <v>89.1</v>
      </c>
      <c r="I65" s="0" t="n">
        <f aca="false">ROUND(H65-F65,2)</f>
        <v>0</v>
      </c>
    </row>
    <row r="66" customFormat="false" ht="15" hidden="false" customHeight="false" outlineLevel="0" collapsed="false">
      <c r="A66" s="0" t="s">
        <v>169</v>
      </c>
      <c r="B66" s="0" t="s">
        <v>136</v>
      </c>
      <c r="C66" s="0" t="s">
        <v>170</v>
      </c>
      <c r="D66" s="0" t="s">
        <v>493</v>
      </c>
      <c r="E66" s="0" t="s">
        <v>533</v>
      </c>
      <c r="F66" s="0" t="n">
        <v>89.1</v>
      </c>
      <c r="G66" s="0" t="n">
        <f aca="false">COUNTIFS(Articles!$A:$A,A66,Articles!$D:$D,D66)</f>
        <v>12</v>
      </c>
      <c r="H66" s="0" t="n">
        <f aca="false">ROUND(SUMIFS(Articles!$H:$H,Articles!$A:$A,A66,Articles!$D:$D,D66),2)</f>
        <v>89.1</v>
      </c>
      <c r="I66" s="0" t="n">
        <f aca="false">ROUND(H66-F66,2)</f>
        <v>0</v>
      </c>
    </row>
    <row r="67" customFormat="false" ht="15" hidden="false" customHeight="false" outlineLevel="0" collapsed="false">
      <c r="A67" s="0" t="s">
        <v>172</v>
      </c>
      <c r="B67" s="0" t="s">
        <v>136</v>
      </c>
      <c r="C67" s="0" t="s">
        <v>173</v>
      </c>
      <c r="D67" s="0" t="s">
        <v>487</v>
      </c>
      <c r="E67" s="0" t="s">
        <v>534</v>
      </c>
      <c r="F67" s="0" t="n">
        <v>116.6</v>
      </c>
      <c r="G67" s="0" t="n">
        <f aca="false">COUNTIFS(Articles!$A:$A,A67,Articles!$D:$D,D67)</f>
        <v>16</v>
      </c>
      <c r="H67" s="0" t="n">
        <f aca="false">ROUND(SUMIFS(Articles!$H:$H,Articles!$A:$A,A67,Articles!$D:$D,D67),2)</f>
        <v>116.6</v>
      </c>
      <c r="I67" s="0" t="n">
        <f aca="false">ROUND(H67-F67,2)</f>
        <v>0</v>
      </c>
    </row>
    <row r="68" customFormat="false" ht="15" hidden="false" customHeight="false" outlineLevel="0" collapsed="false">
      <c r="A68" s="0" t="s">
        <v>172</v>
      </c>
      <c r="B68" s="0" t="s">
        <v>136</v>
      </c>
      <c r="C68" s="0" t="s">
        <v>173</v>
      </c>
      <c r="D68" s="0" t="s">
        <v>508</v>
      </c>
      <c r="E68" s="0" t="s">
        <v>535</v>
      </c>
      <c r="F68" s="0" t="n">
        <v>116.6</v>
      </c>
      <c r="G68" s="0" t="n">
        <f aca="false">COUNTIFS(Articles!$A:$A,A68,Articles!$D:$D,D68)</f>
        <v>16</v>
      </c>
      <c r="H68" s="0" t="n">
        <f aca="false">ROUND(SUMIFS(Articles!$H:$H,Articles!$A:$A,A68,Articles!$D:$D,D68),2)</f>
        <v>116.6</v>
      </c>
      <c r="I68" s="0" t="n">
        <f aca="false">ROUND(H68-F68,2)</f>
        <v>0</v>
      </c>
    </row>
    <row r="69" customFormat="false" ht="15" hidden="false" customHeight="false" outlineLevel="0" collapsed="false">
      <c r="A69" s="0" t="s">
        <v>175</v>
      </c>
      <c r="B69" s="0" t="s">
        <v>136</v>
      </c>
      <c r="C69" s="0" t="s">
        <v>176</v>
      </c>
      <c r="D69" s="0" t="s">
        <v>495</v>
      </c>
      <c r="E69" s="0" t="s">
        <v>536</v>
      </c>
      <c r="F69" s="0" t="n">
        <v>49.4</v>
      </c>
      <c r="G69" s="0" t="n">
        <f aca="false">COUNTIFS(Articles!$A:$A,A69,Articles!$D:$D,D69)</f>
        <v>12</v>
      </c>
      <c r="H69" s="0" t="n">
        <f aca="false">ROUND(SUMIFS(Articles!$H:$H,Articles!$A:$A,A69,Articles!$D:$D,D69),2)</f>
        <v>49.4</v>
      </c>
      <c r="I69" s="0" t="n">
        <f aca="false">ROUND(H69-F69,2)</f>
        <v>0</v>
      </c>
    </row>
    <row r="70" customFormat="false" ht="15" hidden="false" customHeight="false" outlineLevel="0" collapsed="false">
      <c r="A70" s="0" t="s">
        <v>175</v>
      </c>
      <c r="B70" s="0" t="s">
        <v>136</v>
      </c>
      <c r="C70" s="0" t="s">
        <v>176</v>
      </c>
      <c r="D70" s="0" t="s">
        <v>532</v>
      </c>
      <c r="E70" s="0" t="s">
        <v>537</v>
      </c>
      <c r="F70" s="0" t="n">
        <v>49.4</v>
      </c>
      <c r="G70" s="0" t="n">
        <f aca="false">COUNTIFS(Articles!$A:$A,A70,Articles!$D:$D,D70)</f>
        <v>12</v>
      </c>
      <c r="H70" s="0" t="n">
        <f aca="false">ROUND(SUMIFS(Articles!$H:$H,Articles!$A:$A,A70,Articles!$D:$D,D70),2)</f>
        <v>49.4</v>
      </c>
      <c r="I70" s="0" t="n">
        <f aca="false">ROUND(H70-F70,2)</f>
        <v>0</v>
      </c>
    </row>
    <row r="71" customFormat="false" ht="15" hidden="false" customHeight="false" outlineLevel="0" collapsed="false">
      <c r="A71" s="0" t="s">
        <v>178</v>
      </c>
      <c r="B71" s="0" t="s">
        <v>136</v>
      </c>
      <c r="C71" s="0" t="s">
        <v>179</v>
      </c>
      <c r="D71" s="0" t="s">
        <v>485</v>
      </c>
      <c r="E71" s="0" t="s">
        <v>538</v>
      </c>
      <c r="F71" s="0" t="n">
        <v>46.25</v>
      </c>
      <c r="G71" s="0" t="n">
        <f aca="false">COUNTIFS(Articles!$A:$A,A71,Articles!$D:$D,D71)</f>
        <v>5</v>
      </c>
      <c r="H71" s="0" t="n">
        <f aca="false">ROUND(SUMIFS(Articles!$H:$H,Articles!$A:$A,A71,Articles!$D:$D,D71),2)</f>
        <v>46.25</v>
      </c>
      <c r="I71" s="0" t="n">
        <f aca="false">ROUND(H71-F71,2)</f>
        <v>0</v>
      </c>
    </row>
    <row r="72" customFormat="false" ht="15" hidden="false" customHeight="false" outlineLevel="0" collapsed="false">
      <c r="A72" s="0" t="s">
        <v>178</v>
      </c>
      <c r="B72" s="0" t="s">
        <v>136</v>
      </c>
      <c r="C72" s="0" t="s">
        <v>179</v>
      </c>
      <c r="D72" s="0" t="s">
        <v>509</v>
      </c>
      <c r="E72" s="0" t="s">
        <v>539</v>
      </c>
      <c r="F72" s="0" t="n">
        <v>46.25</v>
      </c>
      <c r="G72" s="0" t="n">
        <f aca="false">COUNTIFS(Articles!$A:$A,A72,Articles!$D:$D,D72)</f>
        <v>5</v>
      </c>
      <c r="H72" s="0" t="n">
        <f aca="false">ROUND(SUMIFS(Articles!$H:$H,Articles!$A:$A,A72,Articles!$D:$D,D72),2)</f>
        <v>46.25</v>
      </c>
      <c r="I72" s="0" t="n">
        <f aca="false">ROUND(H72-F72,2)</f>
        <v>0</v>
      </c>
    </row>
    <row r="73" customFormat="false" ht="15" hidden="false" customHeight="false" outlineLevel="0" collapsed="false">
      <c r="A73" s="0" t="s">
        <v>181</v>
      </c>
      <c r="B73" s="0" t="s">
        <v>136</v>
      </c>
      <c r="C73" s="0" t="s">
        <v>182</v>
      </c>
      <c r="D73" s="0" t="s">
        <v>493</v>
      </c>
      <c r="E73" s="0" t="s">
        <v>386</v>
      </c>
      <c r="F73" s="0" t="n">
        <v>77.85</v>
      </c>
      <c r="G73" s="0" t="n">
        <f aca="false">COUNTIFS(Articles!$A:$A,A73,Articles!$D:$D,D73)</f>
        <v>11</v>
      </c>
      <c r="H73" s="0" t="n">
        <f aca="false">ROUND(SUMIFS(Articles!$H:$H,Articles!$A:$A,A73,Articles!$D:$D,D73),2)</f>
        <v>77.85</v>
      </c>
      <c r="I73" s="0" t="n">
        <f aca="false">ROUND(H73-F73,2)</f>
        <v>0</v>
      </c>
    </row>
    <row r="74" customFormat="false" ht="15" hidden="false" customHeight="false" outlineLevel="0" collapsed="false">
      <c r="A74" s="0" t="s">
        <v>181</v>
      </c>
      <c r="B74" s="0" t="s">
        <v>136</v>
      </c>
      <c r="C74" s="0" t="s">
        <v>182</v>
      </c>
      <c r="D74" s="0" t="s">
        <v>503</v>
      </c>
      <c r="E74" s="0" t="s">
        <v>316</v>
      </c>
      <c r="F74" s="0" t="n">
        <v>77.85</v>
      </c>
      <c r="G74" s="0" t="n">
        <f aca="false">COUNTIFS(Articles!$A:$A,A74,Articles!$D:$D,D74)</f>
        <v>11</v>
      </c>
      <c r="H74" s="0" t="n">
        <f aca="false">ROUND(SUMIFS(Articles!$H:$H,Articles!$A:$A,A74,Articles!$D:$D,D74),2)</f>
        <v>77.85</v>
      </c>
      <c r="I74" s="0" t="n">
        <f aca="false">ROUND(H74-F74,2)</f>
        <v>0</v>
      </c>
    </row>
    <row r="75" customFormat="false" ht="15" hidden="false" customHeight="false" outlineLevel="0" collapsed="false">
      <c r="A75" s="0" t="s">
        <v>184</v>
      </c>
      <c r="B75" s="0" t="s">
        <v>136</v>
      </c>
      <c r="C75" s="0" t="s">
        <v>185</v>
      </c>
      <c r="D75" s="0" t="s">
        <v>496</v>
      </c>
      <c r="E75" s="0" t="s">
        <v>329</v>
      </c>
      <c r="F75" s="0" t="n">
        <v>26.6</v>
      </c>
      <c r="G75" s="0" t="n">
        <f aca="false">COUNTIFS(Articles!$A:$A,A75,Articles!$D:$D,D75)</f>
        <v>3</v>
      </c>
      <c r="H75" s="0" t="n">
        <f aca="false">ROUND(SUMIFS(Articles!$H:$H,Articles!$A:$A,A75,Articles!$D:$D,D75),2)</f>
        <v>26.6</v>
      </c>
      <c r="I75" s="0" t="n">
        <f aca="false">ROUND(H75-F75,2)</f>
        <v>0</v>
      </c>
    </row>
    <row r="76" customFormat="false" ht="15" hidden="false" customHeight="false" outlineLevel="0" collapsed="false">
      <c r="A76" s="0" t="s">
        <v>184</v>
      </c>
      <c r="B76" s="0" t="s">
        <v>136</v>
      </c>
      <c r="C76" s="0" t="s">
        <v>185</v>
      </c>
      <c r="D76" s="0" t="s">
        <v>487</v>
      </c>
      <c r="E76" s="0" t="s">
        <v>540</v>
      </c>
      <c r="F76" s="0" t="n">
        <v>26.6</v>
      </c>
      <c r="G76" s="0" t="n">
        <f aca="false">COUNTIFS(Articles!$A:$A,A76,Articles!$D:$D,D76)</f>
        <v>3</v>
      </c>
      <c r="H76" s="0" t="n">
        <f aca="false">ROUND(SUMIFS(Articles!$H:$H,Articles!$A:$A,A76,Articles!$D:$D,D76),2)</f>
        <v>26.6</v>
      </c>
      <c r="I76" s="0" t="n">
        <f aca="false">ROUND(H76-F76,2)</f>
        <v>0</v>
      </c>
    </row>
    <row r="77" customFormat="false" ht="15" hidden="false" customHeight="false" outlineLevel="0" collapsed="false">
      <c r="A77" s="0" t="s">
        <v>184</v>
      </c>
      <c r="B77" s="0" t="s">
        <v>136</v>
      </c>
      <c r="C77" s="0" t="s">
        <v>185</v>
      </c>
      <c r="D77" s="0" t="s">
        <v>508</v>
      </c>
      <c r="E77" s="0" t="s">
        <v>526</v>
      </c>
      <c r="F77" s="0" t="n">
        <v>71.6</v>
      </c>
      <c r="G77" s="0" t="n">
        <f aca="false">COUNTIFS(Articles!$A:$A,A77,Articles!$D:$D,D77)</f>
        <v>10</v>
      </c>
      <c r="H77" s="0" t="n">
        <f aca="false">ROUND(SUMIFS(Articles!$H:$H,Articles!$A:$A,A77,Articles!$D:$D,D77),2)</f>
        <v>71.6</v>
      </c>
      <c r="I77" s="0" t="n">
        <f aca="false">ROUND(H77-F77,2)</f>
        <v>0</v>
      </c>
    </row>
    <row r="78" customFormat="false" ht="15" hidden="false" customHeight="false" outlineLevel="0" collapsed="false">
      <c r="A78" s="0" t="s">
        <v>184</v>
      </c>
      <c r="B78" s="0" t="s">
        <v>136</v>
      </c>
      <c r="C78" s="0" t="s">
        <v>185</v>
      </c>
      <c r="D78" s="0" t="s">
        <v>499</v>
      </c>
      <c r="E78" s="0" t="s">
        <v>526</v>
      </c>
      <c r="F78" s="0" t="n">
        <v>71.6</v>
      </c>
      <c r="G78" s="0" t="n">
        <f aca="false">COUNTIFS(Articles!$A:$A,A78,Articles!$D:$D,D78)</f>
        <v>10</v>
      </c>
      <c r="H78" s="0" t="n">
        <f aca="false">ROUND(SUMIFS(Articles!$H:$H,Articles!$A:$A,A78,Articles!$D:$D,D78),2)</f>
        <v>71.6</v>
      </c>
      <c r="I78" s="0" t="n">
        <f aca="false">ROUND(H78-F78,2)</f>
        <v>0</v>
      </c>
    </row>
    <row r="79" customFormat="false" ht="15" hidden="false" customHeight="false" outlineLevel="0" collapsed="false">
      <c r="A79" s="0" t="s">
        <v>187</v>
      </c>
      <c r="B79" s="0" t="s">
        <v>136</v>
      </c>
      <c r="C79" s="0" t="s">
        <v>188</v>
      </c>
      <c r="D79" s="0" t="s">
        <v>541</v>
      </c>
      <c r="E79" s="0" t="s">
        <v>475</v>
      </c>
      <c r="F79" s="0" t="n">
        <v>53.2</v>
      </c>
      <c r="G79" s="0" t="n">
        <f aca="false">COUNTIFS(Articles!$A:$A,A79,Articles!$D:$D,D79)</f>
        <v>15</v>
      </c>
      <c r="H79" s="0" t="n">
        <f aca="false">ROUND(SUMIFS(Articles!$H:$H,Articles!$A:$A,A79,Articles!$D:$D,D79),2)</f>
        <v>53.2</v>
      </c>
      <c r="I79" s="0" t="n">
        <f aca="false">ROUND(H79-F79,2)</f>
        <v>0</v>
      </c>
    </row>
    <row r="80" customFormat="false" ht="15" hidden="false" customHeight="false" outlineLevel="0" collapsed="false">
      <c r="A80" s="0" t="s">
        <v>187</v>
      </c>
      <c r="B80" s="0" t="s">
        <v>136</v>
      </c>
      <c r="C80" s="0" t="s">
        <v>188</v>
      </c>
      <c r="D80" s="0" t="s">
        <v>542</v>
      </c>
      <c r="E80" s="0" t="s">
        <v>543</v>
      </c>
      <c r="F80" s="0" t="n">
        <v>26.64</v>
      </c>
      <c r="G80" s="0" t="n">
        <f aca="false">COUNTIFS(Articles!$A:$A,A80,Articles!$D:$D,D80)</f>
        <v>15</v>
      </c>
      <c r="H80" s="0" t="n">
        <f aca="false">ROUND(SUMIFS(Articles!$H:$H,Articles!$A:$A,A80,Articles!$D:$D,D80),2)</f>
        <v>26.61</v>
      </c>
      <c r="I80" s="0" t="n">
        <f aca="false">ROUND(H80-F80,2)</f>
        <v>-0.03</v>
      </c>
    </row>
    <row r="81" customFormat="false" ht="15" hidden="false" customHeight="false" outlineLevel="0" collapsed="false">
      <c r="A81" s="0" t="s">
        <v>187</v>
      </c>
      <c r="B81" s="0" t="s">
        <v>136</v>
      </c>
      <c r="C81" s="0" t="s">
        <v>188</v>
      </c>
      <c r="D81" s="0" t="s">
        <v>544</v>
      </c>
      <c r="E81" s="0" t="s">
        <v>543</v>
      </c>
      <c r="F81" s="0" t="n">
        <v>26.56</v>
      </c>
      <c r="G81" s="0" t="n">
        <f aca="false">COUNTIFS(Articles!$A:$A,A81,Articles!$D:$D,D81)</f>
        <v>15</v>
      </c>
      <c r="H81" s="0" t="n">
        <f aca="false">ROUND(SUMIFS(Articles!$H:$H,Articles!$A:$A,A81,Articles!$D:$D,D81),2)</f>
        <v>26.61</v>
      </c>
      <c r="I81" s="0" t="n">
        <f aca="false">ROUND(H81-F81,2)</f>
        <v>0.05</v>
      </c>
    </row>
    <row r="82" customFormat="false" ht="15" hidden="false" customHeight="false" outlineLevel="0" collapsed="false">
      <c r="A82" s="0" t="s">
        <v>190</v>
      </c>
      <c r="B82" s="0" t="s">
        <v>136</v>
      </c>
      <c r="C82" s="0" t="s">
        <v>191</v>
      </c>
      <c r="D82" s="0" t="s">
        <v>545</v>
      </c>
      <c r="E82" s="0" t="s">
        <v>523</v>
      </c>
      <c r="F82" s="0" t="n">
        <v>69.7</v>
      </c>
      <c r="G82" s="0" t="n">
        <f aca="false">COUNTIFS(Articles!$A:$A,A82,Articles!$D:$D,D82)</f>
        <v>16</v>
      </c>
      <c r="H82" s="0" t="n">
        <f aca="false">ROUND(SUMIFS(Articles!$H:$H,Articles!$A:$A,A82,Articles!$D:$D,D82),2)</f>
        <v>69.7</v>
      </c>
      <c r="I82" s="0" t="n">
        <f aca="false">ROUND(H82-F82,2)</f>
        <v>0</v>
      </c>
    </row>
    <row r="83" customFormat="false" ht="15" hidden="false" customHeight="false" outlineLevel="0" collapsed="false">
      <c r="A83" s="0" t="s">
        <v>190</v>
      </c>
      <c r="B83" s="0" t="s">
        <v>136</v>
      </c>
      <c r="C83" s="0" t="s">
        <v>191</v>
      </c>
      <c r="D83" s="0" t="s">
        <v>546</v>
      </c>
      <c r="E83" s="0" t="s">
        <v>547</v>
      </c>
      <c r="F83" s="0" t="n">
        <v>69.7</v>
      </c>
      <c r="G83" s="0" t="n">
        <f aca="false">COUNTIFS(Articles!$A:$A,A83,Articles!$D:$D,D83)</f>
        <v>16</v>
      </c>
      <c r="H83" s="0" t="n">
        <f aca="false">ROUND(SUMIFS(Articles!$H:$H,Articles!$A:$A,A83,Articles!$D:$D,D83),2)</f>
        <v>69.7</v>
      </c>
      <c r="I83" s="0" t="n">
        <f aca="false">ROUND(H83-F83,2)</f>
        <v>0</v>
      </c>
    </row>
    <row r="84" customFormat="false" ht="15" hidden="false" customHeight="false" outlineLevel="0" collapsed="false">
      <c r="A84" s="0" t="s">
        <v>193</v>
      </c>
      <c r="B84" s="0" t="s">
        <v>136</v>
      </c>
      <c r="C84" s="0" t="s">
        <v>93</v>
      </c>
      <c r="D84" s="0" t="s">
        <v>521</v>
      </c>
      <c r="E84" s="0" t="s">
        <v>548</v>
      </c>
      <c r="F84" s="0" t="n">
        <v>115.75</v>
      </c>
      <c r="G84" s="0" t="n">
        <f aca="false">COUNTIFS(Articles!$A:$A,A84,Articles!$D:$D,D84)</f>
        <v>16</v>
      </c>
      <c r="H84" s="0" t="n">
        <f aca="false">ROUND(SUMIFS(Articles!$H:$H,Articles!$A:$A,A84,Articles!$D:$D,D84),2)</f>
        <v>115.75</v>
      </c>
      <c r="I84" s="0" t="n">
        <f aca="false">ROUND(H84-F84,2)</f>
        <v>0</v>
      </c>
    </row>
    <row r="85" customFormat="false" ht="15" hidden="false" customHeight="false" outlineLevel="0" collapsed="false">
      <c r="A85" s="0" t="s">
        <v>193</v>
      </c>
      <c r="B85" s="0" t="s">
        <v>136</v>
      </c>
      <c r="C85" s="0" t="s">
        <v>93</v>
      </c>
      <c r="D85" s="0" t="s">
        <v>541</v>
      </c>
      <c r="E85" s="0" t="s">
        <v>549</v>
      </c>
      <c r="F85" s="0" t="n">
        <v>115.75</v>
      </c>
      <c r="G85" s="0" t="n">
        <f aca="false">COUNTIFS(Articles!$A:$A,A85,Articles!$D:$D,D85)</f>
        <v>16</v>
      </c>
      <c r="H85" s="0" t="n">
        <f aca="false">ROUND(SUMIFS(Articles!$H:$H,Articles!$A:$A,A85,Articles!$D:$D,D85),2)</f>
        <v>115.75</v>
      </c>
      <c r="I85" s="0" t="n">
        <f aca="false">ROUND(H85-F85,2)</f>
        <v>0</v>
      </c>
    </row>
    <row r="86" customFormat="false" ht="15" hidden="false" customHeight="false" outlineLevel="0" collapsed="false">
      <c r="A86" s="0" t="s">
        <v>195</v>
      </c>
      <c r="B86" s="0" t="s">
        <v>136</v>
      </c>
      <c r="C86" s="0" t="s">
        <v>196</v>
      </c>
      <c r="D86" s="0" t="s">
        <v>508</v>
      </c>
      <c r="E86" s="0" t="s">
        <v>543</v>
      </c>
      <c r="F86" s="0" t="n">
        <v>28.75</v>
      </c>
      <c r="G86" s="0" t="n">
        <f aca="false">COUNTIFS(Articles!$A:$A,A86,Articles!$D:$D,D86)</f>
        <v>9</v>
      </c>
      <c r="H86" s="0" t="n">
        <f aca="false">ROUND(SUMIFS(Articles!$H:$H,Articles!$A:$A,A86,Articles!$D:$D,D86),2)</f>
        <v>28.75</v>
      </c>
      <c r="I86" s="0" t="n">
        <f aca="false">ROUND(H86-F86,2)</f>
        <v>0</v>
      </c>
    </row>
    <row r="87" customFormat="false" ht="15" hidden="false" customHeight="false" outlineLevel="0" collapsed="false">
      <c r="A87" s="0" t="s">
        <v>195</v>
      </c>
      <c r="B87" s="0" t="s">
        <v>136</v>
      </c>
      <c r="C87" s="0" t="s">
        <v>196</v>
      </c>
      <c r="D87" s="0" t="s">
        <v>499</v>
      </c>
      <c r="E87" s="0" t="s">
        <v>543</v>
      </c>
      <c r="F87" s="0" t="n">
        <v>28.75</v>
      </c>
      <c r="G87" s="0" t="n">
        <f aca="false">COUNTIFS(Articles!$A:$A,A87,Articles!$D:$D,D87)</f>
        <v>9</v>
      </c>
      <c r="H87" s="0" t="n">
        <f aca="false">ROUND(SUMIFS(Articles!$H:$H,Articles!$A:$A,A87,Articles!$D:$D,D87),2)</f>
        <v>28.75</v>
      </c>
      <c r="I87" s="0" t="n">
        <f aca="false">ROUND(H87-F87,2)</f>
        <v>0</v>
      </c>
    </row>
    <row r="88" customFormat="false" ht="15" hidden="false" customHeight="false" outlineLevel="0" collapsed="false">
      <c r="A88" s="0" t="s">
        <v>198</v>
      </c>
      <c r="B88" s="0" t="s">
        <v>136</v>
      </c>
      <c r="C88" s="0" t="s">
        <v>199</v>
      </c>
      <c r="D88" s="0" t="s">
        <v>503</v>
      </c>
      <c r="E88" s="0" t="s">
        <v>327</v>
      </c>
      <c r="F88" s="0" t="n">
        <v>60.9</v>
      </c>
      <c r="G88" s="0" t="n">
        <f aca="false">COUNTIFS(Articles!$A:$A,A88,Articles!$D:$D,D88)</f>
        <v>10</v>
      </c>
      <c r="H88" s="0" t="n">
        <f aca="false">ROUND(SUMIFS(Articles!$H:$H,Articles!$A:$A,A88,Articles!$D:$D,D88),2)</f>
        <v>60.9</v>
      </c>
      <c r="I88" s="0" t="n">
        <f aca="false">ROUND(H88-F88,2)</f>
        <v>0</v>
      </c>
    </row>
    <row r="89" customFormat="false" ht="15" hidden="false" customHeight="false" outlineLevel="0" collapsed="false">
      <c r="A89" s="0" t="s">
        <v>198</v>
      </c>
      <c r="B89" s="0" t="s">
        <v>136</v>
      </c>
      <c r="C89" s="0" t="s">
        <v>199</v>
      </c>
      <c r="D89" s="0" t="s">
        <v>498</v>
      </c>
      <c r="E89" s="0" t="s">
        <v>501</v>
      </c>
      <c r="F89" s="0" t="n">
        <v>60.9</v>
      </c>
      <c r="G89" s="0" t="n">
        <f aca="false">COUNTIFS(Articles!$A:$A,A89,Articles!$D:$D,D89)</f>
        <v>10</v>
      </c>
      <c r="H89" s="0" t="n">
        <f aca="false">ROUND(SUMIFS(Articles!$H:$H,Articles!$A:$A,A89,Articles!$D:$D,D89),2)</f>
        <v>60.9</v>
      </c>
      <c r="I89" s="0" t="n">
        <f aca="false">ROUND(H89-F89,2)</f>
        <v>0</v>
      </c>
    </row>
    <row r="90" customFormat="false" ht="15" hidden="false" customHeight="false" outlineLevel="0" collapsed="false">
      <c r="A90" s="0" t="s">
        <v>201</v>
      </c>
      <c r="B90" s="0" t="s">
        <v>136</v>
      </c>
      <c r="C90" s="0" t="s">
        <v>202</v>
      </c>
      <c r="D90" s="0" t="s">
        <v>487</v>
      </c>
      <c r="E90" s="0" t="s">
        <v>550</v>
      </c>
      <c r="F90" s="0" t="n">
        <v>35.11</v>
      </c>
      <c r="G90" s="0" t="n">
        <f aca="false">COUNTIFS(Articles!$A:$A,A90,Articles!$D:$D,D90)</f>
        <v>12</v>
      </c>
      <c r="H90" s="0" t="n">
        <f aca="false">ROUND(SUMIFS(Articles!$H:$H,Articles!$A:$A,A90,Articles!$D:$D,D90),2)</f>
        <v>35.08</v>
      </c>
      <c r="I90" s="0" t="n">
        <f aca="false">ROUND(H90-F90,2)</f>
        <v>-0.03</v>
      </c>
    </row>
    <row r="91" customFormat="false" ht="15" hidden="false" customHeight="false" outlineLevel="0" collapsed="false">
      <c r="A91" s="0" t="s">
        <v>201</v>
      </c>
      <c r="B91" s="0" t="s">
        <v>136</v>
      </c>
      <c r="C91" s="0" t="s">
        <v>202</v>
      </c>
      <c r="D91" s="0" t="s">
        <v>508</v>
      </c>
      <c r="E91" s="0" t="s">
        <v>479</v>
      </c>
      <c r="F91" s="0" t="n">
        <v>88.59</v>
      </c>
      <c r="G91" s="0" t="n">
        <f aca="false">COUNTIFS(Articles!$A:$A,A91,Articles!$D:$D,D91)</f>
        <v>12</v>
      </c>
      <c r="H91" s="0" t="n">
        <f aca="false">ROUND(SUMIFS(Articles!$H:$H,Articles!$A:$A,A91,Articles!$D:$D,D91),2)</f>
        <v>88.61</v>
      </c>
      <c r="I91" s="0" t="n">
        <f aca="false">ROUND(H91-F91,2)</f>
        <v>0.02</v>
      </c>
    </row>
    <row r="92" customFormat="false" ht="15" hidden="false" customHeight="false" outlineLevel="0" collapsed="false">
      <c r="A92" s="0" t="s">
        <v>204</v>
      </c>
      <c r="B92" s="0" t="s">
        <v>136</v>
      </c>
      <c r="C92" s="0" t="s">
        <v>205</v>
      </c>
      <c r="D92" s="0" t="s">
        <v>519</v>
      </c>
      <c r="E92" s="0" t="s">
        <v>534</v>
      </c>
      <c r="F92" s="0" t="n">
        <v>141.95</v>
      </c>
      <c r="G92" s="0" t="n">
        <f aca="false">COUNTIFS(Articles!$A:$A,A92,Articles!$D:$D,D92)</f>
        <v>13</v>
      </c>
      <c r="H92" s="0" t="n">
        <f aca="false">ROUND(SUMIFS(Articles!$H:$H,Articles!$A:$A,A92,Articles!$D:$D,D92),2)</f>
        <v>141.95</v>
      </c>
      <c r="I92" s="0" t="n">
        <f aca="false">ROUND(H92-F92,2)</f>
        <v>0</v>
      </c>
    </row>
    <row r="93" customFormat="false" ht="15" hidden="false" customHeight="false" outlineLevel="0" collapsed="false">
      <c r="A93" s="0" t="s">
        <v>204</v>
      </c>
      <c r="B93" s="0" t="s">
        <v>136</v>
      </c>
      <c r="C93" s="0" t="s">
        <v>205</v>
      </c>
      <c r="D93" s="0" t="s">
        <v>521</v>
      </c>
      <c r="E93" s="0" t="s">
        <v>535</v>
      </c>
      <c r="F93" s="0" t="n">
        <v>141.95</v>
      </c>
      <c r="G93" s="0" t="n">
        <f aca="false">COUNTIFS(Articles!$A:$A,A93,Articles!$D:$D,D93)</f>
        <v>13</v>
      </c>
      <c r="H93" s="0" t="n">
        <f aca="false">ROUND(SUMIFS(Articles!$H:$H,Articles!$A:$A,A93,Articles!$D:$D,D93),2)</f>
        <v>141.95</v>
      </c>
      <c r="I93" s="0" t="n">
        <f aca="false">ROUND(H93-F93,2)</f>
        <v>0</v>
      </c>
    </row>
    <row r="94" customFormat="false" ht="15" hidden="false" customHeight="false" outlineLevel="0" collapsed="false">
      <c r="A94" s="0" t="s">
        <v>207</v>
      </c>
      <c r="B94" s="0" t="s">
        <v>136</v>
      </c>
      <c r="C94" s="0" t="s">
        <v>208</v>
      </c>
      <c r="D94" s="0" t="s">
        <v>541</v>
      </c>
      <c r="E94" s="0" t="s">
        <v>551</v>
      </c>
      <c r="F94" s="0" t="n">
        <v>108.05</v>
      </c>
      <c r="G94" s="0" t="n">
        <f aca="false">COUNTIFS(Articles!$A:$A,A94,Articles!$D:$D,D94)</f>
        <v>12</v>
      </c>
      <c r="H94" s="0" t="n">
        <f aca="false">ROUND(SUMIFS(Articles!$H:$H,Articles!$A:$A,A94,Articles!$D:$D,D94),2)</f>
        <v>108.05</v>
      </c>
      <c r="I94" s="0" t="n">
        <f aca="false">ROUND(H94-F94,2)</f>
        <v>0</v>
      </c>
    </row>
    <row r="95" customFormat="false" ht="15" hidden="false" customHeight="false" outlineLevel="0" collapsed="false">
      <c r="A95" s="0" t="s">
        <v>207</v>
      </c>
      <c r="B95" s="0" t="s">
        <v>136</v>
      </c>
      <c r="C95" s="0" t="s">
        <v>208</v>
      </c>
      <c r="D95" s="0" t="s">
        <v>542</v>
      </c>
      <c r="E95" s="0" t="s">
        <v>434</v>
      </c>
      <c r="F95" s="0" t="n">
        <v>108.05</v>
      </c>
      <c r="G95" s="0" t="n">
        <f aca="false">COUNTIFS(Articles!$A:$A,A95,Articles!$D:$D,D95)</f>
        <v>12</v>
      </c>
      <c r="H95" s="0" t="n">
        <f aca="false">ROUND(SUMIFS(Articles!$H:$H,Articles!$A:$A,A95,Articles!$D:$D,D95),2)</f>
        <v>108.05</v>
      </c>
      <c r="I95" s="0" t="n">
        <f aca="false">ROUND(H95-F95,2)</f>
        <v>0</v>
      </c>
    </row>
    <row r="96" customFormat="false" ht="15" hidden="false" customHeight="false" outlineLevel="0" collapsed="false">
      <c r="A96" s="0" t="s">
        <v>210</v>
      </c>
      <c r="B96" s="0" t="s">
        <v>136</v>
      </c>
      <c r="C96" s="0" t="s">
        <v>211</v>
      </c>
      <c r="D96" s="0" t="s">
        <v>506</v>
      </c>
      <c r="E96" s="0" t="s">
        <v>317</v>
      </c>
      <c r="F96" s="0" t="n">
        <v>26.25</v>
      </c>
      <c r="G96" s="0" t="n">
        <f aca="false">COUNTIFS(Articles!$A:$A,A96,Articles!$D:$D,D96)</f>
        <v>3</v>
      </c>
      <c r="H96" s="0" t="n">
        <f aca="false">ROUND(SUMIFS(Articles!$H:$H,Articles!$A:$A,A96,Articles!$D:$D,D96),2)</f>
        <v>26.25</v>
      </c>
      <c r="I96" s="0" t="n">
        <f aca="false">ROUND(H96-F96,2)</f>
        <v>0</v>
      </c>
    </row>
    <row r="97" customFormat="false" ht="15" hidden="false" customHeight="false" outlineLevel="0" collapsed="false">
      <c r="A97" s="0" t="s">
        <v>210</v>
      </c>
      <c r="B97" s="0" t="s">
        <v>136</v>
      </c>
      <c r="C97" s="0" t="s">
        <v>211</v>
      </c>
      <c r="D97" s="0" t="s">
        <v>522</v>
      </c>
      <c r="E97" s="0" t="s">
        <v>513</v>
      </c>
      <c r="F97" s="0" t="n">
        <v>26.25</v>
      </c>
      <c r="G97" s="0" t="n">
        <f aca="false">COUNTIFS(Articles!$A:$A,A97,Articles!$D:$D,D97)</f>
        <v>3</v>
      </c>
      <c r="H97" s="0" t="n">
        <f aca="false">ROUND(SUMIFS(Articles!$H:$H,Articles!$A:$A,A97,Articles!$D:$D,D97),2)</f>
        <v>26.25</v>
      </c>
      <c r="I97" s="0" t="n">
        <f aca="false">ROUND(H97-F97,2)</f>
        <v>0</v>
      </c>
    </row>
    <row r="98" customFormat="false" ht="15" hidden="false" customHeight="false" outlineLevel="0" collapsed="false">
      <c r="A98" s="0" t="s">
        <v>210</v>
      </c>
      <c r="B98" s="0" t="s">
        <v>136</v>
      </c>
      <c r="C98" s="0" t="s">
        <v>211</v>
      </c>
      <c r="D98" s="0" t="s">
        <v>510</v>
      </c>
      <c r="E98" s="0" t="s">
        <v>552</v>
      </c>
      <c r="F98" s="0" t="n">
        <v>31.1</v>
      </c>
      <c r="G98" s="0" t="n">
        <f aca="false">COUNTIFS(Articles!$A:$A,A98,Articles!$D:$D,D98)</f>
        <v>6</v>
      </c>
      <c r="H98" s="0" t="n">
        <f aca="false">ROUND(SUMIFS(Articles!$H:$H,Articles!$A:$A,A98,Articles!$D:$D,D98),2)</f>
        <v>31.1</v>
      </c>
      <c r="I98" s="0" t="n">
        <f aca="false">ROUND(H98-F98,2)</f>
        <v>0</v>
      </c>
    </row>
    <row r="99" customFormat="false" ht="15" hidden="false" customHeight="false" outlineLevel="0" collapsed="false">
      <c r="A99" s="0" t="s">
        <v>210</v>
      </c>
      <c r="B99" s="0" t="s">
        <v>136</v>
      </c>
      <c r="C99" s="0" t="s">
        <v>211</v>
      </c>
      <c r="D99" s="0" t="s">
        <v>505</v>
      </c>
      <c r="E99" s="0" t="s">
        <v>552</v>
      </c>
      <c r="F99" s="0" t="n">
        <v>31.1</v>
      </c>
      <c r="G99" s="0" t="n">
        <f aca="false">COUNTIFS(Articles!$A:$A,A99,Articles!$D:$D,D99)</f>
        <v>6</v>
      </c>
      <c r="H99" s="0" t="n">
        <f aca="false">ROUND(SUMIFS(Articles!$H:$H,Articles!$A:$A,A99,Articles!$D:$D,D99),2)</f>
        <v>31.1</v>
      </c>
      <c r="I99" s="0" t="n">
        <f aca="false">ROUND(H99-F99,2)</f>
        <v>0</v>
      </c>
    </row>
    <row r="100" customFormat="false" ht="15" hidden="false" customHeight="false" outlineLevel="0" collapsed="false">
      <c r="A100" s="0" t="s">
        <v>213</v>
      </c>
      <c r="B100" s="0" t="s">
        <v>136</v>
      </c>
      <c r="C100" s="0" t="s">
        <v>214</v>
      </c>
      <c r="D100" s="0" t="s">
        <v>496</v>
      </c>
      <c r="E100" s="0" t="s">
        <v>486</v>
      </c>
      <c r="F100" s="0" t="n">
        <v>67.6</v>
      </c>
      <c r="G100" s="0" t="n">
        <f aca="false">COUNTIFS(Articles!$A:$A,A100,Articles!$D:$D,D100)</f>
        <v>13</v>
      </c>
      <c r="H100" s="0" t="n">
        <f aca="false">ROUND(SUMIFS(Articles!$H:$H,Articles!$A:$A,A100,Articles!$D:$D,D100),2)</f>
        <v>67.6</v>
      </c>
      <c r="I100" s="0" t="n">
        <f aca="false">ROUND(H100-F100,2)</f>
        <v>0</v>
      </c>
    </row>
    <row r="101" customFormat="false" ht="15" hidden="false" customHeight="false" outlineLevel="0" collapsed="false">
      <c r="A101" s="0" t="s">
        <v>213</v>
      </c>
      <c r="B101" s="0" t="s">
        <v>136</v>
      </c>
      <c r="C101" s="0" t="s">
        <v>214</v>
      </c>
      <c r="D101" s="0" t="s">
        <v>487</v>
      </c>
      <c r="E101" s="0" t="s">
        <v>329</v>
      </c>
      <c r="F101" s="0" t="n">
        <v>67.6</v>
      </c>
      <c r="G101" s="0" t="n">
        <f aca="false">COUNTIFS(Articles!$A:$A,A101,Articles!$D:$D,D101)</f>
        <v>13</v>
      </c>
      <c r="H101" s="0" t="n">
        <f aca="false">ROUND(SUMIFS(Articles!$H:$H,Articles!$A:$A,A101,Articles!$D:$D,D101),2)</f>
        <v>67.6</v>
      </c>
      <c r="I101" s="0" t="n">
        <f aca="false">ROUND(H101-F101,2)</f>
        <v>0</v>
      </c>
    </row>
    <row r="102" customFormat="false" ht="15" hidden="false" customHeight="false" outlineLevel="0" collapsed="false">
      <c r="A102" s="0" t="s">
        <v>216</v>
      </c>
      <c r="B102" s="0" t="s">
        <v>136</v>
      </c>
      <c r="C102" s="0" t="s">
        <v>217</v>
      </c>
      <c r="D102" s="0" t="s">
        <v>500</v>
      </c>
      <c r="E102" s="0" t="s">
        <v>553</v>
      </c>
      <c r="F102" s="0" t="n">
        <v>48.85</v>
      </c>
      <c r="G102" s="0" t="n">
        <f aca="false">COUNTIFS(Articles!$A:$A,A102,Articles!$D:$D,D102)</f>
        <v>8</v>
      </c>
      <c r="H102" s="0" t="n">
        <f aca="false">ROUND(SUMIFS(Articles!$H:$H,Articles!$A:$A,A102,Articles!$D:$D,D102),2)</f>
        <v>48.85</v>
      </c>
      <c r="I102" s="0" t="n">
        <f aca="false">ROUND(H102-F102,2)</f>
        <v>0</v>
      </c>
    </row>
    <row r="103" customFormat="false" ht="15" hidden="false" customHeight="false" outlineLevel="0" collapsed="false">
      <c r="A103" s="0" t="s">
        <v>216</v>
      </c>
      <c r="B103" s="0" t="s">
        <v>136</v>
      </c>
      <c r="C103" s="0" t="s">
        <v>217</v>
      </c>
      <c r="D103" s="0" t="s">
        <v>492</v>
      </c>
      <c r="E103" s="0" t="s">
        <v>554</v>
      </c>
      <c r="F103" s="0" t="n">
        <v>48.85</v>
      </c>
      <c r="G103" s="0" t="n">
        <f aca="false">COUNTIFS(Articles!$A:$A,A103,Articles!$D:$D,D103)</f>
        <v>8</v>
      </c>
      <c r="H103" s="0" t="n">
        <f aca="false">ROUND(SUMIFS(Articles!$H:$H,Articles!$A:$A,A103,Articles!$D:$D,D103),2)</f>
        <v>48.85</v>
      </c>
      <c r="I103" s="0" t="n">
        <f aca="false">ROUND(H103-F103,2)</f>
        <v>0</v>
      </c>
    </row>
    <row r="104" customFormat="false" ht="15" hidden="false" customHeight="false" outlineLevel="0" collapsed="false">
      <c r="A104" s="0" t="s">
        <v>219</v>
      </c>
      <c r="B104" s="0" t="s">
        <v>136</v>
      </c>
      <c r="C104" s="0" t="s">
        <v>220</v>
      </c>
      <c r="D104" s="0" t="s">
        <v>532</v>
      </c>
      <c r="E104" s="0" t="s">
        <v>555</v>
      </c>
      <c r="F104" s="0" t="n">
        <v>118.1</v>
      </c>
      <c r="G104" s="0" t="n">
        <f aca="false">COUNTIFS(Articles!$A:$A,A104,Articles!$D:$D,D104)</f>
        <v>13</v>
      </c>
      <c r="H104" s="0" t="n">
        <f aca="false">ROUND(SUMIFS(Articles!$H:$H,Articles!$A:$A,A104,Articles!$D:$D,D104),2)</f>
        <v>118.1</v>
      </c>
      <c r="I104" s="0" t="n">
        <f aca="false">ROUND(H104-F104,2)</f>
        <v>0</v>
      </c>
    </row>
    <row r="105" customFormat="false" ht="15" hidden="false" customHeight="false" outlineLevel="0" collapsed="false">
      <c r="A105" s="0" t="s">
        <v>219</v>
      </c>
      <c r="B105" s="0" t="s">
        <v>136</v>
      </c>
      <c r="C105" s="0" t="s">
        <v>220</v>
      </c>
      <c r="D105" s="0" t="s">
        <v>493</v>
      </c>
      <c r="E105" s="0" t="s">
        <v>556</v>
      </c>
      <c r="F105" s="0" t="n">
        <v>118.1</v>
      </c>
      <c r="G105" s="0" t="n">
        <f aca="false">COUNTIFS(Articles!$A:$A,A105,Articles!$D:$D,D105)</f>
        <v>13</v>
      </c>
      <c r="H105" s="0" t="n">
        <f aca="false">ROUND(SUMIFS(Articles!$H:$H,Articles!$A:$A,A105,Articles!$D:$D,D105),2)</f>
        <v>118.1</v>
      </c>
      <c r="I105" s="0" t="n">
        <f aca="false">ROUND(H105-F105,2)</f>
        <v>0</v>
      </c>
    </row>
    <row r="106" customFormat="false" ht="15" hidden="false" customHeight="false" outlineLevel="0" collapsed="false">
      <c r="A106" s="0" t="s">
        <v>219</v>
      </c>
      <c r="B106" s="0" t="s">
        <v>136</v>
      </c>
      <c r="C106" s="0" t="s">
        <v>220</v>
      </c>
      <c r="D106" s="0" t="s">
        <v>498</v>
      </c>
      <c r="E106" s="0" t="s">
        <v>557</v>
      </c>
      <c r="F106" s="0" t="n">
        <v>42.6</v>
      </c>
      <c r="G106" s="0" t="n">
        <f aca="false">COUNTIFS(Articles!$A:$A,A106,Articles!$D:$D,D106)</f>
        <v>7</v>
      </c>
      <c r="H106" s="0" t="n">
        <f aca="false">ROUND(SUMIFS(Articles!$H:$H,Articles!$A:$A,A106,Articles!$D:$D,D106),2)</f>
        <v>42.6</v>
      </c>
      <c r="I106" s="0" t="n">
        <f aca="false">ROUND(H106-F106,2)</f>
        <v>0</v>
      </c>
    </row>
    <row r="107" customFormat="false" ht="15" hidden="false" customHeight="false" outlineLevel="0" collapsed="false">
      <c r="A107" s="0" t="s">
        <v>219</v>
      </c>
      <c r="B107" s="0" t="s">
        <v>136</v>
      </c>
      <c r="C107" s="0" t="s">
        <v>220</v>
      </c>
      <c r="D107" s="0" t="s">
        <v>516</v>
      </c>
      <c r="E107" s="0" t="s">
        <v>557</v>
      </c>
      <c r="F107" s="0" t="n">
        <v>42.6</v>
      </c>
      <c r="G107" s="0" t="n">
        <f aca="false">COUNTIFS(Articles!$A:$A,A107,Articles!$D:$D,D107)</f>
        <v>7</v>
      </c>
      <c r="H107" s="0" t="n">
        <f aca="false">ROUND(SUMIFS(Articles!$H:$H,Articles!$A:$A,A107,Articles!$D:$D,D107),2)</f>
        <v>42.6</v>
      </c>
      <c r="I107" s="0" t="n">
        <f aca="false">ROUND(H107-F107,2)</f>
        <v>0</v>
      </c>
    </row>
    <row r="108" customFormat="false" ht="15" hidden="false" customHeight="false" outlineLevel="0" collapsed="false">
      <c r="A108" s="0" t="s">
        <v>219</v>
      </c>
      <c r="B108" s="0" t="s">
        <v>136</v>
      </c>
      <c r="C108" s="0" t="s">
        <v>220</v>
      </c>
      <c r="D108" s="0" t="s">
        <v>518</v>
      </c>
      <c r="E108" s="0" t="s">
        <v>558</v>
      </c>
      <c r="F108" s="0" t="n">
        <v>92.55</v>
      </c>
      <c r="G108" s="0" t="n">
        <f aca="false">COUNTIFS(Articles!$A:$A,A108,Articles!$D:$D,D108)</f>
        <v>9</v>
      </c>
      <c r="H108" s="0" t="n">
        <f aca="false">ROUND(SUMIFS(Articles!$H:$H,Articles!$A:$A,A108,Articles!$D:$D,D108),2)</f>
        <v>92.55</v>
      </c>
      <c r="I108" s="0" t="n">
        <f aca="false">ROUND(H108-F108,2)</f>
        <v>0</v>
      </c>
    </row>
    <row r="109" customFormat="false" ht="15" hidden="false" customHeight="false" outlineLevel="0" collapsed="false">
      <c r="A109" s="0" t="s">
        <v>219</v>
      </c>
      <c r="B109" s="0" t="s">
        <v>136</v>
      </c>
      <c r="C109" s="0" t="s">
        <v>220</v>
      </c>
      <c r="D109" s="0" t="s">
        <v>489</v>
      </c>
      <c r="E109" s="0" t="s">
        <v>442</v>
      </c>
      <c r="F109" s="0" t="n">
        <v>92.55</v>
      </c>
      <c r="G109" s="0" t="n">
        <f aca="false">COUNTIFS(Articles!$A:$A,A109,Articles!$D:$D,D109)</f>
        <v>9</v>
      </c>
      <c r="H109" s="0" t="n">
        <f aca="false">ROUND(SUMIFS(Articles!$H:$H,Articles!$A:$A,A109,Articles!$D:$D,D109),2)</f>
        <v>92.55</v>
      </c>
      <c r="I109" s="0" t="n">
        <f aca="false">ROUND(H109-F109,2)</f>
        <v>0</v>
      </c>
    </row>
    <row r="110" customFormat="false" ht="15" hidden="false" customHeight="false" outlineLevel="0" collapsed="false">
      <c r="A110" s="0" t="s">
        <v>222</v>
      </c>
      <c r="B110" s="0" t="s">
        <v>136</v>
      </c>
      <c r="C110" s="0" t="s">
        <v>223</v>
      </c>
      <c r="D110" s="0" t="s">
        <v>522</v>
      </c>
      <c r="E110" s="0" t="s">
        <v>475</v>
      </c>
      <c r="F110" s="0" t="n">
        <v>115.45</v>
      </c>
      <c r="G110" s="0" t="n">
        <f aca="false">COUNTIFS(Articles!$A:$A,A110,Articles!$D:$D,D110)</f>
        <v>14</v>
      </c>
      <c r="H110" s="0" t="n">
        <f aca="false">ROUND(SUMIFS(Articles!$H:$H,Articles!$A:$A,A110,Articles!$D:$D,D110),2)</f>
        <v>115.45</v>
      </c>
      <c r="I110" s="0" t="n">
        <f aca="false">ROUND(H110-F110,2)</f>
        <v>0</v>
      </c>
    </row>
    <row r="111" customFormat="false" ht="15" hidden="false" customHeight="false" outlineLevel="0" collapsed="false">
      <c r="A111" s="0" t="s">
        <v>222</v>
      </c>
      <c r="B111" s="0" t="s">
        <v>136</v>
      </c>
      <c r="C111" s="0" t="s">
        <v>223</v>
      </c>
      <c r="D111" s="0" t="s">
        <v>512</v>
      </c>
      <c r="E111" s="0" t="s">
        <v>543</v>
      </c>
      <c r="F111" s="0" t="n">
        <v>115.45</v>
      </c>
      <c r="G111" s="0" t="n">
        <f aca="false">COUNTIFS(Articles!$A:$A,A111,Articles!$D:$D,D111)</f>
        <v>14</v>
      </c>
      <c r="H111" s="0" t="n">
        <f aca="false">ROUND(SUMIFS(Articles!$H:$H,Articles!$A:$A,A111,Articles!$D:$D,D111),2)</f>
        <v>115.45</v>
      </c>
      <c r="I111" s="0" t="n">
        <f aca="false">ROUND(H111-F111,2)</f>
        <v>0</v>
      </c>
    </row>
    <row r="112" customFormat="false" ht="15" hidden="false" customHeight="false" outlineLevel="0" collapsed="false">
      <c r="A112" s="0" t="s">
        <v>225</v>
      </c>
      <c r="B112" s="0" t="s">
        <v>136</v>
      </c>
      <c r="C112" s="0" t="s">
        <v>226</v>
      </c>
      <c r="D112" s="0" t="s">
        <v>499</v>
      </c>
      <c r="E112" s="0" t="s">
        <v>559</v>
      </c>
      <c r="F112" s="0" t="n">
        <v>31.1</v>
      </c>
      <c r="G112" s="0" t="n">
        <f aca="false">COUNTIFS(Articles!$A:$A,A112,Articles!$D:$D,D112)</f>
        <v>7</v>
      </c>
      <c r="H112" s="0" t="n">
        <f aca="false">ROUND(SUMIFS(Articles!$H:$H,Articles!$A:$A,A112,Articles!$D:$D,D112),2)</f>
        <v>31.1</v>
      </c>
      <c r="I112" s="0" t="n">
        <f aca="false">ROUND(H112-F112,2)</f>
        <v>0</v>
      </c>
    </row>
    <row r="113" customFormat="false" ht="15" hidden="false" customHeight="false" outlineLevel="0" collapsed="false">
      <c r="A113" s="0" t="s">
        <v>225</v>
      </c>
      <c r="B113" s="0" t="s">
        <v>136</v>
      </c>
      <c r="C113" s="0" t="s">
        <v>226</v>
      </c>
      <c r="D113" s="0" t="s">
        <v>560</v>
      </c>
      <c r="E113" s="0" t="s">
        <v>559</v>
      </c>
      <c r="F113" s="0" t="n">
        <v>31.1</v>
      </c>
      <c r="G113" s="0" t="n">
        <f aca="false">COUNTIFS(Articles!$A:$A,A113,Articles!$D:$D,D113)</f>
        <v>7</v>
      </c>
      <c r="H113" s="0" t="n">
        <f aca="false">ROUND(SUMIFS(Articles!$H:$H,Articles!$A:$A,A113,Articles!$D:$D,D113),2)</f>
        <v>31.1</v>
      </c>
      <c r="I113" s="0" t="n">
        <f aca="false">ROUND(H113-F113,2)</f>
        <v>0</v>
      </c>
    </row>
    <row r="114" customFormat="false" ht="15" hidden="false" customHeight="false" outlineLevel="0" collapsed="false">
      <c r="A114" s="0" t="s">
        <v>228</v>
      </c>
      <c r="B114" s="0" t="s">
        <v>136</v>
      </c>
      <c r="C114" s="0" t="s">
        <v>130</v>
      </c>
      <c r="D114" s="0" t="s">
        <v>518</v>
      </c>
      <c r="E114" s="0" t="s">
        <v>401</v>
      </c>
      <c r="F114" s="0" t="n">
        <v>86.1</v>
      </c>
      <c r="G114" s="0" t="n">
        <f aca="false">COUNTIFS(Articles!$A:$A,A114,Articles!$D:$D,D114)</f>
        <v>13</v>
      </c>
      <c r="H114" s="0" t="n">
        <f aca="false">ROUND(SUMIFS(Articles!$H:$H,Articles!$A:$A,A114,Articles!$D:$D,D114),2)</f>
        <v>86.1</v>
      </c>
      <c r="I114" s="0" t="n">
        <f aca="false">ROUND(H114-F114,2)</f>
        <v>0</v>
      </c>
    </row>
    <row r="115" customFormat="false" ht="15" hidden="false" customHeight="false" outlineLevel="0" collapsed="false">
      <c r="A115" s="0" t="s">
        <v>228</v>
      </c>
      <c r="B115" s="0" t="s">
        <v>136</v>
      </c>
      <c r="C115" s="0" t="s">
        <v>130</v>
      </c>
      <c r="D115" s="0" t="s">
        <v>489</v>
      </c>
      <c r="E115" s="0" t="s">
        <v>401</v>
      </c>
      <c r="F115" s="0" t="n">
        <v>86.1</v>
      </c>
      <c r="G115" s="0" t="n">
        <f aca="false">COUNTIFS(Articles!$A:$A,A115,Articles!$D:$D,D115)</f>
        <v>13</v>
      </c>
      <c r="H115" s="0" t="n">
        <f aca="false">ROUND(SUMIFS(Articles!$H:$H,Articles!$A:$A,A115,Articles!$D:$D,D115),2)</f>
        <v>86.1</v>
      </c>
      <c r="I115" s="0" t="n">
        <f aca="false">ROUND(H115-F115,2)</f>
        <v>0</v>
      </c>
    </row>
    <row r="116" customFormat="false" ht="15" hidden="false" customHeight="false" outlineLevel="0" collapsed="false">
      <c r="A116" s="0" t="s">
        <v>230</v>
      </c>
      <c r="B116" s="0" t="s">
        <v>136</v>
      </c>
      <c r="C116" s="0" t="s">
        <v>231</v>
      </c>
      <c r="D116" s="0" t="s">
        <v>522</v>
      </c>
      <c r="E116" s="0" t="s">
        <v>472</v>
      </c>
      <c r="F116" s="0" t="n">
        <v>77.75</v>
      </c>
      <c r="G116" s="0" t="n">
        <f aca="false">COUNTIFS(Articles!$A:$A,A116,Articles!$D:$D,D116)</f>
        <v>12</v>
      </c>
      <c r="H116" s="0" t="n">
        <f aca="false">ROUND(SUMIFS(Articles!$H:$H,Articles!$A:$A,A116,Articles!$D:$D,D116),2)</f>
        <v>77.75</v>
      </c>
      <c r="I116" s="0" t="n">
        <f aca="false">ROUND(H116-F116,2)</f>
        <v>0</v>
      </c>
    </row>
    <row r="117" customFormat="false" ht="15" hidden="false" customHeight="false" outlineLevel="0" collapsed="false">
      <c r="A117" s="0" t="s">
        <v>230</v>
      </c>
      <c r="B117" s="0" t="s">
        <v>136</v>
      </c>
      <c r="C117" s="0" t="s">
        <v>231</v>
      </c>
      <c r="D117" s="0" t="s">
        <v>512</v>
      </c>
      <c r="E117" s="0" t="s">
        <v>472</v>
      </c>
      <c r="F117" s="0" t="n">
        <v>77.75</v>
      </c>
      <c r="G117" s="0" t="n">
        <f aca="false">COUNTIFS(Articles!$A:$A,A117,Articles!$D:$D,D117)</f>
        <v>12</v>
      </c>
      <c r="H117" s="0" t="n">
        <f aca="false">ROUND(SUMIFS(Articles!$H:$H,Articles!$A:$A,A117,Articles!$D:$D,D117),2)</f>
        <v>77.75</v>
      </c>
      <c r="I117" s="0" t="n">
        <f aca="false">ROUND(H117-F117,2)</f>
        <v>0</v>
      </c>
    </row>
    <row r="118" customFormat="false" ht="15" hidden="false" customHeight="false" outlineLevel="0" collapsed="false">
      <c r="A118" s="0" t="s">
        <v>233</v>
      </c>
      <c r="B118" s="0" t="s">
        <v>136</v>
      </c>
      <c r="C118" s="0" t="s">
        <v>133</v>
      </c>
      <c r="D118" s="0" t="s">
        <v>505</v>
      </c>
      <c r="E118" s="0" t="s">
        <v>352</v>
      </c>
      <c r="F118" s="0" t="n">
        <v>53.05</v>
      </c>
      <c r="G118" s="0" t="n">
        <f aca="false">COUNTIFS(Articles!$A:$A,A118,Articles!$D:$D,D118)</f>
        <v>15</v>
      </c>
      <c r="H118" s="0" t="n">
        <f aca="false">ROUND(SUMIFS(Articles!$H:$H,Articles!$A:$A,A118,Articles!$D:$D,D118),2)</f>
        <v>53.05</v>
      </c>
      <c r="I118" s="0" t="n">
        <f aca="false">ROUND(H118-F118,2)</f>
        <v>0</v>
      </c>
    </row>
    <row r="119" customFormat="false" ht="15" hidden="false" customHeight="false" outlineLevel="0" collapsed="false">
      <c r="A119" s="0" t="s">
        <v>233</v>
      </c>
      <c r="B119" s="0" t="s">
        <v>136</v>
      </c>
      <c r="C119" s="0" t="s">
        <v>133</v>
      </c>
      <c r="D119" s="0" t="s">
        <v>500</v>
      </c>
      <c r="E119" s="0" t="s">
        <v>352</v>
      </c>
      <c r="F119" s="0" t="n">
        <v>53.05</v>
      </c>
      <c r="G119" s="0" t="n">
        <f aca="false">COUNTIFS(Articles!$A:$A,A119,Articles!$D:$D,D119)</f>
        <v>15</v>
      </c>
      <c r="H119" s="0" t="n">
        <f aca="false">ROUND(SUMIFS(Articles!$H:$H,Articles!$A:$A,A119,Articles!$D:$D,D119),2)</f>
        <v>53.05</v>
      </c>
      <c r="I119" s="0" t="n">
        <f aca="false">ROUND(H119-F119,2)</f>
        <v>0</v>
      </c>
    </row>
    <row r="120" customFormat="false" ht="15" hidden="false" customHeight="false" outlineLevel="0" collapsed="false">
      <c r="A120" s="0" t="s">
        <v>235</v>
      </c>
      <c r="B120" s="0" t="s">
        <v>236</v>
      </c>
      <c r="C120" s="0" t="s">
        <v>237</v>
      </c>
      <c r="D120" s="0" t="s">
        <v>504</v>
      </c>
      <c r="E120" s="0" t="s">
        <v>561</v>
      </c>
      <c r="F120" s="0" t="n">
        <v>73.1</v>
      </c>
      <c r="G120" s="0" t="n">
        <f aca="false">COUNTIFS(Articles!$A:$A,A120,Articles!$D:$D,D120)</f>
        <v>7</v>
      </c>
      <c r="H120" s="0" t="n">
        <f aca="false">ROUND(SUMIFS(Articles!$H:$H,Articles!$A:$A,A120,Articles!$D:$D,D120),2)</f>
        <v>73.1</v>
      </c>
      <c r="I120" s="0" t="n">
        <f aca="false">ROUND(H120-F120,2)</f>
        <v>0</v>
      </c>
    </row>
    <row r="121" customFormat="false" ht="15" hidden="false" customHeight="false" outlineLevel="0" collapsed="false">
      <c r="A121" s="0" t="s">
        <v>239</v>
      </c>
      <c r="B121" s="0" t="s">
        <v>236</v>
      </c>
      <c r="C121" s="0" t="s">
        <v>240</v>
      </c>
      <c r="D121" s="0" t="s">
        <v>519</v>
      </c>
      <c r="E121" s="0" t="s">
        <v>562</v>
      </c>
      <c r="F121" s="0" t="n">
        <v>86.45</v>
      </c>
      <c r="G121" s="0" t="n">
        <f aca="false">COUNTIFS(Articles!$A:$A,A121,Articles!$D:$D,D121)</f>
        <v>5</v>
      </c>
      <c r="H121" s="0" t="n">
        <f aca="false">ROUND(SUMIFS(Articles!$H:$H,Articles!$A:$A,A121,Articles!$D:$D,D121),2)</f>
        <v>86.45</v>
      </c>
      <c r="I121" s="0" t="n">
        <f aca="false">ROUND(H121-F121,2)</f>
        <v>0</v>
      </c>
    </row>
    <row r="122" customFormat="false" ht="15" hidden="false" customHeight="false" outlineLevel="0" collapsed="false">
      <c r="A122" s="0" t="s">
        <v>242</v>
      </c>
      <c r="B122" s="0" t="s">
        <v>236</v>
      </c>
      <c r="C122" s="0" t="s">
        <v>243</v>
      </c>
      <c r="D122" s="0" t="s">
        <v>532</v>
      </c>
      <c r="E122" s="0" t="s">
        <v>467</v>
      </c>
      <c r="F122" s="0" t="n">
        <v>47.1</v>
      </c>
      <c r="G122" s="0" t="n">
        <f aca="false">COUNTIFS(Articles!$A:$A,A122,Articles!$D:$D,D122)</f>
        <v>8</v>
      </c>
      <c r="H122" s="0" t="n">
        <f aca="false">ROUND(SUMIFS(Articles!$H:$H,Articles!$A:$A,A122,Articles!$D:$D,D122),2)</f>
        <v>47.1</v>
      </c>
      <c r="I122" s="0" t="n">
        <f aca="false">ROUND(H122-F122,2)</f>
        <v>0</v>
      </c>
    </row>
    <row r="123" customFormat="false" ht="15" hidden="false" customHeight="false" outlineLevel="0" collapsed="false">
      <c r="A123" s="0" t="s">
        <v>245</v>
      </c>
      <c r="B123" s="0" t="s">
        <v>236</v>
      </c>
      <c r="C123" s="0" t="s">
        <v>246</v>
      </c>
      <c r="D123" s="0" t="s">
        <v>487</v>
      </c>
      <c r="E123" s="0" t="s">
        <v>468</v>
      </c>
      <c r="F123" s="0" t="n">
        <v>31.6</v>
      </c>
      <c r="G123" s="0" t="n">
        <f aca="false">COUNTIFS(Articles!$A:$A,A123,Articles!$D:$D,D123)</f>
        <v>6</v>
      </c>
      <c r="H123" s="0" t="n">
        <f aca="false">ROUND(SUMIFS(Articles!$H:$H,Articles!$A:$A,A123,Articles!$D:$D,D123),2)</f>
        <v>31.6</v>
      </c>
      <c r="I123" s="0" t="n">
        <f aca="false">ROUND(H123-F123,2)</f>
        <v>0</v>
      </c>
    </row>
    <row r="124" customFormat="false" ht="15" hidden="false" customHeight="false" outlineLevel="0" collapsed="false">
      <c r="A124" s="0" t="s">
        <v>248</v>
      </c>
      <c r="B124" s="0" t="s">
        <v>236</v>
      </c>
      <c r="C124" s="0" t="s">
        <v>249</v>
      </c>
      <c r="D124" s="0" t="s">
        <v>510</v>
      </c>
      <c r="E124" s="0" t="s">
        <v>336</v>
      </c>
      <c r="F124" s="0" t="n">
        <v>22.95</v>
      </c>
      <c r="G124" s="0" t="n">
        <f aca="false">COUNTIFS(Articles!$A:$A,A124,Articles!$D:$D,D124)</f>
        <v>5</v>
      </c>
      <c r="H124" s="0" t="n">
        <f aca="false">ROUND(SUMIFS(Articles!$H:$H,Articles!$A:$A,A124,Articles!$D:$D,D124),2)</f>
        <v>22.95</v>
      </c>
      <c r="I124" s="0" t="n">
        <f aca="false">ROUND(H124-F124,2)</f>
        <v>0</v>
      </c>
    </row>
    <row r="125" customFormat="false" ht="15" hidden="false" customHeight="false" outlineLevel="0" collapsed="false">
      <c r="A125" s="0" t="s">
        <v>251</v>
      </c>
      <c r="B125" s="0" t="s">
        <v>236</v>
      </c>
      <c r="C125" s="0" t="s">
        <v>252</v>
      </c>
      <c r="D125" s="0" t="s">
        <v>505</v>
      </c>
      <c r="E125" s="0" t="s">
        <v>373</v>
      </c>
      <c r="F125" s="0" t="n">
        <v>71.85</v>
      </c>
      <c r="G125" s="0" t="n">
        <f aca="false">COUNTIFS(Articles!$A:$A,A125,Articles!$D:$D,D125)</f>
        <v>7</v>
      </c>
      <c r="H125" s="0" t="n">
        <f aca="false">ROUND(SUMIFS(Articles!$H:$H,Articles!$A:$A,A125,Articles!$D:$D,D125),2)</f>
        <v>71.85</v>
      </c>
      <c r="I125" s="0" t="n">
        <f aca="false">ROUND(H125-F125,2)</f>
        <v>0</v>
      </c>
    </row>
    <row r="126" customFormat="false" ht="15" hidden="false" customHeight="false" outlineLevel="0" collapsed="false">
      <c r="A126" s="0" t="s">
        <v>254</v>
      </c>
      <c r="B126" s="0" t="s">
        <v>236</v>
      </c>
      <c r="C126" s="0" t="s">
        <v>255</v>
      </c>
      <c r="D126" s="0" t="s">
        <v>506</v>
      </c>
      <c r="E126" s="0" t="s">
        <v>469</v>
      </c>
      <c r="F126" s="0" t="n">
        <v>38.05</v>
      </c>
      <c r="G126" s="0" t="n">
        <f aca="false">COUNTIFS(Articles!$A:$A,A126,Articles!$D:$D,D126)</f>
        <v>4</v>
      </c>
      <c r="H126" s="0" t="n">
        <f aca="false">ROUND(SUMIFS(Articles!$H:$H,Articles!$A:$A,A126,Articles!$D:$D,D126),2)</f>
        <v>38.05</v>
      </c>
      <c r="I126" s="0" t="n">
        <f aca="false">ROUND(H126-F126,2)</f>
        <v>0</v>
      </c>
    </row>
    <row r="127" customFormat="false" ht="15" hidden="false" customHeight="false" outlineLevel="0" collapsed="false">
      <c r="A127" s="0" t="s">
        <v>257</v>
      </c>
      <c r="B127" s="0" t="s">
        <v>236</v>
      </c>
      <c r="C127" s="0" t="s">
        <v>258</v>
      </c>
      <c r="D127" s="0" t="s">
        <v>508</v>
      </c>
      <c r="E127" s="0" t="s">
        <v>458</v>
      </c>
      <c r="F127" s="0" t="n">
        <v>28.35</v>
      </c>
      <c r="G127" s="0" t="n">
        <f aca="false">COUNTIFS(Articles!$A:$A,A127,Articles!$D:$D,D127)</f>
        <v>5</v>
      </c>
      <c r="H127" s="0" t="n">
        <f aca="false">ROUND(SUMIFS(Articles!$H:$H,Articles!$A:$A,A127,Articles!$D:$D,D127),2)</f>
        <v>28.35</v>
      </c>
      <c r="I127" s="0" t="n">
        <f aca="false">ROUND(H127-F127,2)</f>
        <v>0</v>
      </c>
    </row>
    <row r="128" customFormat="false" ht="15" hidden="false" customHeight="false" outlineLevel="0" collapsed="false">
      <c r="A128" s="0" t="s">
        <v>260</v>
      </c>
      <c r="B128" s="0" t="s">
        <v>236</v>
      </c>
      <c r="C128" s="0" t="s">
        <v>164</v>
      </c>
      <c r="D128" s="0" t="s">
        <v>487</v>
      </c>
      <c r="E128" s="0" t="s">
        <v>422</v>
      </c>
      <c r="F128" s="0" t="n">
        <v>59.1</v>
      </c>
      <c r="G128" s="0" t="n">
        <f aca="false">COUNTIFS(Articles!$A:$A,A128,Articles!$D:$D,D128)</f>
        <v>5</v>
      </c>
      <c r="H128" s="0" t="n">
        <f aca="false">ROUND(SUMIFS(Articles!$H:$H,Articles!$A:$A,A128,Articles!$D:$D,D128),2)</f>
        <v>59.1</v>
      </c>
      <c r="I128" s="0" t="n">
        <f aca="false">ROUND(H128-F128,2)</f>
        <v>0</v>
      </c>
    </row>
    <row r="129" customFormat="false" ht="15" hidden="false" customHeight="false" outlineLevel="0" collapsed="false">
      <c r="A129" s="0" t="s">
        <v>262</v>
      </c>
      <c r="B129" s="0" t="s">
        <v>236</v>
      </c>
      <c r="C129" s="0" t="s">
        <v>263</v>
      </c>
      <c r="D129" s="0" t="s">
        <v>495</v>
      </c>
      <c r="E129" s="0" t="s">
        <v>323</v>
      </c>
      <c r="F129" s="0" t="n">
        <v>25.6</v>
      </c>
      <c r="G129" s="0" t="n">
        <f aca="false">COUNTIFS(Articles!$A:$A,A129,Articles!$D:$D,D129)</f>
        <v>5</v>
      </c>
      <c r="H129" s="0" t="n">
        <f aca="false">ROUND(SUMIFS(Articles!$H:$H,Articles!$A:$A,A129,Articles!$D:$D,D129),2)</f>
        <v>25.6</v>
      </c>
      <c r="I129" s="0" t="n">
        <f aca="false">ROUND(H129-F129,2)</f>
        <v>0</v>
      </c>
    </row>
    <row r="130" customFormat="false" ht="15" hidden="false" customHeight="false" outlineLevel="0" collapsed="false">
      <c r="A130" s="0" t="s">
        <v>265</v>
      </c>
      <c r="B130" s="0" t="s">
        <v>236</v>
      </c>
      <c r="C130" s="0" t="s">
        <v>266</v>
      </c>
      <c r="D130" s="0" t="s">
        <v>563</v>
      </c>
      <c r="E130" s="0" t="s">
        <v>365</v>
      </c>
      <c r="F130" s="0" t="n">
        <v>36.35</v>
      </c>
      <c r="G130" s="0" t="n">
        <f aca="false">COUNTIFS(Articles!$A:$A,A130,Articles!$D:$D,D130)</f>
        <v>5</v>
      </c>
      <c r="H130" s="0" t="n">
        <f aca="false">ROUND(SUMIFS(Articles!$H:$H,Articles!$A:$A,A130,Articles!$D:$D,D130),2)</f>
        <v>36.35</v>
      </c>
      <c r="I130" s="0" t="n">
        <f aca="false">ROUND(H130-F130,2)</f>
        <v>0</v>
      </c>
    </row>
    <row r="131" customFormat="false" ht="15" hidden="false" customHeight="false" outlineLevel="0" collapsed="false">
      <c r="A131" s="0" t="s">
        <v>268</v>
      </c>
      <c r="B131" s="0" t="s">
        <v>236</v>
      </c>
      <c r="C131" s="0" t="s">
        <v>269</v>
      </c>
      <c r="D131" s="0" t="s">
        <v>509</v>
      </c>
      <c r="E131" s="0" t="s">
        <v>471</v>
      </c>
      <c r="F131" s="0" t="n">
        <v>35.75</v>
      </c>
      <c r="G131" s="0" t="n">
        <f aca="false">COUNTIFS(Articles!$A:$A,A131,Articles!$D:$D,D131)</f>
        <v>5</v>
      </c>
      <c r="H131" s="0" t="n">
        <f aca="false">ROUND(SUMIFS(Articles!$H:$H,Articles!$A:$A,A131,Articles!$D:$D,D131),2)</f>
        <v>35.75</v>
      </c>
      <c r="I131" s="0" t="n">
        <f aca="false">ROUND(H131-F131,2)</f>
        <v>0</v>
      </c>
    </row>
    <row r="132" customFormat="false" ht="15" hidden="false" customHeight="false" outlineLevel="0" collapsed="false">
      <c r="A132" s="0" t="s">
        <v>271</v>
      </c>
      <c r="B132" s="0" t="s">
        <v>236</v>
      </c>
      <c r="C132" s="0" t="s">
        <v>272</v>
      </c>
      <c r="D132" s="0" t="s">
        <v>519</v>
      </c>
      <c r="E132" s="0" t="s">
        <v>554</v>
      </c>
      <c r="F132" s="0" t="n">
        <v>22.35</v>
      </c>
      <c r="G132" s="0" t="n">
        <f aca="false">COUNTIFS(Articles!$A:$A,A132,Articles!$D:$D,D132)</f>
        <v>4</v>
      </c>
      <c r="H132" s="0" t="n">
        <f aca="false">ROUND(SUMIFS(Articles!$H:$H,Articles!$A:$A,A132,Articles!$D:$D,D132),2)</f>
        <v>22.35</v>
      </c>
      <c r="I132" s="0" t="n">
        <f aca="false">ROUND(H132-F132,2)</f>
        <v>0</v>
      </c>
    </row>
    <row r="133" customFormat="false" ht="15" hidden="false" customHeight="false" outlineLevel="0" collapsed="false">
      <c r="A133" s="0" t="s">
        <v>274</v>
      </c>
      <c r="B133" s="0" t="s">
        <v>236</v>
      </c>
      <c r="C133" s="0" t="s">
        <v>275</v>
      </c>
      <c r="D133" s="0" t="s">
        <v>563</v>
      </c>
      <c r="E133" s="0" t="s">
        <v>552</v>
      </c>
      <c r="F133" s="0" t="n">
        <v>70.9</v>
      </c>
      <c r="G133" s="0" t="n">
        <f aca="false">COUNTIFS(Articles!$A:$A,A133,Articles!$D:$D,D133)</f>
        <v>8</v>
      </c>
      <c r="H133" s="0" t="n">
        <f aca="false">ROUND(SUMIFS(Articles!$H:$H,Articles!$A:$A,A133,Articles!$D:$D,D133),2)</f>
        <v>70.9</v>
      </c>
      <c r="I133" s="0" t="n">
        <f aca="false">ROUND(H133-F133,2)</f>
        <v>0</v>
      </c>
    </row>
    <row r="134" customFormat="false" ht="15" hidden="false" customHeight="false" outlineLevel="0" collapsed="false">
      <c r="A134" s="0" t="s">
        <v>277</v>
      </c>
      <c r="B134" s="0" t="s">
        <v>236</v>
      </c>
      <c r="C134" s="0" t="s">
        <v>278</v>
      </c>
      <c r="D134" s="0" t="s">
        <v>506</v>
      </c>
      <c r="E134" s="0" t="s">
        <v>564</v>
      </c>
      <c r="F134" s="0" t="n">
        <v>68.9</v>
      </c>
      <c r="G134" s="0" t="n">
        <f aca="false">COUNTIFS(Articles!$A:$A,A134,Articles!$D:$D,D134)</f>
        <v>6</v>
      </c>
      <c r="H134" s="0" t="n">
        <f aca="false">ROUND(SUMIFS(Articles!$H:$H,Articles!$A:$A,A134,Articles!$D:$D,D134),2)</f>
        <v>68.9</v>
      </c>
      <c r="I134" s="0" t="n">
        <f aca="false">ROUND(H134-F134,2)</f>
        <v>0</v>
      </c>
    </row>
    <row r="135" customFormat="false" ht="15" hidden="false" customHeight="false" outlineLevel="0" collapsed="false">
      <c r="A135" s="0" t="s">
        <v>280</v>
      </c>
      <c r="B135" s="0" t="s">
        <v>236</v>
      </c>
      <c r="C135" s="0" t="s">
        <v>281</v>
      </c>
      <c r="D135" s="0" t="s">
        <v>512</v>
      </c>
      <c r="E135" s="0" t="s">
        <v>565</v>
      </c>
      <c r="F135" s="0" t="n">
        <v>57.5</v>
      </c>
      <c r="G135" s="0" t="n">
        <f aca="false">COUNTIFS(Articles!$A:$A,A135,Articles!$D:$D,D135)</f>
        <v>6</v>
      </c>
      <c r="H135" s="0" t="n">
        <f aca="false">ROUND(SUMIFS(Articles!$H:$H,Articles!$A:$A,A135,Articles!$D:$D,D135),2)</f>
        <v>57.5</v>
      </c>
      <c r="I135" s="0" t="n">
        <f aca="false">ROUND(H135-F135,2)</f>
        <v>0</v>
      </c>
    </row>
    <row r="136" customFormat="false" ht="15" hidden="false" customHeight="false" outlineLevel="0" collapsed="false">
      <c r="A136" s="0" t="s">
        <v>283</v>
      </c>
      <c r="B136" s="0" t="s">
        <v>236</v>
      </c>
      <c r="C136" s="0" t="s">
        <v>284</v>
      </c>
      <c r="D136" s="0" t="s">
        <v>560</v>
      </c>
      <c r="E136" s="0" t="s">
        <v>566</v>
      </c>
      <c r="F136" s="0" t="n">
        <v>70.8</v>
      </c>
      <c r="G136" s="0" t="n">
        <f aca="false">COUNTIFS(Articles!$A:$A,A136,Articles!$D:$D,D136)</f>
        <v>6</v>
      </c>
      <c r="H136" s="0" t="n">
        <f aca="false">ROUND(SUMIFS(Articles!$H:$H,Articles!$A:$A,A136,Articles!$D:$D,D136),2)</f>
        <v>70.8</v>
      </c>
      <c r="I136" s="0" t="n">
        <f aca="false">ROUND(H136-F136,2)</f>
        <v>0</v>
      </c>
    </row>
    <row r="137" customFormat="false" ht="15" hidden="false" customHeight="false" outlineLevel="0" collapsed="false">
      <c r="A137" s="0" t="s">
        <v>286</v>
      </c>
      <c r="B137" s="0" t="s">
        <v>236</v>
      </c>
      <c r="C137" s="0" t="s">
        <v>287</v>
      </c>
      <c r="D137" s="0" t="s">
        <v>499</v>
      </c>
      <c r="E137" s="0" t="s">
        <v>340</v>
      </c>
      <c r="F137" s="0" t="n">
        <v>85</v>
      </c>
      <c r="G137" s="0" t="n">
        <f aca="false">COUNTIFS(Articles!$A:$A,A137,Articles!$D:$D,D137)</f>
        <v>6</v>
      </c>
      <c r="H137" s="0" t="n">
        <f aca="false">ROUND(SUMIFS(Articles!$H:$H,Articles!$A:$A,A137,Articles!$D:$D,D137),2)</f>
        <v>85</v>
      </c>
      <c r="I137" s="0" t="n">
        <f aca="false">ROUND(H137-F137,2)</f>
        <v>0</v>
      </c>
    </row>
    <row r="138" customFormat="false" ht="15" hidden="false" customHeight="false" outlineLevel="0" collapsed="false">
      <c r="A138" s="0" t="s">
        <v>289</v>
      </c>
      <c r="B138" s="0" t="s">
        <v>236</v>
      </c>
      <c r="C138" s="0" t="s">
        <v>290</v>
      </c>
      <c r="D138" s="0" t="s">
        <v>488</v>
      </c>
      <c r="E138" s="0" t="s">
        <v>567</v>
      </c>
      <c r="F138" s="0" t="n">
        <v>38.7</v>
      </c>
      <c r="G138" s="0" t="n">
        <f aca="false">COUNTIFS(Articles!$A:$A,A138,Articles!$D:$D,D138)</f>
        <v>4</v>
      </c>
      <c r="H138" s="0" t="n">
        <f aca="false">ROUND(SUMIFS(Articles!$H:$H,Articles!$A:$A,A138,Articles!$D:$D,D138),2)</f>
        <v>38.7</v>
      </c>
      <c r="I138" s="0" t="n">
        <f aca="false">ROUND(H138-F138,2)</f>
        <v>0</v>
      </c>
    </row>
    <row r="139" customFormat="false" ht="15" hidden="false" customHeight="false" outlineLevel="0" collapsed="false">
      <c r="A139" s="0" t="s">
        <v>292</v>
      </c>
      <c r="B139" s="0" t="s">
        <v>236</v>
      </c>
      <c r="C139" s="0" t="s">
        <v>293</v>
      </c>
      <c r="D139" s="0" t="s">
        <v>495</v>
      </c>
      <c r="E139" s="0" t="s">
        <v>568</v>
      </c>
      <c r="F139" s="0" t="n">
        <v>66.85</v>
      </c>
      <c r="G139" s="0" t="n">
        <f aca="false">COUNTIFS(Articles!$A:$A,A139,Articles!$D:$D,D139)</f>
        <v>11</v>
      </c>
      <c r="H139" s="0" t="n">
        <f aca="false">ROUND(SUMIFS(Articles!$H:$H,Articles!$A:$A,A139,Articles!$D:$D,D139),2)</f>
        <v>66.85</v>
      </c>
      <c r="I139" s="0" t="n">
        <f aca="false">ROUND(H139-F139,2)</f>
        <v>0</v>
      </c>
    </row>
    <row r="140" customFormat="false" ht="15" hidden="false" customHeight="false" outlineLevel="0" collapsed="false">
      <c r="A140" s="0" t="s">
        <v>295</v>
      </c>
      <c r="B140" s="0" t="s">
        <v>236</v>
      </c>
      <c r="C140" s="0" t="s">
        <v>296</v>
      </c>
      <c r="D140" s="0" t="s">
        <v>542</v>
      </c>
      <c r="E140" s="0" t="s">
        <v>569</v>
      </c>
      <c r="F140" s="0" t="n">
        <v>42.35</v>
      </c>
      <c r="G140" s="0" t="n">
        <f aca="false">COUNTIFS(Articles!$A:$A,A140,Articles!$D:$D,D140)</f>
        <v>8</v>
      </c>
      <c r="H140" s="0" t="n">
        <f aca="false">ROUND(SUMIFS(Articles!$H:$H,Articles!$A:$A,A140,Articles!$D:$D,D140),2)</f>
        <v>42.35</v>
      </c>
      <c r="I140" s="0" t="n">
        <f aca="false">ROUND(H140-F140,2)</f>
        <v>0</v>
      </c>
    </row>
    <row r="141" customFormat="false" ht="15" hidden="false" customHeight="false" outlineLevel="0" collapsed="false">
      <c r="A141" s="0" t="s">
        <v>298</v>
      </c>
      <c r="B141" s="0" t="s">
        <v>236</v>
      </c>
      <c r="C141" s="0" t="s">
        <v>299</v>
      </c>
      <c r="D141" s="0" t="s">
        <v>485</v>
      </c>
      <c r="E141" s="0" t="s">
        <v>479</v>
      </c>
      <c r="F141" s="0" t="n">
        <v>76.6</v>
      </c>
      <c r="G141" s="0" t="n">
        <f aca="false">COUNTIFS(Articles!$A:$A,A141,Articles!$D:$D,D141)</f>
        <v>7</v>
      </c>
      <c r="H141" s="0" t="n">
        <f aca="false">ROUND(SUMIFS(Articles!$H:$H,Articles!$A:$A,A141,Articles!$D:$D,D141),2)</f>
        <v>76.6</v>
      </c>
      <c r="I141" s="0" t="n">
        <f aca="false">ROUND(H141-F141,2)</f>
        <v>0</v>
      </c>
    </row>
    <row r="142" customFormat="false" ht="15" hidden="false" customHeight="false" outlineLevel="0" collapsed="false">
      <c r="A142" s="0" t="s">
        <v>301</v>
      </c>
      <c r="B142" s="0" t="s">
        <v>236</v>
      </c>
      <c r="C142" s="0" t="s">
        <v>302</v>
      </c>
      <c r="D142" s="0" t="s">
        <v>488</v>
      </c>
      <c r="E142" s="0" t="s">
        <v>323</v>
      </c>
      <c r="F142" s="0" t="n">
        <v>42.8</v>
      </c>
      <c r="G142" s="0" t="n">
        <f aca="false">COUNTIFS(Articles!$A:$A,A142,Articles!$D:$D,D142)</f>
        <v>4</v>
      </c>
      <c r="H142" s="0" t="n">
        <f aca="false">ROUND(SUMIFS(Articles!$H:$H,Articles!$A:$A,A142,Articles!$D:$D,D142),2)</f>
        <v>42.8</v>
      </c>
      <c r="I142" s="0" t="n">
        <f aca="false">ROUND(H142-F142,2)</f>
        <v>0</v>
      </c>
    </row>
    <row r="143" customFormat="false" ht="15" hidden="false" customHeight="false" outlineLevel="0" collapsed="false">
      <c r="A143" s="0" t="s">
        <v>304</v>
      </c>
      <c r="B143" s="0" t="s">
        <v>236</v>
      </c>
      <c r="C143" s="0" t="s">
        <v>305</v>
      </c>
      <c r="D143" s="0" t="s">
        <v>563</v>
      </c>
      <c r="E143" s="0" t="s">
        <v>326</v>
      </c>
      <c r="F143" s="0" t="n">
        <v>86.9</v>
      </c>
      <c r="G143" s="0" t="n">
        <f aca="false">COUNTIFS(Articles!$A:$A,A143,Articles!$D:$D,D143)</f>
        <v>7</v>
      </c>
      <c r="H143" s="0" t="n">
        <f aca="false">ROUND(SUMIFS(Articles!$H:$H,Articles!$A:$A,A143,Articles!$D:$D,D143),2)</f>
        <v>86.9</v>
      </c>
      <c r="I143" s="0" t="n">
        <f aca="false">ROUND(H143-F143,2)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10" min="9" style="0" width="9"/>
  </cols>
  <sheetData>
    <row r="1" customFormat="false" ht="41.75" hidden="false" customHeight="false" outlineLevel="0" collapsed="false">
      <c r="A1" s="1" t="s">
        <v>27</v>
      </c>
      <c r="B1" s="1" t="s">
        <v>28</v>
      </c>
      <c r="C1" s="1" t="s">
        <v>30</v>
      </c>
      <c r="D1" s="1" t="s">
        <v>481</v>
      </c>
      <c r="E1" s="1" t="s">
        <v>570</v>
      </c>
      <c r="F1" s="1" t="s">
        <v>571</v>
      </c>
      <c r="G1" s="1" t="s">
        <v>572</v>
      </c>
      <c r="H1" s="1" t="s">
        <v>308</v>
      </c>
      <c r="I1" s="1" t="s">
        <v>573</v>
      </c>
      <c r="J1" s="1" t="s">
        <v>574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41</v>
      </c>
      <c r="D2" s="0" t="s">
        <v>485</v>
      </c>
      <c r="E2" s="0" t="s">
        <v>575</v>
      </c>
      <c r="F2" s="0" t="n">
        <v>2</v>
      </c>
      <c r="G2" s="0" t="n">
        <v>15.2</v>
      </c>
      <c r="H2" s="0" t="n">
        <v>30.4</v>
      </c>
      <c r="I2" s="0" t="n">
        <f aca="false">IF(ABS(ROUND(F2*G2,2)-H2)&lt;=0.01,1,0)</f>
        <v>1</v>
      </c>
      <c r="J2" s="0" t="n">
        <v>0</v>
      </c>
    </row>
    <row r="3" customFormat="false" ht="15" hidden="false" customHeight="false" outlineLevel="0" collapsed="false">
      <c r="A3" s="0" t="s">
        <v>43</v>
      </c>
      <c r="B3" s="0" t="s">
        <v>39</v>
      </c>
      <c r="C3" s="0" t="s">
        <v>44</v>
      </c>
      <c r="D3" s="0" t="s">
        <v>487</v>
      </c>
      <c r="E3" s="0" t="s">
        <v>576</v>
      </c>
      <c r="F3" s="0" t="n">
        <v>2</v>
      </c>
      <c r="G3" s="0" t="n">
        <v>31.8</v>
      </c>
      <c r="H3" s="0" t="n">
        <v>63.6</v>
      </c>
      <c r="I3" s="0" t="n">
        <f aca="false">IF(ABS(ROUND(F3*G3,2)-H3)&lt;=0.01,1,0)</f>
        <v>1</v>
      </c>
      <c r="J3" s="0" t="n">
        <v>0</v>
      </c>
    </row>
    <row r="4" customFormat="false" ht="15" hidden="false" customHeight="false" outlineLevel="0" collapsed="false">
      <c r="A4" s="0" t="s">
        <v>46</v>
      </c>
      <c r="B4" s="0" t="s">
        <v>39</v>
      </c>
      <c r="C4" s="0" t="s">
        <v>47</v>
      </c>
      <c r="D4" s="0" t="s">
        <v>488</v>
      </c>
      <c r="E4" s="0" t="s">
        <v>576</v>
      </c>
      <c r="F4" s="0" t="n">
        <v>2</v>
      </c>
      <c r="G4" s="0" t="n">
        <v>38.45</v>
      </c>
      <c r="H4" s="0" t="n">
        <v>76.9</v>
      </c>
      <c r="I4" s="0" t="n">
        <f aca="false">IF(ABS(ROUND(F4*G4,2)-H4)&lt;=0.01,1,0)</f>
        <v>1</v>
      </c>
      <c r="J4" s="0" t="n">
        <v>0</v>
      </c>
    </row>
    <row r="5" customFormat="false" ht="15" hidden="false" customHeight="false" outlineLevel="0" collapsed="false">
      <c r="A5" s="0" t="s">
        <v>49</v>
      </c>
      <c r="B5" s="0" t="s">
        <v>39</v>
      </c>
      <c r="C5" s="0" t="s">
        <v>50</v>
      </c>
      <c r="D5" s="0" t="s">
        <v>485</v>
      </c>
      <c r="E5" s="0" t="s">
        <v>576</v>
      </c>
      <c r="F5" s="0" t="n">
        <v>2</v>
      </c>
      <c r="G5" s="0" t="n">
        <v>28.55</v>
      </c>
      <c r="H5" s="0" t="n">
        <v>57.1</v>
      </c>
      <c r="I5" s="0" t="n">
        <f aca="false">IF(ABS(ROUND(F5*G5,2)-H5)&lt;=0.01,1,0)</f>
        <v>1</v>
      </c>
      <c r="J5" s="0" t="n">
        <v>0</v>
      </c>
    </row>
    <row r="6" customFormat="false" ht="15" hidden="false" customHeight="false" outlineLevel="0" collapsed="false">
      <c r="A6" s="0" t="s">
        <v>52</v>
      </c>
      <c r="B6" s="0" t="s">
        <v>39</v>
      </c>
      <c r="C6" s="0" t="s">
        <v>53</v>
      </c>
      <c r="D6" s="0" t="s">
        <v>489</v>
      </c>
      <c r="E6" s="0" t="s">
        <v>575</v>
      </c>
      <c r="F6" s="0" t="n">
        <v>2</v>
      </c>
      <c r="G6" s="0" t="n">
        <v>22.8</v>
      </c>
      <c r="H6" s="0" t="n">
        <v>45.6</v>
      </c>
      <c r="I6" s="0" t="n">
        <f aca="false">IF(ABS(ROUND(F6*G6,2)-H6)&lt;=0.01,1,0)</f>
        <v>1</v>
      </c>
      <c r="J6" s="0" t="n">
        <v>0</v>
      </c>
    </row>
    <row r="7" customFormat="false" ht="15" hidden="false" customHeight="false" outlineLevel="0" collapsed="false">
      <c r="A7" s="0" t="s">
        <v>55</v>
      </c>
      <c r="B7" s="0" t="s">
        <v>39</v>
      </c>
      <c r="C7" s="0" t="s">
        <v>56</v>
      </c>
      <c r="D7" s="0" t="s">
        <v>491</v>
      </c>
      <c r="E7" s="0" t="s">
        <v>575</v>
      </c>
      <c r="F7" s="0" t="n">
        <v>2</v>
      </c>
      <c r="G7" s="0" t="n">
        <v>38.45</v>
      </c>
      <c r="H7" s="0" t="n">
        <v>76.9</v>
      </c>
      <c r="I7" s="0" t="n">
        <f aca="false">IF(ABS(ROUND(F7*G7,2)-H7)&lt;=0.01,1,0)</f>
        <v>1</v>
      </c>
      <c r="J7" s="0" t="n">
        <v>0</v>
      </c>
    </row>
    <row r="8" customFormat="false" ht="15" hidden="false" customHeight="false" outlineLevel="0" collapsed="false">
      <c r="A8" s="0" t="s">
        <v>58</v>
      </c>
      <c r="B8" s="0" t="s">
        <v>39</v>
      </c>
      <c r="C8" s="0" t="s">
        <v>59</v>
      </c>
      <c r="D8" s="0" t="s">
        <v>492</v>
      </c>
      <c r="E8" s="0" t="s">
        <v>576</v>
      </c>
      <c r="F8" s="0" t="n">
        <v>1</v>
      </c>
      <c r="G8" s="0" t="n">
        <v>21.1</v>
      </c>
      <c r="H8" s="0" t="n">
        <v>21.1</v>
      </c>
      <c r="I8" s="0" t="n">
        <f aca="false">IF(ABS(ROUND(F8*G8,2)-H8)&lt;=0.01,1,0)</f>
        <v>1</v>
      </c>
      <c r="J8" s="0" t="n">
        <v>0</v>
      </c>
    </row>
    <row r="9" customFormat="false" ht="15" hidden="false" customHeight="false" outlineLevel="0" collapsed="false">
      <c r="A9" s="0" t="s">
        <v>61</v>
      </c>
      <c r="B9" s="0" t="s">
        <v>39</v>
      </c>
      <c r="C9" s="0" t="s">
        <v>62</v>
      </c>
      <c r="D9" s="0" t="s">
        <v>485</v>
      </c>
      <c r="E9" s="0" t="s">
        <v>576</v>
      </c>
      <c r="F9" s="0" t="n">
        <v>2</v>
      </c>
      <c r="G9" s="0" t="n">
        <v>23.85</v>
      </c>
      <c r="H9" s="0" t="n">
        <v>47.7</v>
      </c>
      <c r="I9" s="0" t="n">
        <f aca="false">IF(ABS(ROUND(F9*G9,2)-H9)&lt;=0.01,1,0)</f>
        <v>1</v>
      </c>
      <c r="J9" s="0" t="n">
        <v>0</v>
      </c>
    </row>
    <row r="10" customFormat="false" ht="15" hidden="false" customHeight="false" outlineLevel="0" collapsed="false">
      <c r="A10" s="0" t="s">
        <v>64</v>
      </c>
      <c r="B10" s="0" t="s">
        <v>39</v>
      </c>
      <c r="C10" s="0" t="s">
        <v>65</v>
      </c>
      <c r="D10" s="0" t="s">
        <v>493</v>
      </c>
      <c r="E10" s="0" t="s">
        <v>576</v>
      </c>
      <c r="F10" s="0" t="n">
        <v>2</v>
      </c>
      <c r="G10" s="0" t="n">
        <v>26.75</v>
      </c>
      <c r="H10" s="0" t="n">
        <v>53.5</v>
      </c>
      <c r="I10" s="0" t="n">
        <f aca="false">IF(ABS(ROUND(F10*G10,2)-H10)&lt;=0.01,1,0)</f>
        <v>1</v>
      </c>
      <c r="J10" s="0" t="n">
        <v>0</v>
      </c>
    </row>
    <row r="11" customFormat="false" ht="15" hidden="false" customHeight="false" outlineLevel="0" collapsed="false">
      <c r="A11" s="0" t="s">
        <v>67</v>
      </c>
      <c r="B11" s="0" t="s">
        <v>39</v>
      </c>
      <c r="C11" s="0" t="s">
        <v>68</v>
      </c>
      <c r="D11" s="0" t="s">
        <v>495</v>
      </c>
      <c r="E11" s="0" t="s">
        <v>576</v>
      </c>
      <c r="F11" s="0" t="n">
        <v>2</v>
      </c>
      <c r="G11" s="0" t="n">
        <v>32.35</v>
      </c>
      <c r="H11" s="0" t="n">
        <v>64.7</v>
      </c>
      <c r="I11" s="0" t="n">
        <f aca="false">IF(ABS(ROUND(F11*G11,2)-H11)&lt;=0.01,1,0)</f>
        <v>1</v>
      </c>
      <c r="J11" s="0" t="n">
        <v>0</v>
      </c>
    </row>
    <row r="12" customFormat="false" ht="15" hidden="false" customHeight="false" outlineLevel="0" collapsed="false">
      <c r="A12" s="0" t="s">
        <v>70</v>
      </c>
      <c r="B12" s="0" t="s">
        <v>39</v>
      </c>
      <c r="C12" s="0" t="s">
        <v>71</v>
      </c>
      <c r="D12" s="0" t="s">
        <v>496</v>
      </c>
      <c r="E12" s="0" t="s">
        <v>575</v>
      </c>
      <c r="F12" s="0" t="n">
        <v>2</v>
      </c>
      <c r="G12" s="0" t="n">
        <v>64</v>
      </c>
      <c r="H12" s="0" t="n">
        <v>128</v>
      </c>
      <c r="I12" s="0" t="n">
        <f aca="false">IF(ABS(ROUND(F12*G12,2)-H12)&lt;=0.01,1,0)</f>
        <v>1</v>
      </c>
      <c r="J12" s="0" t="n">
        <v>0</v>
      </c>
    </row>
    <row r="13" customFormat="false" ht="15" hidden="false" customHeight="false" outlineLevel="0" collapsed="false">
      <c r="A13" s="0" t="s">
        <v>70</v>
      </c>
      <c r="B13" s="0" t="s">
        <v>39</v>
      </c>
      <c r="C13" s="0" t="s">
        <v>71</v>
      </c>
      <c r="D13" s="0" t="s">
        <v>496</v>
      </c>
      <c r="E13" s="0" t="s">
        <v>575</v>
      </c>
      <c r="F13" s="0" t="n">
        <v>1</v>
      </c>
      <c r="G13" s="0" t="n">
        <v>66.3</v>
      </c>
      <c r="H13" s="0" t="n">
        <v>66.3</v>
      </c>
      <c r="I13" s="0" t="n">
        <f aca="false">IF(ABS(ROUND(F13*G13,2)-H13)&lt;=0.01,1,0)</f>
        <v>1</v>
      </c>
      <c r="J13" s="0" t="n">
        <v>0</v>
      </c>
    </row>
    <row r="14" customFormat="false" ht="15" hidden="false" customHeight="false" outlineLevel="0" collapsed="false">
      <c r="A14" s="0" t="s">
        <v>73</v>
      </c>
      <c r="B14" s="0" t="s">
        <v>39</v>
      </c>
      <c r="C14" s="0" t="s">
        <v>75</v>
      </c>
      <c r="D14" s="0" t="s">
        <v>496</v>
      </c>
      <c r="E14" s="0" t="s">
        <v>575</v>
      </c>
      <c r="F14" s="0" t="n">
        <v>1</v>
      </c>
      <c r="G14" s="0" t="n">
        <v>38</v>
      </c>
      <c r="H14" s="0" t="n">
        <v>38</v>
      </c>
      <c r="I14" s="0" t="n">
        <f aca="false">IF(ABS(ROUND(F14*G14,2)-H14)&lt;=0.01,1,0)</f>
        <v>1</v>
      </c>
      <c r="J14" s="0" t="n">
        <v>0</v>
      </c>
    </row>
    <row r="15" customFormat="false" ht="15" hidden="false" customHeight="false" outlineLevel="0" collapsed="false">
      <c r="A15" s="0" t="s">
        <v>77</v>
      </c>
      <c r="B15" s="0" t="s">
        <v>39</v>
      </c>
      <c r="C15" s="0" t="s">
        <v>78</v>
      </c>
      <c r="D15" s="0" t="s">
        <v>498</v>
      </c>
      <c r="E15" s="0" t="s">
        <v>577</v>
      </c>
      <c r="F15" s="0" t="n">
        <v>1</v>
      </c>
      <c r="G15" s="0" t="n">
        <v>18.7</v>
      </c>
      <c r="H15" s="0" t="n">
        <v>18.7</v>
      </c>
      <c r="I15" s="0" t="n">
        <f aca="false">IF(ABS(ROUND(F15*G15,2)-H15)&lt;=0.01,1,0)</f>
        <v>1</v>
      </c>
      <c r="J15" s="0" t="n">
        <v>0</v>
      </c>
    </row>
    <row r="16" customFormat="false" ht="15" hidden="false" customHeight="false" outlineLevel="0" collapsed="false">
      <c r="A16" s="0" t="s">
        <v>80</v>
      </c>
      <c r="B16" s="0" t="s">
        <v>39</v>
      </c>
      <c r="C16" s="0" t="s">
        <v>81</v>
      </c>
      <c r="D16" s="0" t="s">
        <v>491</v>
      </c>
      <c r="E16" s="0" t="s">
        <v>578</v>
      </c>
      <c r="F16" s="0" t="n">
        <v>1</v>
      </c>
      <c r="G16" s="0" t="n">
        <v>26.9</v>
      </c>
      <c r="H16" s="0" t="n">
        <v>26.9</v>
      </c>
      <c r="I16" s="0" t="n">
        <f aca="false">IF(ABS(ROUND(F16*G16,2)-H16)&lt;=0.01,1,0)</f>
        <v>1</v>
      </c>
      <c r="J16" s="0" t="n">
        <v>0</v>
      </c>
    </row>
    <row r="17" customFormat="false" ht="15" hidden="false" customHeight="false" outlineLevel="0" collapsed="false">
      <c r="A17" s="0" t="s">
        <v>83</v>
      </c>
      <c r="B17" s="0" t="s">
        <v>39</v>
      </c>
      <c r="C17" s="0" t="s">
        <v>84</v>
      </c>
      <c r="D17" s="0" t="s">
        <v>499</v>
      </c>
      <c r="E17" s="0" t="s">
        <v>575</v>
      </c>
      <c r="F17" s="0" t="n">
        <v>2</v>
      </c>
      <c r="G17" s="0" t="n">
        <v>35.8</v>
      </c>
      <c r="H17" s="0" t="n">
        <v>71.6</v>
      </c>
      <c r="I17" s="0" t="n">
        <f aca="false">IF(ABS(ROUND(F17*G17,2)-H17)&lt;=0.01,1,0)</f>
        <v>1</v>
      </c>
      <c r="J17" s="0" t="n">
        <v>0</v>
      </c>
    </row>
    <row r="18" customFormat="false" ht="15" hidden="false" customHeight="false" outlineLevel="0" collapsed="false">
      <c r="A18" s="0" t="s">
        <v>86</v>
      </c>
      <c r="B18" s="0" t="s">
        <v>39</v>
      </c>
      <c r="C18" s="0" t="s">
        <v>87</v>
      </c>
      <c r="D18" s="0" t="s">
        <v>500</v>
      </c>
      <c r="E18" s="0" t="s">
        <v>575</v>
      </c>
      <c r="F18" s="0" t="n">
        <v>2</v>
      </c>
      <c r="G18" s="0" t="n">
        <v>30.3</v>
      </c>
      <c r="H18" s="0" t="n">
        <v>60.6</v>
      </c>
      <c r="I18" s="0" t="n">
        <f aca="false">IF(ABS(ROUND(F18*G18,2)-H18)&lt;=0.01,1,0)</f>
        <v>1</v>
      </c>
      <c r="J18" s="0" t="n">
        <v>0</v>
      </c>
    </row>
    <row r="19" customFormat="false" ht="15" hidden="false" customHeight="false" outlineLevel="0" collapsed="false">
      <c r="A19" s="0" t="s">
        <v>89</v>
      </c>
      <c r="B19" s="0" t="s">
        <v>39</v>
      </c>
      <c r="C19" s="0" t="s">
        <v>90</v>
      </c>
      <c r="D19" s="0" t="s">
        <v>499</v>
      </c>
      <c r="E19" s="0" t="s">
        <v>575</v>
      </c>
      <c r="F19" s="0" t="n">
        <v>2</v>
      </c>
      <c r="G19" s="0" t="n">
        <v>64.4</v>
      </c>
      <c r="H19" s="0" t="n">
        <v>128.8</v>
      </c>
      <c r="I19" s="0" t="n">
        <f aca="false">IF(ABS(ROUND(F19*G19,2)-H19)&lt;=0.01,1,0)</f>
        <v>1</v>
      </c>
      <c r="J19" s="0" t="n">
        <v>0</v>
      </c>
    </row>
    <row r="20" customFormat="false" ht="15" hidden="false" customHeight="false" outlineLevel="0" collapsed="false">
      <c r="A20" s="0" t="s">
        <v>92</v>
      </c>
      <c r="B20" s="0" t="s">
        <v>39</v>
      </c>
      <c r="C20" s="0" t="s">
        <v>93</v>
      </c>
      <c r="D20" s="0" t="s">
        <v>502</v>
      </c>
      <c r="E20" s="0" t="s">
        <v>575</v>
      </c>
      <c r="F20" s="0" t="n">
        <v>5</v>
      </c>
      <c r="G20" s="0" t="n">
        <v>41.7</v>
      </c>
      <c r="H20" s="0" t="n">
        <v>208.5</v>
      </c>
      <c r="I20" s="0" t="n">
        <f aca="false">IF(ABS(ROUND(F20*G20,2)-H20)&lt;=0.01,1,0)</f>
        <v>1</v>
      </c>
      <c r="J20" s="0" t="n">
        <v>0</v>
      </c>
    </row>
    <row r="21" customFormat="false" ht="15" hidden="false" customHeight="false" outlineLevel="0" collapsed="false">
      <c r="A21" s="0" t="s">
        <v>95</v>
      </c>
      <c r="B21" s="0" t="s">
        <v>39</v>
      </c>
      <c r="C21" s="0" t="s">
        <v>96</v>
      </c>
      <c r="D21" s="0" t="s">
        <v>493</v>
      </c>
      <c r="E21" s="0" t="s">
        <v>579</v>
      </c>
      <c r="F21" s="0" t="n">
        <v>6</v>
      </c>
      <c r="G21" s="0" t="n">
        <v>30.7</v>
      </c>
      <c r="H21" s="0" t="n">
        <v>184.2</v>
      </c>
      <c r="I21" s="0" t="n">
        <f aca="false">IF(ABS(ROUND(F21*G21,2)-H21)&lt;=0.01,1,0)</f>
        <v>1</v>
      </c>
      <c r="J21" s="0" t="n">
        <v>0</v>
      </c>
    </row>
    <row r="22" customFormat="false" ht="15" hidden="false" customHeight="false" outlineLevel="0" collapsed="false">
      <c r="A22" s="0" t="s">
        <v>98</v>
      </c>
      <c r="B22" s="0" t="s">
        <v>39</v>
      </c>
      <c r="C22" s="0" t="s">
        <v>99</v>
      </c>
      <c r="D22" s="0" t="s">
        <v>503</v>
      </c>
      <c r="E22" s="0" t="s">
        <v>575</v>
      </c>
      <c r="F22" s="0" t="n">
        <v>2</v>
      </c>
      <c r="G22" s="0" t="n">
        <v>24.35</v>
      </c>
      <c r="H22" s="0" t="n">
        <v>48.7</v>
      </c>
      <c r="I22" s="0" t="n">
        <f aca="false">IF(ABS(ROUND(F22*G22,2)-H22)&lt;=0.01,1,0)</f>
        <v>1</v>
      </c>
      <c r="J22" s="0" t="n">
        <v>0</v>
      </c>
    </row>
    <row r="23" customFormat="false" ht="15" hidden="false" customHeight="false" outlineLevel="0" collapsed="false">
      <c r="A23" s="0" t="s">
        <v>101</v>
      </c>
      <c r="B23" s="0" t="s">
        <v>39</v>
      </c>
      <c r="C23" s="0" t="s">
        <v>102</v>
      </c>
      <c r="D23" s="0" t="s">
        <v>504</v>
      </c>
      <c r="E23" s="0" t="s">
        <v>577</v>
      </c>
      <c r="F23" s="0" t="n">
        <v>2</v>
      </c>
      <c r="G23" s="0" t="n">
        <v>23.5</v>
      </c>
      <c r="H23" s="0" t="n">
        <v>47</v>
      </c>
      <c r="I23" s="0" t="n">
        <f aca="false">IF(ABS(ROUND(F23*G23,2)-H23)&lt;=0.01,1,0)</f>
        <v>1</v>
      </c>
      <c r="J23" s="0" t="n">
        <v>0</v>
      </c>
    </row>
    <row r="24" customFormat="false" ht="15" hidden="false" customHeight="false" outlineLevel="0" collapsed="false">
      <c r="A24" s="0" t="s">
        <v>101</v>
      </c>
      <c r="B24" s="0" t="s">
        <v>39</v>
      </c>
      <c r="C24" s="0" t="s">
        <v>102</v>
      </c>
      <c r="D24" s="0" t="s">
        <v>504</v>
      </c>
      <c r="E24" s="0" t="s">
        <v>575</v>
      </c>
      <c r="F24" s="0" t="n">
        <v>1</v>
      </c>
      <c r="G24" s="0" t="n">
        <v>23.6</v>
      </c>
      <c r="H24" s="0" t="n">
        <v>23.6</v>
      </c>
      <c r="I24" s="0" t="n">
        <f aca="false">IF(ABS(ROUND(F24*G24,2)-H24)&lt;=0.01,1,0)</f>
        <v>1</v>
      </c>
      <c r="J24" s="0" t="n">
        <v>0</v>
      </c>
    </row>
    <row r="25" customFormat="false" ht="15" hidden="false" customHeight="false" outlineLevel="0" collapsed="false">
      <c r="A25" s="0" t="s">
        <v>104</v>
      </c>
      <c r="B25" s="0" t="s">
        <v>39</v>
      </c>
      <c r="C25" s="0" t="s">
        <v>106</v>
      </c>
      <c r="D25" s="0" t="s">
        <v>504</v>
      </c>
      <c r="E25" s="0" t="s">
        <v>577</v>
      </c>
      <c r="F25" s="0" t="n">
        <v>1</v>
      </c>
      <c r="G25" s="0" t="n">
        <v>22.9</v>
      </c>
      <c r="H25" s="0" t="n">
        <v>22.9</v>
      </c>
      <c r="I25" s="0" t="n">
        <f aca="false">IF(ABS(ROUND(F25*G25,2)-H25)&lt;=0.01,1,0)</f>
        <v>1</v>
      </c>
      <c r="J25" s="0" t="n">
        <v>0</v>
      </c>
    </row>
    <row r="26" customFormat="false" ht="15" hidden="false" customHeight="false" outlineLevel="0" collapsed="false">
      <c r="A26" s="0" t="s">
        <v>108</v>
      </c>
      <c r="B26" s="0" t="s">
        <v>39</v>
      </c>
      <c r="C26" s="0" t="s">
        <v>109</v>
      </c>
      <c r="D26" s="0" t="s">
        <v>485</v>
      </c>
      <c r="E26" s="0" t="s">
        <v>575</v>
      </c>
      <c r="F26" s="0" t="n">
        <v>2</v>
      </c>
      <c r="G26" s="0" t="n">
        <v>30.65</v>
      </c>
      <c r="H26" s="0" t="n">
        <v>61.3</v>
      </c>
      <c r="I26" s="0" t="n">
        <f aca="false">IF(ABS(ROUND(F26*G26,2)-H26)&lt;=0.01,1,0)</f>
        <v>1</v>
      </c>
      <c r="J26" s="0" t="n">
        <v>0</v>
      </c>
    </row>
    <row r="27" customFormat="false" ht="15" hidden="false" customHeight="false" outlineLevel="0" collapsed="false">
      <c r="A27" s="0" t="s">
        <v>111</v>
      </c>
      <c r="B27" s="0" t="s">
        <v>39</v>
      </c>
      <c r="C27" s="0" t="s">
        <v>112</v>
      </c>
      <c r="D27" s="0" t="s">
        <v>505</v>
      </c>
      <c r="E27" s="0" t="s">
        <v>575</v>
      </c>
      <c r="F27" s="0" t="n">
        <v>2</v>
      </c>
      <c r="G27" s="0" t="n">
        <v>30.9</v>
      </c>
      <c r="H27" s="0" t="n">
        <v>61.8</v>
      </c>
      <c r="I27" s="0" t="n">
        <f aca="false">IF(ABS(ROUND(F27*G27,2)-H27)&lt;=0.01,1,0)</f>
        <v>1</v>
      </c>
      <c r="J27" s="0" t="n">
        <v>0</v>
      </c>
    </row>
    <row r="28" customFormat="false" ht="15" hidden="false" customHeight="false" outlineLevel="0" collapsed="false">
      <c r="A28" s="0" t="s">
        <v>114</v>
      </c>
      <c r="B28" s="0" t="s">
        <v>39</v>
      </c>
      <c r="C28" s="0" t="s">
        <v>115</v>
      </c>
      <c r="D28" s="0" t="s">
        <v>489</v>
      </c>
      <c r="E28" s="0" t="s">
        <v>409</v>
      </c>
      <c r="F28" s="0" t="n">
        <v>2</v>
      </c>
      <c r="G28" s="0" t="n">
        <v>30.25</v>
      </c>
      <c r="H28" s="0" t="n">
        <v>60.5</v>
      </c>
      <c r="I28" s="0" t="n">
        <f aca="false">IF(ABS(ROUND(F28*G28,2)-H28)&lt;=0.01,1,0)</f>
        <v>1</v>
      </c>
      <c r="J28" s="0" t="n">
        <v>0</v>
      </c>
    </row>
    <row r="29" customFormat="false" ht="15" hidden="false" customHeight="false" outlineLevel="0" collapsed="false">
      <c r="A29" s="0" t="s">
        <v>117</v>
      </c>
      <c r="B29" s="0" t="s">
        <v>39</v>
      </c>
      <c r="C29" s="0" t="s">
        <v>118</v>
      </c>
      <c r="D29" s="0" t="s">
        <v>506</v>
      </c>
      <c r="E29" s="0" t="s">
        <v>580</v>
      </c>
      <c r="F29" s="0" t="n">
        <v>2</v>
      </c>
      <c r="G29" s="0" t="n">
        <v>24.95</v>
      </c>
      <c r="H29" s="0" t="n">
        <v>49.9</v>
      </c>
      <c r="I29" s="0" t="n">
        <f aca="false">IF(ABS(ROUND(F29*G29,2)-H29)&lt;=0.01,1,0)</f>
        <v>1</v>
      </c>
      <c r="J29" s="0" t="n">
        <v>0</v>
      </c>
    </row>
    <row r="30" customFormat="false" ht="15" hidden="false" customHeight="false" outlineLevel="0" collapsed="false">
      <c r="A30" s="0" t="s">
        <v>120</v>
      </c>
      <c r="B30" s="0" t="s">
        <v>39</v>
      </c>
      <c r="C30" s="0" t="s">
        <v>121</v>
      </c>
      <c r="D30" s="0" t="s">
        <v>488</v>
      </c>
      <c r="E30" s="0" t="s">
        <v>575</v>
      </c>
      <c r="F30" s="0" t="n">
        <v>1</v>
      </c>
      <c r="G30" s="0" t="n">
        <v>21.6</v>
      </c>
      <c r="H30" s="0" t="n">
        <v>21.6</v>
      </c>
      <c r="I30" s="0" t="n">
        <f aca="false">IF(ABS(ROUND(F30*G30,2)-H30)&lt;=0.01,1,0)</f>
        <v>1</v>
      </c>
      <c r="J30" s="0" t="n">
        <v>0</v>
      </c>
    </row>
    <row r="31" customFormat="false" ht="15" hidden="false" customHeight="false" outlineLevel="0" collapsed="false">
      <c r="A31" s="0" t="s">
        <v>123</v>
      </c>
      <c r="B31" s="0" t="s">
        <v>39</v>
      </c>
      <c r="C31" s="0" t="s">
        <v>124</v>
      </c>
      <c r="D31" s="0" t="s">
        <v>489</v>
      </c>
      <c r="E31" s="0" t="s">
        <v>575</v>
      </c>
      <c r="F31" s="0" t="n">
        <v>2</v>
      </c>
      <c r="G31" s="0" t="n">
        <v>57.95</v>
      </c>
      <c r="H31" s="0" t="n">
        <v>115.9</v>
      </c>
      <c r="I31" s="0" t="n">
        <f aca="false">IF(ABS(ROUND(F31*G31,2)-H31)&lt;=0.01,1,0)</f>
        <v>1</v>
      </c>
      <c r="J31" s="0" t="n">
        <v>0</v>
      </c>
    </row>
    <row r="32" customFormat="false" ht="15" hidden="false" customHeight="false" outlineLevel="0" collapsed="false">
      <c r="A32" s="0" t="s">
        <v>126</v>
      </c>
      <c r="B32" s="0" t="s">
        <v>39</v>
      </c>
      <c r="C32" s="0" t="s">
        <v>127</v>
      </c>
      <c r="D32" s="0" t="s">
        <v>508</v>
      </c>
      <c r="E32" s="0" t="s">
        <v>409</v>
      </c>
      <c r="F32" s="0" t="n">
        <v>2</v>
      </c>
      <c r="G32" s="0" t="n">
        <v>29.6</v>
      </c>
      <c r="H32" s="0" t="n">
        <v>59.2</v>
      </c>
      <c r="I32" s="0" t="n">
        <f aca="false">IF(ABS(ROUND(F32*G32,2)-H32)&lt;=0.01,1,0)</f>
        <v>1</v>
      </c>
      <c r="J32" s="0" t="n">
        <v>0</v>
      </c>
    </row>
    <row r="33" customFormat="false" ht="15" hidden="false" customHeight="false" outlineLevel="0" collapsed="false">
      <c r="A33" s="0" t="s">
        <v>129</v>
      </c>
      <c r="B33" s="0" t="s">
        <v>39</v>
      </c>
      <c r="C33" s="0" t="s">
        <v>130</v>
      </c>
      <c r="D33" s="0" t="s">
        <v>509</v>
      </c>
      <c r="E33" s="0" t="s">
        <v>575</v>
      </c>
      <c r="F33" s="0" t="n">
        <v>3</v>
      </c>
      <c r="G33" s="0" t="n">
        <v>50</v>
      </c>
      <c r="H33" s="0" t="n">
        <v>150</v>
      </c>
      <c r="I33" s="0" t="n">
        <f aca="false">IF(ABS(ROUND(F33*G33,2)-H33)&lt;=0.01,1,0)</f>
        <v>1</v>
      </c>
      <c r="J33" s="0" t="n">
        <v>0</v>
      </c>
    </row>
    <row r="34" customFormat="false" ht="15" hidden="false" customHeight="false" outlineLevel="0" collapsed="false">
      <c r="A34" s="0" t="s">
        <v>129</v>
      </c>
      <c r="B34" s="0" t="s">
        <v>39</v>
      </c>
      <c r="C34" s="0" t="s">
        <v>130</v>
      </c>
      <c r="D34" s="0" t="s">
        <v>509</v>
      </c>
      <c r="E34" s="0" t="s">
        <v>575</v>
      </c>
      <c r="F34" s="0" t="n">
        <v>1</v>
      </c>
      <c r="G34" s="0" t="n">
        <v>52.1</v>
      </c>
      <c r="H34" s="0" t="n">
        <v>52.1</v>
      </c>
      <c r="I34" s="0" t="n">
        <f aca="false">IF(ABS(ROUND(F34*G34,2)-H34)&lt;=0.01,1,0)</f>
        <v>1</v>
      </c>
      <c r="J34" s="0" t="n">
        <v>0</v>
      </c>
    </row>
    <row r="35" customFormat="false" ht="15" hidden="false" customHeight="false" outlineLevel="0" collapsed="false">
      <c r="A35" s="0" t="s">
        <v>132</v>
      </c>
      <c r="B35" s="0" t="s">
        <v>39</v>
      </c>
      <c r="C35" s="0" t="s">
        <v>133</v>
      </c>
      <c r="D35" s="0" t="s">
        <v>506</v>
      </c>
      <c r="E35" s="0" t="s">
        <v>579</v>
      </c>
      <c r="F35" s="0" t="n">
        <v>2</v>
      </c>
      <c r="G35" s="0" t="n">
        <v>35.95</v>
      </c>
      <c r="H35" s="0" t="n">
        <v>71.9</v>
      </c>
      <c r="I35" s="0" t="n">
        <f aca="false">IF(ABS(ROUND(F35*G35,2)-H35)&lt;=0.01,1,0)</f>
        <v>1</v>
      </c>
      <c r="J35" s="0" t="n">
        <v>0</v>
      </c>
    </row>
    <row r="36" customFormat="false" ht="15" hidden="false" customHeight="false" outlineLevel="0" collapsed="false">
      <c r="A36" s="0" t="s">
        <v>135</v>
      </c>
      <c r="B36" s="0" t="s">
        <v>136</v>
      </c>
      <c r="C36" s="0" t="s">
        <v>137</v>
      </c>
      <c r="D36" s="0" t="s">
        <v>510</v>
      </c>
      <c r="E36" s="0" t="s">
        <v>344</v>
      </c>
      <c r="F36" s="0" t="n">
        <v>0.5</v>
      </c>
      <c r="G36" s="0" t="n">
        <v>7.8</v>
      </c>
      <c r="H36" s="0" t="n">
        <v>3.9</v>
      </c>
      <c r="I36" s="0" t="n">
        <f aca="false">IF(ABS(ROUND(F36*G36,2)-H36)&lt;=0.01,1,0)</f>
        <v>1</v>
      </c>
      <c r="J36" s="0" t="n">
        <v>1</v>
      </c>
    </row>
    <row r="37" customFormat="false" ht="15" hidden="false" customHeight="false" outlineLevel="0" collapsed="false">
      <c r="A37" s="0" t="s">
        <v>135</v>
      </c>
      <c r="B37" s="0" t="s">
        <v>136</v>
      </c>
      <c r="C37" s="0" t="s">
        <v>137</v>
      </c>
      <c r="D37" s="0" t="s">
        <v>510</v>
      </c>
      <c r="E37" s="0" t="s">
        <v>382</v>
      </c>
      <c r="F37" s="0" t="n">
        <v>0.5</v>
      </c>
      <c r="G37" s="0" t="n">
        <v>3.9</v>
      </c>
      <c r="H37" s="0" t="n">
        <v>1.95</v>
      </c>
      <c r="I37" s="0" t="n">
        <f aca="false">IF(ABS(ROUND(F37*G37,2)-H37)&lt;=0.01,1,0)</f>
        <v>1</v>
      </c>
      <c r="J37" s="0" t="n">
        <v>1</v>
      </c>
    </row>
    <row r="38" customFormat="false" ht="15" hidden="false" customHeight="false" outlineLevel="0" collapsed="false">
      <c r="A38" s="0" t="s">
        <v>135</v>
      </c>
      <c r="B38" s="0" t="s">
        <v>136</v>
      </c>
      <c r="C38" s="0" t="s">
        <v>137</v>
      </c>
      <c r="D38" s="0" t="s">
        <v>510</v>
      </c>
      <c r="E38" s="0" t="s">
        <v>430</v>
      </c>
      <c r="F38" s="0" t="n">
        <v>1</v>
      </c>
      <c r="G38" s="0" t="n">
        <v>19.9</v>
      </c>
      <c r="H38" s="0" t="n">
        <v>19.9</v>
      </c>
      <c r="I38" s="0" t="n">
        <f aca="false">IF(ABS(ROUND(F38*G38,2)-H38)&lt;=0.01,1,0)</f>
        <v>1</v>
      </c>
      <c r="J38" s="0" t="n">
        <v>0</v>
      </c>
    </row>
    <row r="39" customFormat="false" ht="15" hidden="false" customHeight="false" outlineLevel="0" collapsed="false">
      <c r="A39" s="0" t="s">
        <v>135</v>
      </c>
      <c r="B39" s="0" t="s">
        <v>136</v>
      </c>
      <c r="C39" s="0" t="s">
        <v>137</v>
      </c>
      <c r="D39" s="0" t="s">
        <v>510</v>
      </c>
      <c r="E39" s="0" t="s">
        <v>355</v>
      </c>
      <c r="F39" s="0" t="n">
        <v>0.5</v>
      </c>
      <c r="G39" s="0" t="n">
        <v>3.9</v>
      </c>
      <c r="H39" s="0" t="n">
        <v>1.95</v>
      </c>
      <c r="I39" s="0" t="n">
        <f aca="false">IF(ABS(ROUND(F39*G39,2)-H39)&lt;=0.01,1,0)</f>
        <v>1</v>
      </c>
      <c r="J39" s="0" t="n">
        <v>1</v>
      </c>
    </row>
    <row r="40" customFormat="false" ht="15" hidden="false" customHeight="false" outlineLevel="0" collapsed="false">
      <c r="A40" s="0" t="s">
        <v>135</v>
      </c>
      <c r="B40" s="0" t="s">
        <v>136</v>
      </c>
      <c r="C40" s="0" t="s">
        <v>137</v>
      </c>
      <c r="D40" s="0" t="s">
        <v>510</v>
      </c>
      <c r="E40" s="0" t="s">
        <v>343</v>
      </c>
      <c r="F40" s="0" t="n">
        <v>0.5</v>
      </c>
      <c r="G40" s="0" t="n">
        <v>4.7</v>
      </c>
      <c r="H40" s="0" t="n">
        <v>2.35</v>
      </c>
      <c r="I40" s="0" t="n">
        <f aca="false">IF(ABS(ROUND(F40*G40,2)-H40)&lt;=0.01,1,0)</f>
        <v>1</v>
      </c>
      <c r="J40" s="0" t="n">
        <v>1</v>
      </c>
    </row>
    <row r="41" customFormat="false" ht="15" hidden="false" customHeight="false" outlineLevel="0" collapsed="false">
      <c r="A41" s="0" t="s">
        <v>135</v>
      </c>
      <c r="B41" s="0" t="s">
        <v>136</v>
      </c>
      <c r="C41" s="0" t="s">
        <v>137</v>
      </c>
      <c r="D41" s="0" t="s">
        <v>510</v>
      </c>
      <c r="E41" s="0" t="s">
        <v>345</v>
      </c>
      <c r="F41" s="0" t="n">
        <v>0.5</v>
      </c>
      <c r="G41" s="0" t="n">
        <v>8.7</v>
      </c>
      <c r="H41" s="0" t="n">
        <v>4.35</v>
      </c>
      <c r="I41" s="0" t="n">
        <f aca="false">IF(ABS(ROUND(F41*G41,2)-H41)&lt;=0.01,1,0)</f>
        <v>1</v>
      </c>
      <c r="J41" s="0" t="n">
        <v>1</v>
      </c>
    </row>
    <row r="42" customFormat="false" ht="15" hidden="false" customHeight="false" outlineLevel="0" collapsed="false">
      <c r="A42" s="0" t="s">
        <v>135</v>
      </c>
      <c r="B42" s="0" t="s">
        <v>136</v>
      </c>
      <c r="C42" s="0" t="s">
        <v>137</v>
      </c>
      <c r="D42" s="0" t="s">
        <v>505</v>
      </c>
      <c r="E42" s="0" t="s">
        <v>344</v>
      </c>
      <c r="F42" s="0" t="n">
        <v>0.5</v>
      </c>
      <c r="G42" s="0" t="n">
        <v>7.8</v>
      </c>
      <c r="H42" s="0" t="n">
        <v>3.9</v>
      </c>
      <c r="I42" s="0" t="n">
        <f aca="false">IF(ABS(ROUND(F42*G42,2)-H42)&lt;=0.01,1,0)</f>
        <v>1</v>
      </c>
      <c r="J42" s="0" t="n">
        <v>1</v>
      </c>
    </row>
    <row r="43" customFormat="false" ht="15" hidden="false" customHeight="false" outlineLevel="0" collapsed="false">
      <c r="A43" s="0" t="s">
        <v>135</v>
      </c>
      <c r="B43" s="0" t="s">
        <v>136</v>
      </c>
      <c r="C43" s="0" t="s">
        <v>137</v>
      </c>
      <c r="D43" s="0" t="s">
        <v>505</v>
      </c>
      <c r="E43" s="0" t="s">
        <v>382</v>
      </c>
      <c r="F43" s="0" t="n">
        <v>0.5</v>
      </c>
      <c r="G43" s="0" t="n">
        <v>3.9</v>
      </c>
      <c r="H43" s="0" t="n">
        <v>1.95</v>
      </c>
      <c r="I43" s="0" t="n">
        <f aca="false">IF(ABS(ROUND(F43*G43,2)-H43)&lt;=0.01,1,0)</f>
        <v>1</v>
      </c>
      <c r="J43" s="0" t="n">
        <v>1</v>
      </c>
    </row>
    <row r="44" customFormat="false" ht="15" hidden="false" customHeight="false" outlineLevel="0" collapsed="false">
      <c r="A44" s="0" t="s">
        <v>135</v>
      </c>
      <c r="B44" s="0" t="s">
        <v>136</v>
      </c>
      <c r="C44" s="0" t="s">
        <v>137</v>
      </c>
      <c r="D44" s="0" t="s">
        <v>505</v>
      </c>
      <c r="E44" s="0" t="s">
        <v>430</v>
      </c>
      <c r="F44" s="0" t="n">
        <v>1</v>
      </c>
      <c r="G44" s="0" t="n">
        <v>19.9</v>
      </c>
      <c r="H44" s="0" t="n">
        <v>19.9</v>
      </c>
      <c r="I44" s="0" t="n">
        <f aca="false">IF(ABS(ROUND(F44*G44,2)-H44)&lt;=0.01,1,0)</f>
        <v>1</v>
      </c>
      <c r="J44" s="0" t="n">
        <v>0</v>
      </c>
    </row>
    <row r="45" customFormat="false" ht="15" hidden="false" customHeight="false" outlineLevel="0" collapsed="false">
      <c r="A45" s="0" t="s">
        <v>135</v>
      </c>
      <c r="B45" s="0" t="s">
        <v>136</v>
      </c>
      <c r="C45" s="0" t="s">
        <v>137</v>
      </c>
      <c r="D45" s="0" t="s">
        <v>505</v>
      </c>
      <c r="E45" s="0" t="s">
        <v>355</v>
      </c>
      <c r="F45" s="0" t="n">
        <v>0.5</v>
      </c>
      <c r="G45" s="0" t="n">
        <v>3.9</v>
      </c>
      <c r="H45" s="0" t="n">
        <v>1.95</v>
      </c>
      <c r="I45" s="0" t="n">
        <f aca="false">IF(ABS(ROUND(F45*G45,2)-H45)&lt;=0.01,1,0)</f>
        <v>1</v>
      </c>
      <c r="J45" s="0" t="n">
        <v>1</v>
      </c>
    </row>
    <row r="46" customFormat="false" ht="15" hidden="false" customHeight="false" outlineLevel="0" collapsed="false">
      <c r="A46" s="0" t="s">
        <v>135</v>
      </c>
      <c r="B46" s="0" t="s">
        <v>136</v>
      </c>
      <c r="C46" s="0" t="s">
        <v>137</v>
      </c>
      <c r="D46" s="0" t="s">
        <v>505</v>
      </c>
      <c r="E46" s="0" t="s">
        <v>343</v>
      </c>
      <c r="F46" s="0" t="n">
        <v>0.5</v>
      </c>
      <c r="G46" s="0" t="n">
        <v>4.7</v>
      </c>
      <c r="H46" s="0" t="n">
        <v>2.35</v>
      </c>
      <c r="I46" s="0" t="n">
        <f aca="false">IF(ABS(ROUND(F46*G46,2)-H46)&lt;=0.01,1,0)</f>
        <v>1</v>
      </c>
      <c r="J46" s="0" t="n">
        <v>1</v>
      </c>
    </row>
    <row r="47" customFormat="false" ht="15" hidden="false" customHeight="false" outlineLevel="0" collapsed="false">
      <c r="A47" s="0" t="s">
        <v>135</v>
      </c>
      <c r="B47" s="0" t="s">
        <v>136</v>
      </c>
      <c r="C47" s="0" t="s">
        <v>137</v>
      </c>
      <c r="D47" s="0" t="s">
        <v>505</v>
      </c>
      <c r="E47" s="0" t="s">
        <v>345</v>
      </c>
      <c r="F47" s="0" t="n">
        <v>0.5</v>
      </c>
      <c r="G47" s="0" t="n">
        <v>8.7</v>
      </c>
      <c r="H47" s="0" t="n">
        <v>4.35</v>
      </c>
      <c r="I47" s="0" t="n">
        <f aca="false">IF(ABS(ROUND(F47*G47,2)-H47)&lt;=0.01,1,0)</f>
        <v>1</v>
      </c>
      <c r="J47" s="0" t="n">
        <v>1</v>
      </c>
    </row>
    <row r="48" customFormat="false" ht="15" hidden="false" customHeight="false" outlineLevel="0" collapsed="false">
      <c r="A48" s="0" t="s">
        <v>139</v>
      </c>
      <c r="B48" s="0" t="s">
        <v>136</v>
      </c>
      <c r="C48" s="0" t="s">
        <v>140</v>
      </c>
      <c r="D48" s="0" t="s">
        <v>512</v>
      </c>
      <c r="E48" s="0" t="s">
        <v>405</v>
      </c>
      <c r="F48" s="0" t="n">
        <v>0.5</v>
      </c>
      <c r="G48" s="0" t="n">
        <v>4.9</v>
      </c>
      <c r="H48" s="0" t="n">
        <v>2.45</v>
      </c>
      <c r="I48" s="0" t="n">
        <f aca="false">IF(ABS(ROUND(F48*G48,2)-H48)&lt;=0.01,1,0)</f>
        <v>1</v>
      </c>
      <c r="J48" s="0" t="n">
        <v>0</v>
      </c>
    </row>
    <row r="49" customFormat="false" ht="15" hidden="false" customHeight="false" outlineLevel="0" collapsed="false">
      <c r="A49" s="0" t="s">
        <v>139</v>
      </c>
      <c r="B49" s="0" t="s">
        <v>136</v>
      </c>
      <c r="C49" s="0" t="s">
        <v>140</v>
      </c>
      <c r="D49" s="0" t="s">
        <v>512</v>
      </c>
      <c r="E49" s="0" t="s">
        <v>581</v>
      </c>
      <c r="F49" s="0" t="n">
        <v>0.5</v>
      </c>
      <c r="G49" s="0" t="n">
        <v>3.9</v>
      </c>
      <c r="H49" s="0" t="n">
        <v>1.95</v>
      </c>
      <c r="I49" s="0" t="n">
        <f aca="false">IF(ABS(ROUND(F49*G49,2)-H49)&lt;=0.01,1,0)</f>
        <v>1</v>
      </c>
      <c r="J49" s="0" t="n">
        <v>0</v>
      </c>
    </row>
    <row r="50" customFormat="false" ht="15" hidden="false" customHeight="false" outlineLevel="0" collapsed="false">
      <c r="A50" s="0" t="s">
        <v>139</v>
      </c>
      <c r="B50" s="0" t="s">
        <v>136</v>
      </c>
      <c r="C50" s="0" t="s">
        <v>140</v>
      </c>
      <c r="D50" s="0" t="s">
        <v>512</v>
      </c>
      <c r="E50" s="0" t="s">
        <v>347</v>
      </c>
      <c r="F50" s="0" t="n">
        <v>0.5</v>
      </c>
      <c r="G50" s="0" t="n">
        <v>3.8</v>
      </c>
      <c r="H50" s="0" t="n">
        <v>1.9</v>
      </c>
      <c r="I50" s="0" t="n">
        <f aca="false">IF(ABS(ROUND(F50*G50,2)-H50)&lt;=0.01,1,0)</f>
        <v>1</v>
      </c>
      <c r="J50" s="0" t="n">
        <v>1</v>
      </c>
    </row>
    <row r="51" customFormat="false" ht="15" hidden="false" customHeight="false" outlineLevel="0" collapsed="false">
      <c r="A51" s="0" t="s">
        <v>139</v>
      </c>
      <c r="B51" s="0" t="s">
        <v>136</v>
      </c>
      <c r="C51" s="0" t="s">
        <v>140</v>
      </c>
      <c r="D51" s="0" t="s">
        <v>512</v>
      </c>
      <c r="E51" s="0" t="s">
        <v>395</v>
      </c>
      <c r="F51" s="0" t="n">
        <v>0.5</v>
      </c>
      <c r="G51" s="0" t="n">
        <v>4.9</v>
      </c>
      <c r="H51" s="0" t="n">
        <v>2.45</v>
      </c>
      <c r="I51" s="0" t="n">
        <f aca="false">IF(ABS(ROUND(F51*G51,2)-H51)&lt;=0.01,1,0)</f>
        <v>1</v>
      </c>
      <c r="J51" s="0" t="n">
        <v>0</v>
      </c>
    </row>
    <row r="52" customFormat="false" ht="15" hidden="false" customHeight="false" outlineLevel="0" collapsed="false">
      <c r="A52" s="0" t="s">
        <v>139</v>
      </c>
      <c r="B52" s="0" t="s">
        <v>136</v>
      </c>
      <c r="C52" s="0" t="s">
        <v>140</v>
      </c>
      <c r="D52" s="0" t="s">
        <v>512</v>
      </c>
      <c r="E52" s="0" t="s">
        <v>582</v>
      </c>
      <c r="F52" s="0" t="n">
        <v>0.5</v>
      </c>
      <c r="G52" s="0" t="n">
        <v>8.9</v>
      </c>
      <c r="H52" s="0" t="n">
        <v>4.45</v>
      </c>
      <c r="I52" s="0" t="n">
        <f aca="false">IF(ABS(ROUND(F52*G52,2)-H52)&lt;=0.01,1,0)</f>
        <v>1</v>
      </c>
      <c r="J52" s="0" t="n">
        <v>0</v>
      </c>
    </row>
    <row r="53" customFormat="false" ht="15" hidden="false" customHeight="false" outlineLevel="0" collapsed="false">
      <c r="A53" s="0" t="s">
        <v>139</v>
      </c>
      <c r="B53" s="0" t="s">
        <v>136</v>
      </c>
      <c r="C53" s="0" t="s">
        <v>140</v>
      </c>
      <c r="D53" s="0" t="s">
        <v>512</v>
      </c>
      <c r="E53" s="0" t="s">
        <v>350</v>
      </c>
      <c r="F53" s="0" t="n">
        <v>0.5</v>
      </c>
      <c r="G53" s="0" t="n">
        <v>16.9</v>
      </c>
      <c r="H53" s="0" t="n">
        <v>8.45</v>
      </c>
      <c r="I53" s="0" t="n">
        <f aca="false">IF(ABS(ROUND(F53*G53,2)-H53)&lt;=0.01,1,0)</f>
        <v>1</v>
      </c>
      <c r="J53" s="0" t="n">
        <v>1</v>
      </c>
    </row>
    <row r="54" customFormat="false" ht="15" hidden="false" customHeight="false" outlineLevel="0" collapsed="false">
      <c r="A54" s="0" t="s">
        <v>139</v>
      </c>
      <c r="B54" s="0" t="s">
        <v>136</v>
      </c>
      <c r="C54" s="0" t="s">
        <v>140</v>
      </c>
      <c r="D54" s="0" t="s">
        <v>512</v>
      </c>
      <c r="E54" s="0" t="s">
        <v>351</v>
      </c>
      <c r="F54" s="0" t="n">
        <v>0.5</v>
      </c>
      <c r="G54" s="0" t="n">
        <v>17.6</v>
      </c>
      <c r="H54" s="0" t="n">
        <v>8.8</v>
      </c>
      <c r="I54" s="0" t="n">
        <f aca="false">IF(ABS(ROUND(F54*G54,2)-H54)&lt;=0.01,1,0)</f>
        <v>1</v>
      </c>
      <c r="J54" s="0" t="n">
        <v>1</v>
      </c>
    </row>
    <row r="55" customFormat="false" ht="15" hidden="false" customHeight="false" outlineLevel="0" collapsed="false">
      <c r="A55" s="0" t="s">
        <v>139</v>
      </c>
      <c r="B55" s="0" t="s">
        <v>136</v>
      </c>
      <c r="C55" s="0" t="s">
        <v>140</v>
      </c>
      <c r="D55" s="0" t="s">
        <v>512</v>
      </c>
      <c r="E55" s="0" t="s">
        <v>583</v>
      </c>
      <c r="F55" s="0" t="n">
        <v>0.5</v>
      </c>
      <c r="G55" s="0" t="n">
        <v>21.6</v>
      </c>
      <c r="H55" s="0" t="n">
        <v>10.8</v>
      </c>
      <c r="I55" s="0" t="n">
        <f aca="false">IF(ABS(ROUND(F55*G55,2)-H55)&lt;=0.01,1,0)</f>
        <v>1</v>
      </c>
      <c r="J55" s="0" t="n">
        <v>0</v>
      </c>
    </row>
    <row r="56" customFormat="false" ht="15" hidden="false" customHeight="false" outlineLevel="0" collapsed="false">
      <c r="A56" s="0" t="s">
        <v>139</v>
      </c>
      <c r="B56" s="0" t="s">
        <v>136</v>
      </c>
      <c r="C56" s="0" t="s">
        <v>140</v>
      </c>
      <c r="D56" s="0" t="s">
        <v>512</v>
      </c>
      <c r="E56" s="0" t="s">
        <v>349</v>
      </c>
      <c r="F56" s="0" t="n">
        <v>0.5</v>
      </c>
      <c r="G56" s="0" t="n">
        <v>9.8</v>
      </c>
      <c r="H56" s="0" t="n">
        <v>4.9</v>
      </c>
      <c r="I56" s="0" t="n">
        <f aca="false">IF(ABS(ROUND(F56*G56,2)-H56)&lt;=0.01,1,0)</f>
        <v>1</v>
      </c>
      <c r="J56" s="0" t="n">
        <v>1</v>
      </c>
    </row>
    <row r="57" customFormat="false" ht="15" hidden="false" customHeight="false" outlineLevel="0" collapsed="false">
      <c r="A57" s="0" t="s">
        <v>139</v>
      </c>
      <c r="B57" s="0" t="s">
        <v>136</v>
      </c>
      <c r="C57" s="0" t="s">
        <v>140</v>
      </c>
      <c r="D57" s="0" t="s">
        <v>512</v>
      </c>
      <c r="E57" s="0" t="s">
        <v>584</v>
      </c>
      <c r="F57" s="0" t="n">
        <v>0.5</v>
      </c>
      <c r="G57" s="0" t="n">
        <v>5.9</v>
      </c>
      <c r="H57" s="0" t="n">
        <v>2.95</v>
      </c>
      <c r="I57" s="0" t="n">
        <f aca="false">IF(ABS(ROUND(F57*G57,2)-H57)&lt;=0.01,1,0)</f>
        <v>1</v>
      </c>
      <c r="J57" s="0" t="n">
        <v>0</v>
      </c>
    </row>
    <row r="58" customFormat="false" ht="15" hidden="false" customHeight="false" outlineLevel="0" collapsed="false">
      <c r="A58" s="0" t="s">
        <v>139</v>
      </c>
      <c r="B58" s="0" t="s">
        <v>136</v>
      </c>
      <c r="C58" s="0" t="s">
        <v>140</v>
      </c>
      <c r="D58" s="0" t="s">
        <v>512</v>
      </c>
      <c r="E58" s="0" t="s">
        <v>585</v>
      </c>
      <c r="F58" s="0" t="n">
        <v>0.5</v>
      </c>
      <c r="G58" s="0" t="n">
        <v>8.7</v>
      </c>
      <c r="H58" s="0" t="n">
        <v>4.35</v>
      </c>
      <c r="I58" s="0" t="n">
        <f aca="false">IF(ABS(ROUND(F58*G58,2)-H58)&lt;=0.01,1,0)</f>
        <v>1</v>
      </c>
      <c r="J58" s="0" t="n">
        <v>0</v>
      </c>
    </row>
    <row r="59" customFormat="false" ht="15" hidden="false" customHeight="false" outlineLevel="0" collapsed="false">
      <c r="A59" s="0" t="s">
        <v>139</v>
      </c>
      <c r="B59" s="0" t="s">
        <v>136</v>
      </c>
      <c r="C59" s="0" t="s">
        <v>140</v>
      </c>
      <c r="D59" s="0" t="s">
        <v>512</v>
      </c>
      <c r="E59" s="0" t="s">
        <v>366</v>
      </c>
      <c r="F59" s="0" t="n">
        <v>1.5</v>
      </c>
      <c r="G59" s="0" t="n">
        <v>2.2</v>
      </c>
      <c r="H59" s="0" t="n">
        <v>3.3</v>
      </c>
      <c r="I59" s="0" t="n">
        <f aca="false">IF(ABS(ROUND(F59*G59,2)-H59)&lt;=0.01,1,0)</f>
        <v>1</v>
      </c>
      <c r="J59" s="0" t="n">
        <v>0</v>
      </c>
    </row>
    <row r="60" customFormat="false" ht="15" hidden="false" customHeight="false" outlineLevel="0" collapsed="false">
      <c r="A60" s="0" t="s">
        <v>139</v>
      </c>
      <c r="B60" s="0" t="s">
        <v>136</v>
      </c>
      <c r="C60" s="0" t="s">
        <v>140</v>
      </c>
      <c r="D60" s="0" t="s">
        <v>510</v>
      </c>
      <c r="E60" s="0" t="s">
        <v>405</v>
      </c>
      <c r="F60" s="0" t="n">
        <v>0.5</v>
      </c>
      <c r="G60" s="0" t="n">
        <v>4.9</v>
      </c>
      <c r="H60" s="0" t="n">
        <v>2.45</v>
      </c>
      <c r="I60" s="0" t="n">
        <f aca="false">IF(ABS(ROUND(F60*G60,2)-H60)&lt;=0.01,1,0)</f>
        <v>1</v>
      </c>
      <c r="J60" s="0" t="n">
        <v>0</v>
      </c>
    </row>
    <row r="61" customFormat="false" ht="15" hidden="false" customHeight="false" outlineLevel="0" collapsed="false">
      <c r="A61" s="0" t="s">
        <v>139</v>
      </c>
      <c r="B61" s="0" t="s">
        <v>136</v>
      </c>
      <c r="C61" s="0" t="s">
        <v>140</v>
      </c>
      <c r="D61" s="0" t="s">
        <v>510</v>
      </c>
      <c r="E61" s="0" t="s">
        <v>581</v>
      </c>
      <c r="F61" s="0" t="n">
        <v>0.5</v>
      </c>
      <c r="G61" s="0" t="n">
        <v>3.9</v>
      </c>
      <c r="H61" s="0" t="n">
        <v>1.95</v>
      </c>
      <c r="I61" s="0" t="n">
        <f aca="false">IF(ABS(ROUND(F61*G61,2)-H61)&lt;=0.01,1,0)</f>
        <v>1</v>
      </c>
      <c r="J61" s="0" t="n">
        <v>0</v>
      </c>
    </row>
    <row r="62" customFormat="false" ht="15" hidden="false" customHeight="false" outlineLevel="0" collapsed="false">
      <c r="A62" s="0" t="s">
        <v>139</v>
      </c>
      <c r="B62" s="0" t="s">
        <v>136</v>
      </c>
      <c r="C62" s="0" t="s">
        <v>140</v>
      </c>
      <c r="D62" s="0" t="s">
        <v>510</v>
      </c>
      <c r="E62" s="0" t="s">
        <v>347</v>
      </c>
      <c r="F62" s="0" t="n">
        <v>0.5</v>
      </c>
      <c r="G62" s="0" t="n">
        <v>3.8</v>
      </c>
      <c r="H62" s="0" t="n">
        <v>1.9</v>
      </c>
      <c r="I62" s="0" t="n">
        <f aca="false">IF(ABS(ROUND(F62*G62,2)-H62)&lt;=0.01,1,0)</f>
        <v>1</v>
      </c>
      <c r="J62" s="0" t="n">
        <v>1</v>
      </c>
    </row>
    <row r="63" customFormat="false" ht="15" hidden="false" customHeight="false" outlineLevel="0" collapsed="false">
      <c r="A63" s="0" t="s">
        <v>139</v>
      </c>
      <c r="B63" s="0" t="s">
        <v>136</v>
      </c>
      <c r="C63" s="0" t="s">
        <v>140</v>
      </c>
      <c r="D63" s="0" t="s">
        <v>510</v>
      </c>
      <c r="E63" s="0" t="s">
        <v>395</v>
      </c>
      <c r="F63" s="0" t="n">
        <v>0.5</v>
      </c>
      <c r="G63" s="0" t="n">
        <v>4.9</v>
      </c>
      <c r="H63" s="0" t="n">
        <v>2.45</v>
      </c>
      <c r="I63" s="0" t="n">
        <f aca="false">IF(ABS(ROUND(F63*G63,2)-H63)&lt;=0.01,1,0)</f>
        <v>1</v>
      </c>
      <c r="J63" s="0" t="n">
        <v>0</v>
      </c>
    </row>
    <row r="64" customFormat="false" ht="15" hidden="false" customHeight="false" outlineLevel="0" collapsed="false">
      <c r="A64" s="0" t="s">
        <v>139</v>
      </c>
      <c r="B64" s="0" t="s">
        <v>136</v>
      </c>
      <c r="C64" s="0" t="s">
        <v>140</v>
      </c>
      <c r="D64" s="0" t="s">
        <v>510</v>
      </c>
      <c r="E64" s="0" t="s">
        <v>582</v>
      </c>
      <c r="F64" s="0" t="n">
        <v>0.5</v>
      </c>
      <c r="G64" s="0" t="n">
        <v>8.9</v>
      </c>
      <c r="H64" s="0" t="n">
        <v>4.45</v>
      </c>
      <c r="I64" s="0" t="n">
        <f aca="false">IF(ABS(ROUND(F64*G64,2)-H64)&lt;=0.01,1,0)</f>
        <v>1</v>
      </c>
      <c r="J64" s="0" t="n">
        <v>0</v>
      </c>
    </row>
    <row r="65" customFormat="false" ht="15" hidden="false" customHeight="false" outlineLevel="0" collapsed="false">
      <c r="A65" s="0" t="s">
        <v>139</v>
      </c>
      <c r="B65" s="0" t="s">
        <v>136</v>
      </c>
      <c r="C65" s="0" t="s">
        <v>140</v>
      </c>
      <c r="D65" s="0" t="s">
        <v>510</v>
      </c>
      <c r="E65" s="0" t="s">
        <v>350</v>
      </c>
      <c r="F65" s="0" t="n">
        <v>0.5</v>
      </c>
      <c r="G65" s="0" t="n">
        <v>16.9</v>
      </c>
      <c r="H65" s="0" t="n">
        <v>8.45</v>
      </c>
      <c r="I65" s="0" t="n">
        <f aca="false">IF(ABS(ROUND(F65*G65,2)-H65)&lt;=0.01,1,0)</f>
        <v>1</v>
      </c>
      <c r="J65" s="0" t="n">
        <v>1</v>
      </c>
    </row>
    <row r="66" customFormat="false" ht="15" hidden="false" customHeight="false" outlineLevel="0" collapsed="false">
      <c r="A66" s="0" t="s">
        <v>139</v>
      </c>
      <c r="B66" s="0" t="s">
        <v>136</v>
      </c>
      <c r="C66" s="0" t="s">
        <v>140</v>
      </c>
      <c r="D66" s="0" t="s">
        <v>510</v>
      </c>
      <c r="E66" s="0" t="s">
        <v>351</v>
      </c>
      <c r="F66" s="0" t="n">
        <v>0.5</v>
      </c>
      <c r="G66" s="0" t="n">
        <v>17.6</v>
      </c>
      <c r="H66" s="0" t="n">
        <v>8.8</v>
      </c>
      <c r="I66" s="0" t="n">
        <f aca="false">IF(ABS(ROUND(F66*G66,2)-H66)&lt;=0.01,1,0)</f>
        <v>1</v>
      </c>
      <c r="J66" s="0" t="n">
        <v>1</v>
      </c>
    </row>
    <row r="67" customFormat="false" ht="15" hidden="false" customHeight="false" outlineLevel="0" collapsed="false">
      <c r="A67" s="0" t="s">
        <v>139</v>
      </c>
      <c r="B67" s="0" t="s">
        <v>136</v>
      </c>
      <c r="C67" s="0" t="s">
        <v>140</v>
      </c>
      <c r="D67" s="0" t="s">
        <v>510</v>
      </c>
      <c r="E67" s="0" t="s">
        <v>583</v>
      </c>
      <c r="F67" s="0" t="n">
        <v>0.5</v>
      </c>
      <c r="G67" s="0" t="n">
        <v>21.6</v>
      </c>
      <c r="H67" s="0" t="n">
        <v>10.8</v>
      </c>
      <c r="I67" s="0" t="n">
        <f aca="false">IF(ABS(ROUND(F67*G67,2)-H67)&lt;=0.01,1,0)</f>
        <v>1</v>
      </c>
      <c r="J67" s="0" t="n">
        <v>0</v>
      </c>
    </row>
    <row r="68" customFormat="false" ht="15" hidden="false" customHeight="false" outlineLevel="0" collapsed="false">
      <c r="A68" s="0" t="s">
        <v>139</v>
      </c>
      <c r="B68" s="0" t="s">
        <v>136</v>
      </c>
      <c r="C68" s="0" t="s">
        <v>140</v>
      </c>
      <c r="D68" s="0" t="s">
        <v>510</v>
      </c>
      <c r="E68" s="0" t="s">
        <v>349</v>
      </c>
      <c r="F68" s="0" t="n">
        <v>0.5</v>
      </c>
      <c r="G68" s="0" t="n">
        <v>9.8</v>
      </c>
      <c r="H68" s="0" t="n">
        <v>4.9</v>
      </c>
      <c r="I68" s="0" t="n">
        <f aca="false">IF(ABS(ROUND(F68*G68,2)-H68)&lt;=0.01,1,0)</f>
        <v>1</v>
      </c>
      <c r="J68" s="0" t="n">
        <v>1</v>
      </c>
    </row>
    <row r="69" customFormat="false" ht="15" hidden="false" customHeight="false" outlineLevel="0" collapsed="false">
      <c r="A69" s="0" t="s">
        <v>139</v>
      </c>
      <c r="B69" s="0" t="s">
        <v>136</v>
      </c>
      <c r="C69" s="0" t="s">
        <v>140</v>
      </c>
      <c r="D69" s="0" t="s">
        <v>510</v>
      </c>
      <c r="E69" s="0" t="s">
        <v>584</v>
      </c>
      <c r="F69" s="0" t="n">
        <v>0.5</v>
      </c>
      <c r="G69" s="0" t="n">
        <v>5.9</v>
      </c>
      <c r="H69" s="0" t="n">
        <v>2.95</v>
      </c>
      <c r="I69" s="0" t="n">
        <f aca="false">IF(ABS(ROUND(F69*G69,2)-H69)&lt;=0.01,1,0)</f>
        <v>1</v>
      </c>
      <c r="J69" s="0" t="n">
        <v>0</v>
      </c>
    </row>
    <row r="70" customFormat="false" ht="15" hidden="false" customHeight="false" outlineLevel="0" collapsed="false">
      <c r="A70" s="0" t="s">
        <v>139</v>
      </c>
      <c r="B70" s="0" t="s">
        <v>136</v>
      </c>
      <c r="C70" s="0" t="s">
        <v>140</v>
      </c>
      <c r="D70" s="0" t="s">
        <v>510</v>
      </c>
      <c r="E70" s="0" t="s">
        <v>585</v>
      </c>
      <c r="F70" s="0" t="n">
        <v>0.5</v>
      </c>
      <c r="G70" s="0" t="n">
        <v>8.7</v>
      </c>
      <c r="H70" s="0" t="n">
        <v>4.35</v>
      </c>
      <c r="I70" s="0" t="n">
        <f aca="false">IF(ABS(ROUND(F70*G70,2)-H70)&lt;=0.01,1,0)</f>
        <v>1</v>
      </c>
      <c r="J70" s="0" t="n">
        <v>0</v>
      </c>
    </row>
    <row r="71" customFormat="false" ht="15" hidden="false" customHeight="false" outlineLevel="0" collapsed="false">
      <c r="A71" s="0" t="s">
        <v>139</v>
      </c>
      <c r="B71" s="0" t="s">
        <v>136</v>
      </c>
      <c r="C71" s="0" t="s">
        <v>140</v>
      </c>
      <c r="D71" s="0" t="s">
        <v>510</v>
      </c>
      <c r="E71" s="0" t="s">
        <v>366</v>
      </c>
      <c r="F71" s="0" t="n">
        <v>1.5</v>
      </c>
      <c r="G71" s="0" t="n">
        <v>2.2</v>
      </c>
      <c r="H71" s="0" t="n">
        <v>3.3</v>
      </c>
      <c r="I71" s="0" t="n">
        <f aca="false">IF(ABS(ROUND(F71*G71,2)-H71)&lt;=0.01,1,0)</f>
        <v>1</v>
      </c>
      <c r="J71" s="0" t="n">
        <v>0</v>
      </c>
    </row>
    <row r="72" customFormat="false" ht="15" hidden="false" customHeight="false" outlineLevel="0" collapsed="false">
      <c r="A72" s="0" t="s">
        <v>142</v>
      </c>
      <c r="B72" s="0" t="s">
        <v>136</v>
      </c>
      <c r="C72" s="0" t="s">
        <v>143</v>
      </c>
      <c r="D72" s="0" t="s">
        <v>500</v>
      </c>
      <c r="E72" s="0" t="s">
        <v>586</v>
      </c>
      <c r="F72" s="0" t="n">
        <v>0.5</v>
      </c>
      <c r="G72" s="0" t="n">
        <v>5.9</v>
      </c>
      <c r="H72" s="0" t="n">
        <v>2.95</v>
      </c>
      <c r="I72" s="0" t="n">
        <f aca="false">IF(ABS(ROUND(F72*G72,2)-H72)&lt;=0.01,1,0)</f>
        <v>1</v>
      </c>
      <c r="J72" s="0" t="n">
        <v>0</v>
      </c>
    </row>
    <row r="73" customFormat="false" ht="15" hidden="false" customHeight="false" outlineLevel="0" collapsed="false">
      <c r="A73" s="0" t="s">
        <v>142</v>
      </c>
      <c r="B73" s="0" t="s">
        <v>136</v>
      </c>
      <c r="C73" s="0" t="s">
        <v>143</v>
      </c>
      <c r="D73" s="0" t="s">
        <v>500</v>
      </c>
      <c r="E73" s="0" t="s">
        <v>587</v>
      </c>
      <c r="F73" s="0" t="n">
        <v>0.5</v>
      </c>
      <c r="G73" s="0" t="n">
        <v>6</v>
      </c>
      <c r="H73" s="0" t="n">
        <v>3</v>
      </c>
      <c r="I73" s="0" t="n">
        <f aca="false">IF(ABS(ROUND(F73*G73,2)-H73)&lt;=0.01,1,0)</f>
        <v>1</v>
      </c>
      <c r="J73" s="0" t="n">
        <v>0</v>
      </c>
    </row>
    <row r="74" customFormat="false" ht="15" hidden="false" customHeight="false" outlineLevel="0" collapsed="false">
      <c r="A74" s="0" t="s">
        <v>142</v>
      </c>
      <c r="B74" s="0" t="s">
        <v>136</v>
      </c>
      <c r="C74" s="0" t="s">
        <v>143</v>
      </c>
      <c r="D74" s="0" t="s">
        <v>500</v>
      </c>
      <c r="E74" s="0" t="s">
        <v>588</v>
      </c>
      <c r="F74" s="0" t="n">
        <v>0.5</v>
      </c>
      <c r="G74" s="0" t="n">
        <v>20.9</v>
      </c>
      <c r="H74" s="0" t="n">
        <v>10.45</v>
      </c>
      <c r="I74" s="0" t="n">
        <f aca="false">IF(ABS(ROUND(F74*G74,2)-H74)&lt;=0.01,1,0)</f>
        <v>1</v>
      </c>
      <c r="J74" s="0" t="n">
        <v>0</v>
      </c>
    </row>
    <row r="75" customFormat="false" ht="15" hidden="false" customHeight="false" outlineLevel="0" collapsed="false">
      <c r="A75" s="0" t="s">
        <v>142</v>
      </c>
      <c r="B75" s="0" t="s">
        <v>136</v>
      </c>
      <c r="C75" s="0" t="s">
        <v>143</v>
      </c>
      <c r="D75" s="0" t="s">
        <v>500</v>
      </c>
      <c r="E75" s="0" t="s">
        <v>589</v>
      </c>
      <c r="F75" s="0" t="n">
        <v>0.5</v>
      </c>
      <c r="G75" s="0" t="n">
        <v>16.4</v>
      </c>
      <c r="H75" s="0" t="n">
        <v>8.2</v>
      </c>
      <c r="I75" s="0" t="n">
        <f aca="false">IF(ABS(ROUND(F75*G75,2)-H75)&lt;=0.01,1,0)</f>
        <v>1</v>
      </c>
      <c r="J75" s="0" t="n">
        <v>0</v>
      </c>
    </row>
    <row r="76" customFormat="false" ht="15" hidden="false" customHeight="false" outlineLevel="0" collapsed="false">
      <c r="A76" s="0" t="s">
        <v>142</v>
      </c>
      <c r="B76" s="0" t="s">
        <v>136</v>
      </c>
      <c r="C76" s="0" t="s">
        <v>143</v>
      </c>
      <c r="D76" s="0" t="s">
        <v>500</v>
      </c>
      <c r="E76" s="0" t="s">
        <v>355</v>
      </c>
      <c r="F76" s="0" t="n">
        <v>0.5</v>
      </c>
      <c r="G76" s="0" t="n">
        <v>3.9</v>
      </c>
      <c r="H76" s="0" t="n">
        <v>1.95</v>
      </c>
      <c r="I76" s="0" t="n">
        <f aca="false">IF(ABS(ROUND(F76*G76,2)-H76)&lt;=0.01,1,0)</f>
        <v>1</v>
      </c>
      <c r="J76" s="0" t="n">
        <v>1</v>
      </c>
    </row>
    <row r="77" customFormat="false" ht="15" hidden="false" customHeight="false" outlineLevel="0" collapsed="false">
      <c r="A77" s="0" t="s">
        <v>142</v>
      </c>
      <c r="B77" s="0" t="s">
        <v>136</v>
      </c>
      <c r="C77" s="0" t="s">
        <v>143</v>
      </c>
      <c r="D77" s="0" t="s">
        <v>492</v>
      </c>
      <c r="E77" s="0" t="s">
        <v>586</v>
      </c>
      <c r="F77" s="0" t="n">
        <v>0.5</v>
      </c>
      <c r="G77" s="0" t="n">
        <v>5.9</v>
      </c>
      <c r="H77" s="0" t="n">
        <v>2.95</v>
      </c>
      <c r="I77" s="0" t="n">
        <f aca="false">IF(ABS(ROUND(F77*G77,2)-H77)&lt;=0.01,1,0)</f>
        <v>1</v>
      </c>
      <c r="J77" s="0" t="n">
        <v>0</v>
      </c>
    </row>
    <row r="78" customFormat="false" ht="15" hidden="false" customHeight="false" outlineLevel="0" collapsed="false">
      <c r="A78" s="0" t="s">
        <v>142</v>
      </c>
      <c r="B78" s="0" t="s">
        <v>136</v>
      </c>
      <c r="C78" s="0" t="s">
        <v>143</v>
      </c>
      <c r="D78" s="0" t="s">
        <v>492</v>
      </c>
      <c r="E78" s="0" t="s">
        <v>587</v>
      </c>
      <c r="F78" s="0" t="n">
        <v>0.5</v>
      </c>
      <c r="G78" s="0" t="n">
        <v>6</v>
      </c>
      <c r="H78" s="0" t="n">
        <v>3</v>
      </c>
      <c r="I78" s="0" t="n">
        <f aca="false">IF(ABS(ROUND(F78*G78,2)-H78)&lt;=0.01,1,0)</f>
        <v>1</v>
      </c>
      <c r="J78" s="0" t="n">
        <v>0</v>
      </c>
    </row>
    <row r="79" customFormat="false" ht="15" hidden="false" customHeight="false" outlineLevel="0" collapsed="false">
      <c r="A79" s="0" t="s">
        <v>142</v>
      </c>
      <c r="B79" s="0" t="s">
        <v>136</v>
      </c>
      <c r="C79" s="0" t="s">
        <v>143</v>
      </c>
      <c r="D79" s="0" t="s">
        <v>492</v>
      </c>
      <c r="E79" s="0" t="s">
        <v>588</v>
      </c>
      <c r="F79" s="0" t="n">
        <v>0.5</v>
      </c>
      <c r="G79" s="0" t="n">
        <v>20.9</v>
      </c>
      <c r="H79" s="0" t="n">
        <v>10.45</v>
      </c>
      <c r="I79" s="0" t="n">
        <f aca="false">IF(ABS(ROUND(F79*G79,2)-H79)&lt;=0.01,1,0)</f>
        <v>1</v>
      </c>
      <c r="J79" s="0" t="n">
        <v>0</v>
      </c>
    </row>
    <row r="80" customFormat="false" ht="15" hidden="false" customHeight="false" outlineLevel="0" collapsed="false">
      <c r="A80" s="0" t="s">
        <v>142</v>
      </c>
      <c r="B80" s="0" t="s">
        <v>136</v>
      </c>
      <c r="C80" s="0" t="s">
        <v>143</v>
      </c>
      <c r="D80" s="0" t="s">
        <v>492</v>
      </c>
      <c r="E80" s="0" t="s">
        <v>589</v>
      </c>
      <c r="F80" s="0" t="n">
        <v>0.5</v>
      </c>
      <c r="G80" s="0" t="n">
        <v>16.4</v>
      </c>
      <c r="H80" s="0" t="n">
        <v>8.2</v>
      </c>
      <c r="I80" s="0" t="n">
        <f aca="false">IF(ABS(ROUND(F80*G80,2)-H80)&lt;=0.01,1,0)</f>
        <v>1</v>
      </c>
      <c r="J80" s="0" t="n">
        <v>0</v>
      </c>
    </row>
    <row r="81" customFormat="false" ht="15" hidden="false" customHeight="false" outlineLevel="0" collapsed="false">
      <c r="A81" s="0" t="s">
        <v>142</v>
      </c>
      <c r="B81" s="0" t="s">
        <v>136</v>
      </c>
      <c r="C81" s="0" t="s">
        <v>143</v>
      </c>
      <c r="D81" s="0" t="s">
        <v>492</v>
      </c>
      <c r="E81" s="0" t="s">
        <v>355</v>
      </c>
      <c r="F81" s="0" t="n">
        <v>0.5</v>
      </c>
      <c r="G81" s="0" t="n">
        <v>3.9</v>
      </c>
      <c r="H81" s="0" t="n">
        <v>1.95</v>
      </c>
      <c r="I81" s="0" t="n">
        <f aca="false">IF(ABS(ROUND(F81*G81,2)-H81)&lt;=0.01,1,0)</f>
        <v>1</v>
      </c>
      <c r="J81" s="0" t="n">
        <v>1</v>
      </c>
    </row>
    <row r="82" customFormat="false" ht="15" hidden="false" customHeight="false" outlineLevel="0" collapsed="false">
      <c r="A82" s="0" t="s">
        <v>142</v>
      </c>
      <c r="B82" s="0" t="s">
        <v>136</v>
      </c>
      <c r="C82" s="0" t="s">
        <v>143</v>
      </c>
      <c r="D82" s="0" t="s">
        <v>502</v>
      </c>
      <c r="E82" s="0" t="s">
        <v>590</v>
      </c>
      <c r="F82" s="0" t="n">
        <v>1</v>
      </c>
      <c r="G82" s="0" t="n">
        <v>7.9</v>
      </c>
      <c r="H82" s="0" t="n">
        <v>7.9</v>
      </c>
      <c r="I82" s="0" t="n">
        <f aca="false">IF(ABS(ROUND(F82*G82,2)-H82)&lt;=0.01,1,0)</f>
        <v>1</v>
      </c>
      <c r="J82" s="0" t="n">
        <v>0</v>
      </c>
    </row>
    <row r="83" customFormat="false" ht="15" hidden="false" customHeight="false" outlineLevel="0" collapsed="false">
      <c r="A83" s="0" t="s">
        <v>142</v>
      </c>
      <c r="B83" s="0" t="s">
        <v>136</v>
      </c>
      <c r="C83" s="0" t="s">
        <v>143</v>
      </c>
      <c r="D83" s="0" t="s">
        <v>502</v>
      </c>
      <c r="E83" s="0" t="s">
        <v>591</v>
      </c>
      <c r="F83" s="0" t="n">
        <v>1</v>
      </c>
      <c r="G83" s="0" t="n">
        <v>2.9</v>
      </c>
      <c r="H83" s="0" t="n">
        <v>2.9</v>
      </c>
      <c r="I83" s="0" t="n">
        <f aca="false">IF(ABS(ROUND(F83*G83,2)-H83)&lt;=0.01,1,0)</f>
        <v>1</v>
      </c>
      <c r="J83" s="0" t="n">
        <v>0</v>
      </c>
    </row>
    <row r="84" customFormat="false" ht="15" hidden="false" customHeight="false" outlineLevel="0" collapsed="false">
      <c r="A84" s="0" t="s">
        <v>142</v>
      </c>
      <c r="B84" s="0" t="s">
        <v>136</v>
      </c>
      <c r="C84" s="0" t="s">
        <v>143</v>
      </c>
      <c r="D84" s="0" t="s">
        <v>502</v>
      </c>
      <c r="E84" s="0" t="s">
        <v>463</v>
      </c>
      <c r="F84" s="0" t="n">
        <v>1</v>
      </c>
      <c r="G84" s="0" t="n">
        <v>7.9</v>
      </c>
      <c r="H84" s="0" t="n">
        <v>7.9</v>
      </c>
      <c r="I84" s="0" t="n">
        <f aca="false">IF(ABS(ROUND(F84*G84,2)-H84)&lt;=0.01,1,0)</f>
        <v>1</v>
      </c>
      <c r="J84" s="0" t="n">
        <v>0</v>
      </c>
    </row>
    <row r="85" customFormat="false" ht="15" hidden="false" customHeight="false" outlineLevel="0" collapsed="false">
      <c r="A85" s="0" t="s">
        <v>142</v>
      </c>
      <c r="B85" s="0" t="s">
        <v>136</v>
      </c>
      <c r="C85" s="0" t="s">
        <v>143</v>
      </c>
      <c r="D85" s="0" t="s">
        <v>502</v>
      </c>
      <c r="E85" s="0" t="s">
        <v>353</v>
      </c>
      <c r="F85" s="0" t="n">
        <v>0.5</v>
      </c>
      <c r="G85" s="0" t="n">
        <v>3.8</v>
      </c>
      <c r="H85" s="0" t="n">
        <v>1.9</v>
      </c>
      <c r="I85" s="0" t="n">
        <f aca="false">IF(ABS(ROUND(F85*G85,2)-H85)&lt;=0.01,1,0)</f>
        <v>1</v>
      </c>
      <c r="J85" s="0" t="n">
        <v>1</v>
      </c>
    </row>
    <row r="86" customFormat="false" ht="15" hidden="false" customHeight="false" outlineLevel="0" collapsed="false">
      <c r="A86" s="0" t="s">
        <v>142</v>
      </c>
      <c r="B86" s="0" t="s">
        <v>136</v>
      </c>
      <c r="C86" s="0" t="s">
        <v>143</v>
      </c>
      <c r="D86" s="0" t="s">
        <v>502</v>
      </c>
      <c r="E86" s="0" t="s">
        <v>592</v>
      </c>
      <c r="F86" s="0" t="n">
        <v>0.5</v>
      </c>
      <c r="G86" s="0" t="n">
        <v>5.4</v>
      </c>
      <c r="H86" s="0" t="n">
        <v>2.7</v>
      </c>
      <c r="I86" s="0" t="n">
        <f aca="false">IF(ABS(ROUND(F86*G86,2)-H86)&lt;=0.01,1,0)</f>
        <v>1</v>
      </c>
      <c r="J86" s="0" t="n">
        <v>0</v>
      </c>
    </row>
    <row r="87" customFormat="false" ht="15" hidden="false" customHeight="false" outlineLevel="0" collapsed="false">
      <c r="A87" s="0" t="s">
        <v>142</v>
      </c>
      <c r="B87" s="0" t="s">
        <v>136</v>
      </c>
      <c r="C87" s="0" t="s">
        <v>143</v>
      </c>
      <c r="D87" s="0" t="s">
        <v>502</v>
      </c>
      <c r="E87" s="0" t="s">
        <v>374</v>
      </c>
      <c r="F87" s="0" t="n">
        <v>1</v>
      </c>
      <c r="G87" s="0" t="n">
        <v>2</v>
      </c>
      <c r="H87" s="0" t="n">
        <v>2</v>
      </c>
      <c r="I87" s="0" t="n">
        <f aca="false">IF(ABS(ROUND(F87*G87,2)-H87)&lt;=0.01,1,0)</f>
        <v>1</v>
      </c>
      <c r="J87" s="0" t="n">
        <v>0</v>
      </c>
    </row>
    <row r="88" customFormat="false" ht="15" hidden="false" customHeight="false" outlineLevel="0" collapsed="false">
      <c r="A88" s="0" t="s">
        <v>142</v>
      </c>
      <c r="B88" s="0" t="s">
        <v>136</v>
      </c>
      <c r="C88" s="0" t="s">
        <v>143</v>
      </c>
      <c r="D88" s="0" t="s">
        <v>514</v>
      </c>
      <c r="E88" s="0" t="s">
        <v>590</v>
      </c>
      <c r="F88" s="0" t="n">
        <v>1</v>
      </c>
      <c r="G88" s="0" t="n">
        <v>7.9</v>
      </c>
      <c r="H88" s="0" t="n">
        <v>7.9</v>
      </c>
      <c r="I88" s="0" t="n">
        <f aca="false">IF(ABS(ROUND(F88*G88,2)-H88)&lt;=0.01,1,0)</f>
        <v>1</v>
      </c>
      <c r="J88" s="0" t="n">
        <v>0</v>
      </c>
    </row>
    <row r="89" customFormat="false" ht="15" hidden="false" customHeight="false" outlineLevel="0" collapsed="false">
      <c r="A89" s="0" t="s">
        <v>142</v>
      </c>
      <c r="B89" s="0" t="s">
        <v>136</v>
      </c>
      <c r="C89" s="0" t="s">
        <v>143</v>
      </c>
      <c r="D89" s="0" t="s">
        <v>514</v>
      </c>
      <c r="E89" s="0" t="s">
        <v>591</v>
      </c>
      <c r="F89" s="0" t="n">
        <v>1</v>
      </c>
      <c r="G89" s="0" t="n">
        <v>2.9</v>
      </c>
      <c r="H89" s="0" t="n">
        <v>2.9</v>
      </c>
      <c r="I89" s="0" t="n">
        <f aca="false">IF(ABS(ROUND(F89*G89,2)-H89)&lt;=0.01,1,0)</f>
        <v>1</v>
      </c>
      <c r="J89" s="0" t="n">
        <v>0</v>
      </c>
    </row>
    <row r="90" customFormat="false" ht="15" hidden="false" customHeight="false" outlineLevel="0" collapsed="false">
      <c r="A90" s="0" t="s">
        <v>142</v>
      </c>
      <c r="B90" s="0" t="s">
        <v>136</v>
      </c>
      <c r="C90" s="0" t="s">
        <v>143</v>
      </c>
      <c r="D90" s="0" t="s">
        <v>514</v>
      </c>
      <c r="E90" s="0" t="s">
        <v>463</v>
      </c>
      <c r="F90" s="0" t="n">
        <v>1</v>
      </c>
      <c r="G90" s="0" t="n">
        <v>7.9</v>
      </c>
      <c r="H90" s="0" t="n">
        <v>7.9</v>
      </c>
      <c r="I90" s="0" t="n">
        <f aca="false">IF(ABS(ROUND(F90*G90,2)-H90)&lt;=0.01,1,0)</f>
        <v>1</v>
      </c>
      <c r="J90" s="0" t="n">
        <v>0</v>
      </c>
    </row>
    <row r="91" customFormat="false" ht="15" hidden="false" customHeight="false" outlineLevel="0" collapsed="false">
      <c r="A91" s="0" t="s">
        <v>142</v>
      </c>
      <c r="B91" s="0" t="s">
        <v>136</v>
      </c>
      <c r="C91" s="0" t="s">
        <v>143</v>
      </c>
      <c r="D91" s="0" t="s">
        <v>514</v>
      </c>
      <c r="E91" s="0" t="s">
        <v>353</v>
      </c>
      <c r="F91" s="0" t="n">
        <v>0.5</v>
      </c>
      <c r="G91" s="0" t="n">
        <v>3.8</v>
      </c>
      <c r="H91" s="0" t="n">
        <v>1.9</v>
      </c>
      <c r="I91" s="0" t="n">
        <f aca="false">IF(ABS(ROUND(F91*G91,2)-H91)&lt;=0.01,1,0)</f>
        <v>1</v>
      </c>
      <c r="J91" s="0" t="n">
        <v>1</v>
      </c>
    </row>
    <row r="92" customFormat="false" ht="15" hidden="false" customHeight="false" outlineLevel="0" collapsed="false">
      <c r="A92" s="0" t="s">
        <v>142</v>
      </c>
      <c r="B92" s="0" t="s">
        <v>136</v>
      </c>
      <c r="C92" s="0" t="s">
        <v>143</v>
      </c>
      <c r="D92" s="0" t="s">
        <v>514</v>
      </c>
      <c r="E92" s="0" t="s">
        <v>592</v>
      </c>
      <c r="F92" s="0" t="n">
        <v>0.5</v>
      </c>
      <c r="G92" s="0" t="n">
        <v>5.4</v>
      </c>
      <c r="H92" s="0" t="n">
        <v>2.7</v>
      </c>
      <c r="I92" s="0" t="n">
        <f aca="false">IF(ABS(ROUND(F92*G92,2)-H92)&lt;=0.01,1,0)</f>
        <v>1</v>
      </c>
      <c r="J92" s="0" t="n">
        <v>0</v>
      </c>
    </row>
    <row r="93" customFormat="false" ht="15" hidden="false" customHeight="false" outlineLevel="0" collapsed="false">
      <c r="A93" s="0" t="s">
        <v>142</v>
      </c>
      <c r="B93" s="0" t="s">
        <v>136</v>
      </c>
      <c r="C93" s="0" t="s">
        <v>143</v>
      </c>
      <c r="D93" s="0" t="s">
        <v>514</v>
      </c>
      <c r="E93" s="0" t="s">
        <v>374</v>
      </c>
      <c r="F93" s="0" t="n">
        <v>1</v>
      </c>
      <c r="G93" s="0" t="n">
        <v>2</v>
      </c>
      <c r="H93" s="0" t="n">
        <v>2</v>
      </c>
      <c r="I93" s="0" t="n">
        <f aca="false">IF(ABS(ROUND(F93*G93,2)-H93)&lt;=0.01,1,0)</f>
        <v>1</v>
      </c>
      <c r="J93" s="0" t="n">
        <v>0</v>
      </c>
    </row>
    <row r="94" customFormat="false" ht="15" hidden="false" customHeight="false" outlineLevel="0" collapsed="false">
      <c r="A94" s="0" t="s">
        <v>145</v>
      </c>
      <c r="B94" s="0" t="s">
        <v>136</v>
      </c>
      <c r="C94" s="0" t="s">
        <v>146</v>
      </c>
      <c r="D94" s="0" t="s">
        <v>516</v>
      </c>
      <c r="E94" s="0" t="s">
        <v>593</v>
      </c>
      <c r="F94" s="0" t="n">
        <v>0.5</v>
      </c>
      <c r="G94" s="0" t="n">
        <v>3.9</v>
      </c>
      <c r="H94" s="0" t="n">
        <v>1.95</v>
      </c>
      <c r="I94" s="0" t="n">
        <f aca="false">IF(ABS(ROUND(F94*G94,2)-H94)&lt;=0.01,1,0)</f>
        <v>1</v>
      </c>
      <c r="J94" s="0" t="n">
        <v>1</v>
      </c>
    </row>
    <row r="95" customFormat="false" ht="15" hidden="false" customHeight="false" outlineLevel="0" collapsed="false">
      <c r="A95" s="0" t="s">
        <v>145</v>
      </c>
      <c r="B95" s="0" t="s">
        <v>136</v>
      </c>
      <c r="C95" s="0" t="s">
        <v>146</v>
      </c>
      <c r="D95" s="0" t="s">
        <v>516</v>
      </c>
      <c r="E95" s="0" t="s">
        <v>364</v>
      </c>
      <c r="F95" s="0" t="n">
        <v>0.5</v>
      </c>
      <c r="G95" s="0" t="n">
        <v>6.5</v>
      </c>
      <c r="H95" s="0" t="n">
        <v>3.25</v>
      </c>
      <c r="I95" s="0" t="n">
        <f aca="false">IF(ABS(ROUND(F95*G95,2)-H95)&lt;=0.01,1,0)</f>
        <v>1</v>
      </c>
      <c r="J95" s="0" t="n">
        <v>1</v>
      </c>
    </row>
    <row r="96" customFormat="false" ht="15" hidden="false" customHeight="false" outlineLevel="0" collapsed="false">
      <c r="A96" s="0" t="s">
        <v>145</v>
      </c>
      <c r="B96" s="0" t="s">
        <v>136</v>
      </c>
      <c r="C96" s="0" t="s">
        <v>146</v>
      </c>
      <c r="D96" s="0" t="s">
        <v>516</v>
      </c>
      <c r="E96" s="0" t="s">
        <v>594</v>
      </c>
      <c r="F96" s="0" t="n">
        <v>0.5</v>
      </c>
      <c r="G96" s="0" t="n">
        <v>4.5</v>
      </c>
      <c r="H96" s="0" t="n">
        <v>2.25</v>
      </c>
      <c r="I96" s="0" t="n">
        <f aca="false">IF(ABS(ROUND(F96*G96,2)-H96)&lt;=0.01,1,0)</f>
        <v>1</v>
      </c>
      <c r="J96" s="0" t="n">
        <v>0</v>
      </c>
    </row>
    <row r="97" customFormat="false" ht="15" hidden="false" customHeight="false" outlineLevel="0" collapsed="false">
      <c r="A97" s="0" t="s">
        <v>145</v>
      </c>
      <c r="B97" s="0" t="s">
        <v>136</v>
      </c>
      <c r="C97" s="0" t="s">
        <v>146</v>
      </c>
      <c r="D97" s="0" t="s">
        <v>516</v>
      </c>
      <c r="E97" s="0" t="s">
        <v>445</v>
      </c>
      <c r="F97" s="0" t="n">
        <v>1</v>
      </c>
      <c r="G97" s="0" t="n">
        <v>19</v>
      </c>
      <c r="H97" s="0" t="n">
        <v>19</v>
      </c>
      <c r="I97" s="0" t="n">
        <f aca="false">IF(ABS(ROUND(F97*G97,2)-H97)&lt;=0.01,1,0)</f>
        <v>1</v>
      </c>
      <c r="J97" s="0" t="n">
        <v>0</v>
      </c>
    </row>
    <row r="98" customFormat="false" ht="15" hidden="false" customHeight="false" outlineLevel="0" collapsed="false">
      <c r="A98" s="0" t="s">
        <v>145</v>
      </c>
      <c r="B98" s="0" t="s">
        <v>136</v>
      </c>
      <c r="C98" s="0" t="s">
        <v>146</v>
      </c>
      <c r="D98" s="0" t="s">
        <v>516</v>
      </c>
      <c r="E98" s="0" t="s">
        <v>406</v>
      </c>
      <c r="F98" s="0" t="n">
        <v>0.5</v>
      </c>
      <c r="G98" s="0" t="n">
        <v>17.6</v>
      </c>
      <c r="H98" s="0" t="n">
        <v>8.8</v>
      </c>
      <c r="I98" s="0" t="n">
        <f aca="false">IF(ABS(ROUND(F98*G98,2)-H98)&lt;=0.01,1,0)</f>
        <v>1</v>
      </c>
      <c r="J98" s="0" t="n">
        <v>0</v>
      </c>
    </row>
    <row r="99" customFormat="false" ht="15" hidden="false" customHeight="false" outlineLevel="0" collapsed="false">
      <c r="A99" s="0" t="s">
        <v>145</v>
      </c>
      <c r="B99" s="0" t="s">
        <v>136</v>
      </c>
      <c r="C99" s="0" t="s">
        <v>146</v>
      </c>
      <c r="D99" s="0" t="s">
        <v>516</v>
      </c>
      <c r="E99" s="0" t="s">
        <v>372</v>
      </c>
      <c r="F99" s="0" t="n">
        <v>0.5</v>
      </c>
      <c r="G99" s="0" t="n">
        <v>6.9</v>
      </c>
      <c r="H99" s="0" t="n">
        <v>3.45</v>
      </c>
      <c r="I99" s="0" t="n">
        <f aca="false">IF(ABS(ROUND(F99*G99,2)-H99)&lt;=0.01,1,0)</f>
        <v>1</v>
      </c>
      <c r="J99" s="0" t="n">
        <v>0</v>
      </c>
    </row>
    <row r="100" customFormat="false" ht="15" hidden="false" customHeight="false" outlineLevel="0" collapsed="false">
      <c r="A100" s="0" t="s">
        <v>145</v>
      </c>
      <c r="B100" s="0" t="s">
        <v>136</v>
      </c>
      <c r="C100" s="0" t="s">
        <v>146</v>
      </c>
      <c r="D100" s="0" t="s">
        <v>516</v>
      </c>
      <c r="E100" s="0" t="s">
        <v>377</v>
      </c>
      <c r="F100" s="0" t="n">
        <v>0.5</v>
      </c>
      <c r="G100" s="0" t="n">
        <v>3.9</v>
      </c>
      <c r="H100" s="0" t="n">
        <v>1.95</v>
      </c>
      <c r="I100" s="0" t="n">
        <f aca="false">IF(ABS(ROUND(F100*G100,2)-H100)&lt;=0.01,1,0)</f>
        <v>1</v>
      </c>
      <c r="J100" s="0" t="n">
        <v>1</v>
      </c>
    </row>
    <row r="101" customFormat="false" ht="15" hidden="false" customHeight="false" outlineLevel="0" collapsed="false">
      <c r="A101" s="0" t="s">
        <v>145</v>
      </c>
      <c r="B101" s="0" t="s">
        <v>136</v>
      </c>
      <c r="C101" s="0" t="s">
        <v>146</v>
      </c>
      <c r="D101" s="0" t="s">
        <v>516</v>
      </c>
      <c r="E101" s="0" t="s">
        <v>358</v>
      </c>
      <c r="F101" s="0" t="n">
        <v>0.5</v>
      </c>
      <c r="G101" s="0" t="n">
        <v>1.8</v>
      </c>
      <c r="H101" s="0" t="n">
        <v>0.9</v>
      </c>
      <c r="I101" s="0" t="n">
        <f aca="false">IF(ABS(ROUND(F101*G101,2)-H101)&lt;=0.01,1,0)</f>
        <v>1</v>
      </c>
      <c r="J101" s="0" t="n">
        <v>1</v>
      </c>
    </row>
    <row r="102" customFormat="false" ht="15" hidden="false" customHeight="false" outlineLevel="0" collapsed="false">
      <c r="A102" s="0" t="s">
        <v>145</v>
      </c>
      <c r="B102" s="0" t="s">
        <v>136</v>
      </c>
      <c r="C102" s="0" t="s">
        <v>146</v>
      </c>
      <c r="D102" s="0" t="s">
        <v>516</v>
      </c>
      <c r="E102" s="0" t="s">
        <v>366</v>
      </c>
      <c r="F102" s="0" t="n">
        <v>0.5</v>
      </c>
      <c r="G102" s="0" t="n">
        <v>2.2</v>
      </c>
      <c r="H102" s="0" t="n">
        <v>1.1</v>
      </c>
      <c r="I102" s="0" t="n">
        <f aca="false">IF(ABS(ROUND(F102*G102,2)-H102)&lt;=0.01,1,0)</f>
        <v>1</v>
      </c>
      <c r="J102" s="0" t="n">
        <v>0</v>
      </c>
    </row>
    <row r="103" customFormat="false" ht="15" hidden="false" customHeight="false" outlineLevel="0" collapsed="false">
      <c r="A103" s="0" t="s">
        <v>145</v>
      </c>
      <c r="B103" s="0" t="s">
        <v>136</v>
      </c>
      <c r="C103" s="0" t="s">
        <v>146</v>
      </c>
      <c r="D103" s="0" t="s">
        <v>518</v>
      </c>
      <c r="E103" s="0" t="s">
        <v>593</v>
      </c>
      <c r="F103" s="0" t="n">
        <v>0.5</v>
      </c>
      <c r="G103" s="0" t="n">
        <v>3.9</v>
      </c>
      <c r="H103" s="0" t="n">
        <v>1.95</v>
      </c>
      <c r="I103" s="0" t="n">
        <f aca="false">IF(ABS(ROUND(F103*G103,2)-H103)&lt;=0.01,1,0)</f>
        <v>1</v>
      </c>
      <c r="J103" s="0" t="n">
        <v>1</v>
      </c>
    </row>
    <row r="104" customFormat="false" ht="15" hidden="false" customHeight="false" outlineLevel="0" collapsed="false">
      <c r="A104" s="0" t="s">
        <v>145</v>
      </c>
      <c r="B104" s="0" t="s">
        <v>136</v>
      </c>
      <c r="C104" s="0" t="s">
        <v>146</v>
      </c>
      <c r="D104" s="0" t="s">
        <v>518</v>
      </c>
      <c r="E104" s="0" t="s">
        <v>364</v>
      </c>
      <c r="F104" s="0" t="n">
        <v>0.5</v>
      </c>
      <c r="G104" s="0" t="n">
        <v>6.5</v>
      </c>
      <c r="H104" s="0" t="n">
        <v>3.25</v>
      </c>
      <c r="I104" s="0" t="n">
        <f aca="false">IF(ABS(ROUND(F104*G104,2)-H104)&lt;=0.01,1,0)</f>
        <v>1</v>
      </c>
      <c r="J104" s="0" t="n">
        <v>1</v>
      </c>
    </row>
    <row r="105" customFormat="false" ht="15" hidden="false" customHeight="false" outlineLevel="0" collapsed="false">
      <c r="A105" s="0" t="s">
        <v>145</v>
      </c>
      <c r="B105" s="0" t="s">
        <v>136</v>
      </c>
      <c r="C105" s="0" t="s">
        <v>146</v>
      </c>
      <c r="D105" s="0" t="s">
        <v>518</v>
      </c>
      <c r="E105" s="0" t="s">
        <v>594</v>
      </c>
      <c r="F105" s="0" t="n">
        <v>0.5</v>
      </c>
      <c r="G105" s="0" t="n">
        <v>4.5</v>
      </c>
      <c r="H105" s="0" t="n">
        <v>2.25</v>
      </c>
      <c r="I105" s="0" t="n">
        <f aca="false">IF(ABS(ROUND(F105*G105,2)-H105)&lt;=0.01,1,0)</f>
        <v>1</v>
      </c>
      <c r="J105" s="0" t="n">
        <v>0</v>
      </c>
    </row>
    <row r="106" customFormat="false" ht="15" hidden="false" customHeight="false" outlineLevel="0" collapsed="false">
      <c r="A106" s="0" t="s">
        <v>145</v>
      </c>
      <c r="B106" s="0" t="s">
        <v>136</v>
      </c>
      <c r="C106" s="0" t="s">
        <v>146</v>
      </c>
      <c r="D106" s="0" t="s">
        <v>518</v>
      </c>
      <c r="E106" s="0" t="s">
        <v>445</v>
      </c>
      <c r="F106" s="0" t="n">
        <v>1</v>
      </c>
      <c r="G106" s="0" t="n">
        <v>19</v>
      </c>
      <c r="H106" s="0" t="n">
        <v>19</v>
      </c>
      <c r="I106" s="0" t="n">
        <f aca="false">IF(ABS(ROUND(F106*G106,2)-H106)&lt;=0.01,1,0)</f>
        <v>1</v>
      </c>
      <c r="J106" s="0" t="n">
        <v>0</v>
      </c>
    </row>
    <row r="107" customFormat="false" ht="15" hidden="false" customHeight="false" outlineLevel="0" collapsed="false">
      <c r="A107" s="0" t="s">
        <v>145</v>
      </c>
      <c r="B107" s="0" t="s">
        <v>136</v>
      </c>
      <c r="C107" s="0" t="s">
        <v>146</v>
      </c>
      <c r="D107" s="0" t="s">
        <v>518</v>
      </c>
      <c r="E107" s="0" t="s">
        <v>406</v>
      </c>
      <c r="F107" s="0" t="n">
        <v>0.5</v>
      </c>
      <c r="G107" s="0" t="n">
        <v>17.6</v>
      </c>
      <c r="H107" s="0" t="n">
        <v>8.8</v>
      </c>
      <c r="I107" s="0" t="n">
        <f aca="false">IF(ABS(ROUND(F107*G107,2)-H107)&lt;=0.01,1,0)</f>
        <v>1</v>
      </c>
      <c r="J107" s="0" t="n">
        <v>0</v>
      </c>
    </row>
    <row r="108" customFormat="false" ht="15" hidden="false" customHeight="false" outlineLevel="0" collapsed="false">
      <c r="A108" s="0" t="s">
        <v>145</v>
      </c>
      <c r="B108" s="0" t="s">
        <v>136</v>
      </c>
      <c r="C108" s="0" t="s">
        <v>146</v>
      </c>
      <c r="D108" s="0" t="s">
        <v>518</v>
      </c>
      <c r="E108" s="0" t="s">
        <v>372</v>
      </c>
      <c r="F108" s="0" t="n">
        <v>0.5</v>
      </c>
      <c r="G108" s="0" t="n">
        <v>6.9</v>
      </c>
      <c r="H108" s="0" t="n">
        <v>3.45</v>
      </c>
      <c r="I108" s="0" t="n">
        <f aca="false">IF(ABS(ROUND(F108*G108,2)-H108)&lt;=0.01,1,0)</f>
        <v>1</v>
      </c>
      <c r="J108" s="0" t="n">
        <v>0</v>
      </c>
    </row>
    <row r="109" customFormat="false" ht="15" hidden="false" customHeight="false" outlineLevel="0" collapsed="false">
      <c r="A109" s="0" t="s">
        <v>145</v>
      </c>
      <c r="B109" s="0" t="s">
        <v>136</v>
      </c>
      <c r="C109" s="0" t="s">
        <v>146</v>
      </c>
      <c r="D109" s="0" t="s">
        <v>518</v>
      </c>
      <c r="E109" s="0" t="s">
        <v>377</v>
      </c>
      <c r="F109" s="0" t="n">
        <v>0.5</v>
      </c>
      <c r="G109" s="0" t="n">
        <v>3.9</v>
      </c>
      <c r="H109" s="0" t="n">
        <v>1.95</v>
      </c>
      <c r="I109" s="0" t="n">
        <f aca="false">IF(ABS(ROUND(F109*G109,2)-H109)&lt;=0.01,1,0)</f>
        <v>1</v>
      </c>
      <c r="J109" s="0" t="n">
        <v>1</v>
      </c>
    </row>
    <row r="110" customFormat="false" ht="15" hidden="false" customHeight="false" outlineLevel="0" collapsed="false">
      <c r="A110" s="0" t="s">
        <v>145</v>
      </c>
      <c r="B110" s="0" t="s">
        <v>136</v>
      </c>
      <c r="C110" s="0" t="s">
        <v>146</v>
      </c>
      <c r="D110" s="0" t="s">
        <v>518</v>
      </c>
      <c r="E110" s="0" t="s">
        <v>358</v>
      </c>
      <c r="F110" s="0" t="n">
        <v>0.5</v>
      </c>
      <c r="G110" s="0" t="n">
        <v>1.8</v>
      </c>
      <c r="H110" s="0" t="n">
        <v>0.9</v>
      </c>
      <c r="I110" s="0" t="n">
        <f aca="false">IF(ABS(ROUND(F110*G110,2)-H110)&lt;=0.01,1,0)</f>
        <v>1</v>
      </c>
      <c r="J110" s="0" t="n">
        <v>1</v>
      </c>
    </row>
    <row r="111" customFormat="false" ht="15" hidden="false" customHeight="false" outlineLevel="0" collapsed="false">
      <c r="A111" s="0" t="s">
        <v>145</v>
      </c>
      <c r="B111" s="0" t="s">
        <v>136</v>
      </c>
      <c r="C111" s="0" t="s">
        <v>146</v>
      </c>
      <c r="D111" s="0" t="s">
        <v>518</v>
      </c>
      <c r="E111" s="0" t="s">
        <v>366</v>
      </c>
      <c r="F111" s="0" t="n">
        <v>0.5</v>
      </c>
      <c r="G111" s="0" t="n">
        <v>2.2</v>
      </c>
      <c r="H111" s="0" t="n">
        <v>1.1</v>
      </c>
      <c r="I111" s="0" t="n">
        <f aca="false">IF(ABS(ROUND(F111*G111,2)-H111)&lt;=0.01,1,0)</f>
        <v>1</v>
      </c>
      <c r="J111" s="0" t="n">
        <v>0</v>
      </c>
    </row>
    <row r="112" customFormat="false" ht="15" hidden="false" customHeight="false" outlineLevel="0" collapsed="false">
      <c r="A112" s="0" t="s">
        <v>145</v>
      </c>
      <c r="B112" s="0" t="s">
        <v>136</v>
      </c>
      <c r="C112" s="0" t="s">
        <v>146</v>
      </c>
      <c r="D112" s="0" t="s">
        <v>496</v>
      </c>
      <c r="E112" s="0" t="s">
        <v>595</v>
      </c>
      <c r="F112" s="0" t="n">
        <v>0.5</v>
      </c>
      <c r="G112" s="0" t="n">
        <v>4.2</v>
      </c>
      <c r="H112" s="0" t="n">
        <v>2.1</v>
      </c>
      <c r="I112" s="0" t="n">
        <f aca="false">IF(ABS(ROUND(F112*G112,2)-H112)&lt;=0.01,1,0)</f>
        <v>1</v>
      </c>
      <c r="J112" s="0" t="n">
        <v>0</v>
      </c>
    </row>
    <row r="113" customFormat="false" ht="15" hidden="false" customHeight="false" outlineLevel="0" collapsed="false">
      <c r="A113" s="0" t="s">
        <v>145</v>
      </c>
      <c r="B113" s="0" t="s">
        <v>136</v>
      </c>
      <c r="C113" s="0" t="s">
        <v>146</v>
      </c>
      <c r="D113" s="0" t="s">
        <v>496</v>
      </c>
      <c r="E113" s="0" t="s">
        <v>415</v>
      </c>
      <c r="F113" s="0" t="n">
        <v>0.5</v>
      </c>
      <c r="G113" s="0" t="n">
        <v>3.9</v>
      </c>
      <c r="H113" s="0" t="n">
        <v>1.95</v>
      </c>
      <c r="I113" s="0" t="n">
        <f aca="false">IF(ABS(ROUND(F113*G113,2)-H113)&lt;=0.01,1,0)</f>
        <v>1</v>
      </c>
      <c r="J113" s="0" t="n">
        <v>1</v>
      </c>
    </row>
    <row r="114" customFormat="false" ht="15" hidden="false" customHeight="false" outlineLevel="0" collapsed="false">
      <c r="A114" s="0" t="s">
        <v>145</v>
      </c>
      <c r="B114" s="0" t="s">
        <v>136</v>
      </c>
      <c r="C114" s="0" t="s">
        <v>146</v>
      </c>
      <c r="D114" s="0" t="s">
        <v>496</v>
      </c>
      <c r="E114" s="0" t="s">
        <v>596</v>
      </c>
      <c r="F114" s="0" t="n">
        <v>1</v>
      </c>
      <c r="G114" s="0" t="n">
        <v>19.9</v>
      </c>
      <c r="H114" s="0" t="n">
        <v>19.9</v>
      </c>
      <c r="I114" s="0" t="n">
        <f aca="false">IF(ABS(ROUND(F114*G114,2)-H114)&lt;=0.01,1,0)</f>
        <v>1</v>
      </c>
      <c r="J114" s="0" t="n">
        <v>0</v>
      </c>
    </row>
    <row r="115" customFormat="false" ht="15" hidden="false" customHeight="false" outlineLevel="0" collapsed="false">
      <c r="A115" s="0" t="s">
        <v>145</v>
      </c>
      <c r="B115" s="0" t="s">
        <v>136</v>
      </c>
      <c r="C115" s="0" t="s">
        <v>146</v>
      </c>
      <c r="D115" s="0" t="s">
        <v>496</v>
      </c>
      <c r="E115" s="0" t="s">
        <v>597</v>
      </c>
      <c r="F115" s="0" t="n">
        <v>0.5</v>
      </c>
      <c r="G115" s="0" t="n">
        <v>6.9</v>
      </c>
      <c r="H115" s="0" t="n">
        <v>3.45</v>
      </c>
      <c r="I115" s="0" t="n">
        <f aca="false">IF(ABS(ROUND(F115*G115,2)-H115)&lt;=0.01,1,0)</f>
        <v>1</v>
      </c>
      <c r="J115" s="0" t="n">
        <v>0</v>
      </c>
    </row>
    <row r="116" customFormat="false" ht="15" hidden="false" customHeight="false" outlineLevel="0" collapsed="false">
      <c r="A116" s="0" t="s">
        <v>145</v>
      </c>
      <c r="B116" s="0" t="s">
        <v>136</v>
      </c>
      <c r="C116" s="0" t="s">
        <v>146</v>
      </c>
      <c r="D116" s="0" t="s">
        <v>496</v>
      </c>
      <c r="E116" s="0" t="s">
        <v>377</v>
      </c>
      <c r="F116" s="0" t="n">
        <v>0.5</v>
      </c>
      <c r="G116" s="0" t="n">
        <v>3.9</v>
      </c>
      <c r="H116" s="0" t="n">
        <v>1.95</v>
      </c>
      <c r="I116" s="0" t="n">
        <f aca="false">IF(ABS(ROUND(F116*G116,2)-H116)&lt;=0.01,1,0)</f>
        <v>1</v>
      </c>
      <c r="J116" s="0" t="n">
        <v>1</v>
      </c>
    </row>
    <row r="117" customFormat="false" ht="15" hidden="false" customHeight="false" outlineLevel="0" collapsed="false">
      <c r="A117" s="0" t="s">
        <v>145</v>
      </c>
      <c r="B117" s="0" t="s">
        <v>136</v>
      </c>
      <c r="C117" s="0" t="s">
        <v>146</v>
      </c>
      <c r="D117" s="0" t="s">
        <v>496</v>
      </c>
      <c r="E117" s="0" t="s">
        <v>362</v>
      </c>
      <c r="F117" s="0" t="n">
        <v>0.5</v>
      </c>
      <c r="G117" s="0" t="n">
        <v>5.8</v>
      </c>
      <c r="H117" s="0" t="n">
        <v>2.9</v>
      </c>
      <c r="I117" s="0" t="n">
        <f aca="false">IF(ABS(ROUND(F117*G117,2)-H117)&lt;=0.01,1,0)</f>
        <v>1</v>
      </c>
      <c r="J117" s="0" t="n">
        <v>1</v>
      </c>
    </row>
    <row r="118" customFormat="false" ht="15" hidden="false" customHeight="false" outlineLevel="0" collapsed="false">
      <c r="A118" s="0" t="s">
        <v>145</v>
      </c>
      <c r="B118" s="0" t="s">
        <v>136</v>
      </c>
      <c r="C118" s="0" t="s">
        <v>146</v>
      </c>
      <c r="D118" s="0" t="s">
        <v>496</v>
      </c>
      <c r="E118" s="0" t="s">
        <v>366</v>
      </c>
      <c r="F118" s="0" t="n">
        <v>1</v>
      </c>
      <c r="G118" s="0" t="n">
        <v>2.2</v>
      </c>
      <c r="H118" s="0" t="n">
        <v>2.2</v>
      </c>
      <c r="I118" s="0" t="n">
        <f aca="false">IF(ABS(ROUND(F118*G118,2)-H118)&lt;=0.01,1,0)</f>
        <v>1</v>
      </c>
      <c r="J118" s="0" t="n">
        <v>0</v>
      </c>
    </row>
    <row r="119" customFormat="false" ht="15" hidden="false" customHeight="false" outlineLevel="0" collapsed="false">
      <c r="A119" s="0" t="s">
        <v>145</v>
      </c>
      <c r="B119" s="0" t="s">
        <v>136</v>
      </c>
      <c r="C119" s="0" t="s">
        <v>146</v>
      </c>
      <c r="D119" s="0" t="s">
        <v>487</v>
      </c>
      <c r="E119" s="0" t="s">
        <v>595</v>
      </c>
      <c r="F119" s="0" t="n">
        <v>0.5</v>
      </c>
      <c r="G119" s="0" t="n">
        <v>4.2</v>
      </c>
      <c r="H119" s="0" t="n">
        <v>2.1</v>
      </c>
      <c r="I119" s="0" t="n">
        <f aca="false">IF(ABS(ROUND(F119*G119,2)-H119)&lt;=0.01,1,0)</f>
        <v>1</v>
      </c>
      <c r="J119" s="0" t="n">
        <v>0</v>
      </c>
    </row>
    <row r="120" customFormat="false" ht="15" hidden="false" customHeight="false" outlineLevel="0" collapsed="false">
      <c r="A120" s="0" t="s">
        <v>145</v>
      </c>
      <c r="B120" s="0" t="s">
        <v>136</v>
      </c>
      <c r="C120" s="0" t="s">
        <v>146</v>
      </c>
      <c r="D120" s="0" t="s">
        <v>487</v>
      </c>
      <c r="E120" s="0" t="s">
        <v>415</v>
      </c>
      <c r="F120" s="0" t="n">
        <v>0.5</v>
      </c>
      <c r="G120" s="0" t="n">
        <v>3.9</v>
      </c>
      <c r="H120" s="0" t="n">
        <v>1.95</v>
      </c>
      <c r="I120" s="0" t="n">
        <f aca="false">IF(ABS(ROUND(F120*G120,2)-H120)&lt;=0.01,1,0)</f>
        <v>1</v>
      </c>
      <c r="J120" s="0" t="n">
        <v>1</v>
      </c>
    </row>
    <row r="121" customFormat="false" ht="15" hidden="false" customHeight="false" outlineLevel="0" collapsed="false">
      <c r="A121" s="0" t="s">
        <v>145</v>
      </c>
      <c r="B121" s="0" t="s">
        <v>136</v>
      </c>
      <c r="C121" s="0" t="s">
        <v>146</v>
      </c>
      <c r="D121" s="0" t="s">
        <v>487</v>
      </c>
      <c r="E121" s="0" t="s">
        <v>596</v>
      </c>
      <c r="F121" s="0" t="n">
        <v>1</v>
      </c>
      <c r="G121" s="0" t="n">
        <v>19.9</v>
      </c>
      <c r="H121" s="0" t="n">
        <v>19.9</v>
      </c>
      <c r="I121" s="0" t="n">
        <f aca="false">IF(ABS(ROUND(F121*G121,2)-H121)&lt;=0.01,1,0)</f>
        <v>1</v>
      </c>
      <c r="J121" s="0" t="n">
        <v>0</v>
      </c>
    </row>
    <row r="122" customFormat="false" ht="15" hidden="false" customHeight="false" outlineLevel="0" collapsed="false">
      <c r="A122" s="0" t="s">
        <v>145</v>
      </c>
      <c r="B122" s="0" t="s">
        <v>136</v>
      </c>
      <c r="C122" s="0" t="s">
        <v>146</v>
      </c>
      <c r="D122" s="0" t="s">
        <v>487</v>
      </c>
      <c r="E122" s="0" t="s">
        <v>597</v>
      </c>
      <c r="F122" s="0" t="n">
        <v>0.5</v>
      </c>
      <c r="G122" s="0" t="n">
        <v>6.9</v>
      </c>
      <c r="H122" s="0" t="n">
        <v>3.45</v>
      </c>
      <c r="I122" s="0" t="n">
        <f aca="false">IF(ABS(ROUND(F122*G122,2)-H122)&lt;=0.01,1,0)</f>
        <v>1</v>
      </c>
      <c r="J122" s="0" t="n">
        <v>0</v>
      </c>
    </row>
    <row r="123" customFormat="false" ht="15" hidden="false" customHeight="false" outlineLevel="0" collapsed="false">
      <c r="A123" s="0" t="s">
        <v>145</v>
      </c>
      <c r="B123" s="0" t="s">
        <v>136</v>
      </c>
      <c r="C123" s="0" t="s">
        <v>146</v>
      </c>
      <c r="D123" s="0" t="s">
        <v>487</v>
      </c>
      <c r="E123" s="0" t="s">
        <v>377</v>
      </c>
      <c r="F123" s="0" t="n">
        <v>0.5</v>
      </c>
      <c r="G123" s="0" t="n">
        <v>3.9</v>
      </c>
      <c r="H123" s="0" t="n">
        <v>1.95</v>
      </c>
      <c r="I123" s="0" t="n">
        <f aca="false">IF(ABS(ROUND(F123*G123,2)-H123)&lt;=0.01,1,0)</f>
        <v>1</v>
      </c>
      <c r="J123" s="0" t="n">
        <v>1</v>
      </c>
    </row>
    <row r="124" customFormat="false" ht="15" hidden="false" customHeight="false" outlineLevel="0" collapsed="false">
      <c r="A124" s="0" t="s">
        <v>145</v>
      </c>
      <c r="B124" s="0" t="s">
        <v>136</v>
      </c>
      <c r="C124" s="0" t="s">
        <v>146</v>
      </c>
      <c r="D124" s="0" t="s">
        <v>487</v>
      </c>
      <c r="E124" s="0" t="s">
        <v>362</v>
      </c>
      <c r="F124" s="0" t="n">
        <v>0.5</v>
      </c>
      <c r="G124" s="0" t="n">
        <v>5.8</v>
      </c>
      <c r="H124" s="0" t="n">
        <v>2.9</v>
      </c>
      <c r="I124" s="0" t="n">
        <f aca="false">IF(ABS(ROUND(F124*G124,2)-H124)&lt;=0.01,1,0)</f>
        <v>1</v>
      </c>
      <c r="J124" s="0" t="n">
        <v>1</v>
      </c>
    </row>
    <row r="125" customFormat="false" ht="15" hidden="false" customHeight="false" outlineLevel="0" collapsed="false">
      <c r="A125" s="0" t="s">
        <v>145</v>
      </c>
      <c r="B125" s="0" t="s">
        <v>136</v>
      </c>
      <c r="C125" s="0" t="s">
        <v>146</v>
      </c>
      <c r="D125" s="0" t="s">
        <v>487</v>
      </c>
      <c r="E125" s="0" t="s">
        <v>366</v>
      </c>
      <c r="F125" s="0" t="n">
        <v>1</v>
      </c>
      <c r="G125" s="0" t="n">
        <v>2.2</v>
      </c>
      <c r="H125" s="0" t="n">
        <v>2.2</v>
      </c>
      <c r="I125" s="0" t="n">
        <f aca="false">IF(ABS(ROUND(F125*G125,2)-H125)&lt;=0.01,1,0)</f>
        <v>1</v>
      </c>
      <c r="J125" s="0" t="n">
        <v>0</v>
      </c>
    </row>
    <row r="126" customFormat="false" ht="15" hidden="false" customHeight="false" outlineLevel="0" collapsed="false">
      <c r="A126" s="0" t="s">
        <v>148</v>
      </c>
      <c r="B126" s="0" t="s">
        <v>136</v>
      </c>
      <c r="C126" s="0" t="s">
        <v>149</v>
      </c>
      <c r="D126" s="0" t="s">
        <v>492</v>
      </c>
      <c r="E126" s="0" t="s">
        <v>598</v>
      </c>
      <c r="F126" s="0" t="n">
        <v>0.5</v>
      </c>
      <c r="G126" s="0" t="n">
        <v>4.2</v>
      </c>
      <c r="H126" s="0" t="n">
        <v>2.1</v>
      </c>
      <c r="I126" s="0" t="n">
        <f aca="false">IF(ABS(ROUND(F126*G126,2)-H126)&lt;=0.01,1,0)</f>
        <v>1</v>
      </c>
      <c r="J126" s="0" t="n">
        <v>0</v>
      </c>
    </row>
    <row r="127" customFormat="false" ht="15" hidden="false" customHeight="false" outlineLevel="0" collapsed="false">
      <c r="A127" s="0" t="s">
        <v>148</v>
      </c>
      <c r="B127" s="0" t="s">
        <v>136</v>
      </c>
      <c r="C127" s="0" t="s">
        <v>149</v>
      </c>
      <c r="D127" s="0" t="s">
        <v>492</v>
      </c>
      <c r="E127" s="0" t="s">
        <v>368</v>
      </c>
      <c r="F127" s="0" t="n">
        <v>0.5</v>
      </c>
      <c r="G127" s="0" t="n">
        <v>5.2</v>
      </c>
      <c r="H127" s="0" t="n">
        <v>2.6</v>
      </c>
      <c r="I127" s="0" t="n">
        <f aca="false">IF(ABS(ROUND(F127*G127,2)-H127)&lt;=0.01,1,0)</f>
        <v>1</v>
      </c>
      <c r="J127" s="0" t="n">
        <v>1</v>
      </c>
    </row>
    <row r="128" customFormat="false" ht="15" hidden="false" customHeight="false" outlineLevel="0" collapsed="false">
      <c r="A128" s="0" t="s">
        <v>148</v>
      </c>
      <c r="B128" s="0" t="s">
        <v>136</v>
      </c>
      <c r="C128" s="0" t="s">
        <v>149</v>
      </c>
      <c r="D128" s="0" t="s">
        <v>492</v>
      </c>
      <c r="E128" s="0" t="s">
        <v>590</v>
      </c>
      <c r="F128" s="0" t="n">
        <v>1</v>
      </c>
      <c r="G128" s="0" t="n">
        <v>7.9</v>
      </c>
      <c r="H128" s="0" t="n">
        <v>7.9</v>
      </c>
      <c r="I128" s="0" t="n">
        <f aca="false">IF(ABS(ROUND(F128*G128,2)-H128)&lt;=0.01,1,0)</f>
        <v>1</v>
      </c>
      <c r="J128" s="0" t="n">
        <v>0</v>
      </c>
    </row>
    <row r="129" customFormat="false" ht="15" hidden="false" customHeight="false" outlineLevel="0" collapsed="false">
      <c r="A129" s="0" t="s">
        <v>148</v>
      </c>
      <c r="B129" s="0" t="s">
        <v>136</v>
      </c>
      <c r="C129" s="0" t="s">
        <v>149</v>
      </c>
      <c r="D129" s="0" t="s">
        <v>492</v>
      </c>
      <c r="E129" s="0" t="s">
        <v>599</v>
      </c>
      <c r="F129" s="0" t="n">
        <v>1</v>
      </c>
      <c r="G129" s="0" t="n">
        <v>5.9</v>
      </c>
      <c r="H129" s="0" t="n">
        <v>5.9</v>
      </c>
      <c r="I129" s="0" t="n">
        <f aca="false">IF(ABS(ROUND(F129*G129,2)-H129)&lt;=0.01,1,0)</f>
        <v>1</v>
      </c>
      <c r="J129" s="0" t="n">
        <v>0</v>
      </c>
    </row>
    <row r="130" customFormat="false" ht="15" hidden="false" customHeight="false" outlineLevel="0" collapsed="false">
      <c r="A130" s="0" t="s">
        <v>148</v>
      </c>
      <c r="B130" s="0" t="s">
        <v>136</v>
      </c>
      <c r="C130" s="0" t="s">
        <v>149</v>
      </c>
      <c r="D130" s="0" t="s">
        <v>492</v>
      </c>
      <c r="E130" s="0" t="s">
        <v>600</v>
      </c>
      <c r="F130" s="0" t="n">
        <v>0.5</v>
      </c>
      <c r="G130" s="0" t="n">
        <v>15.9</v>
      </c>
      <c r="H130" s="0" t="n">
        <v>7.95</v>
      </c>
      <c r="I130" s="0" t="n">
        <f aca="false">IF(ABS(ROUND(F130*G130,2)-H130)&lt;=0.01,1,0)</f>
        <v>1</v>
      </c>
      <c r="J130" s="0" t="n">
        <v>0</v>
      </c>
    </row>
    <row r="131" customFormat="false" ht="15" hidden="false" customHeight="false" outlineLevel="0" collapsed="false">
      <c r="A131" s="0" t="s">
        <v>148</v>
      </c>
      <c r="B131" s="0" t="s">
        <v>136</v>
      </c>
      <c r="C131" s="0" t="s">
        <v>149</v>
      </c>
      <c r="D131" s="0" t="s">
        <v>492</v>
      </c>
      <c r="E131" s="0" t="s">
        <v>596</v>
      </c>
      <c r="F131" s="0" t="n">
        <v>0.5</v>
      </c>
      <c r="G131" s="0" t="n">
        <v>19.9</v>
      </c>
      <c r="H131" s="0" t="n">
        <v>9.95</v>
      </c>
      <c r="I131" s="0" t="n">
        <f aca="false">IF(ABS(ROUND(F131*G131,2)-H131)&lt;=0.01,1,0)</f>
        <v>1</v>
      </c>
      <c r="J131" s="0" t="n">
        <v>0</v>
      </c>
    </row>
    <row r="132" customFormat="false" ht="15" hidden="false" customHeight="false" outlineLevel="0" collapsed="false">
      <c r="A132" s="0" t="s">
        <v>148</v>
      </c>
      <c r="B132" s="0" t="s">
        <v>136</v>
      </c>
      <c r="C132" s="0" t="s">
        <v>149</v>
      </c>
      <c r="D132" s="0" t="s">
        <v>492</v>
      </c>
      <c r="E132" s="0" t="s">
        <v>601</v>
      </c>
      <c r="F132" s="0" t="n">
        <v>0.5</v>
      </c>
      <c r="G132" s="0" t="n">
        <v>15.9</v>
      </c>
      <c r="H132" s="0" t="n">
        <v>7.95</v>
      </c>
      <c r="I132" s="0" t="n">
        <f aca="false">IF(ABS(ROUND(F132*G132,2)-H132)&lt;=0.01,1,0)</f>
        <v>1</v>
      </c>
      <c r="J132" s="0" t="n">
        <v>0</v>
      </c>
    </row>
    <row r="133" customFormat="false" ht="15" hidden="false" customHeight="false" outlineLevel="0" collapsed="false">
      <c r="A133" s="0" t="s">
        <v>148</v>
      </c>
      <c r="B133" s="0" t="s">
        <v>136</v>
      </c>
      <c r="C133" s="0" t="s">
        <v>149</v>
      </c>
      <c r="D133" s="0" t="s">
        <v>492</v>
      </c>
      <c r="E133" s="0" t="s">
        <v>351</v>
      </c>
      <c r="F133" s="0" t="n">
        <v>0.5</v>
      </c>
      <c r="G133" s="0" t="n">
        <v>17.6</v>
      </c>
      <c r="H133" s="0" t="n">
        <v>8.8</v>
      </c>
      <c r="I133" s="0" t="n">
        <f aca="false">IF(ABS(ROUND(F133*G133,2)-H133)&lt;=0.01,1,0)</f>
        <v>1</v>
      </c>
      <c r="J133" s="0" t="n">
        <v>0</v>
      </c>
    </row>
    <row r="134" customFormat="false" ht="15" hidden="false" customHeight="false" outlineLevel="0" collapsed="false">
      <c r="A134" s="0" t="s">
        <v>148</v>
      </c>
      <c r="B134" s="0" t="s">
        <v>136</v>
      </c>
      <c r="C134" s="0" t="s">
        <v>149</v>
      </c>
      <c r="D134" s="0" t="s">
        <v>492</v>
      </c>
      <c r="E134" s="0" t="s">
        <v>366</v>
      </c>
      <c r="F134" s="0" t="n">
        <v>1</v>
      </c>
      <c r="G134" s="0" t="n">
        <v>2.2</v>
      </c>
      <c r="H134" s="0" t="n">
        <v>2.2</v>
      </c>
      <c r="I134" s="0" t="n">
        <f aca="false">IF(ABS(ROUND(F134*G134,2)-H134)&lt;=0.01,1,0)</f>
        <v>1</v>
      </c>
      <c r="J134" s="0" t="n">
        <v>0</v>
      </c>
    </row>
    <row r="135" customFormat="false" ht="15" hidden="false" customHeight="false" outlineLevel="0" collapsed="false">
      <c r="A135" s="0" t="s">
        <v>148</v>
      </c>
      <c r="B135" s="0" t="s">
        <v>136</v>
      </c>
      <c r="C135" s="0" t="s">
        <v>149</v>
      </c>
      <c r="D135" s="0" t="s">
        <v>492</v>
      </c>
      <c r="E135" s="0" t="s">
        <v>602</v>
      </c>
      <c r="F135" s="0" t="n">
        <v>0.5</v>
      </c>
      <c r="G135" s="0" t="n">
        <v>2.4</v>
      </c>
      <c r="H135" s="0" t="n">
        <v>1.2</v>
      </c>
      <c r="I135" s="0" t="n">
        <f aca="false">IF(ABS(ROUND(F135*G135,2)-H135)&lt;=0.01,1,0)</f>
        <v>1</v>
      </c>
      <c r="J135" s="0" t="n">
        <v>0</v>
      </c>
    </row>
    <row r="136" customFormat="false" ht="15" hidden="false" customHeight="false" outlineLevel="0" collapsed="false">
      <c r="A136" s="0" t="s">
        <v>148</v>
      </c>
      <c r="B136" s="0" t="s">
        <v>136</v>
      </c>
      <c r="C136" s="0" t="s">
        <v>149</v>
      </c>
      <c r="D136" s="0" t="s">
        <v>492</v>
      </c>
      <c r="E136" s="0" t="s">
        <v>603</v>
      </c>
      <c r="F136" s="0" t="n">
        <v>0.5</v>
      </c>
      <c r="G136" s="0" t="n">
        <v>29</v>
      </c>
      <c r="H136" s="0" t="n">
        <v>14.5</v>
      </c>
      <c r="I136" s="0" t="n">
        <f aca="false">IF(ABS(ROUND(F136*G136,2)-H136)&lt;=0.01,1,0)</f>
        <v>1</v>
      </c>
      <c r="J136" s="0" t="n">
        <v>0</v>
      </c>
    </row>
    <row r="137" customFormat="false" ht="15" hidden="false" customHeight="false" outlineLevel="0" collapsed="false">
      <c r="A137" s="0" t="s">
        <v>148</v>
      </c>
      <c r="B137" s="0" t="s">
        <v>136</v>
      </c>
      <c r="C137" s="0" t="s">
        <v>149</v>
      </c>
      <c r="D137" s="0" t="s">
        <v>502</v>
      </c>
      <c r="E137" s="0" t="s">
        <v>598</v>
      </c>
      <c r="F137" s="0" t="n">
        <v>0.5</v>
      </c>
      <c r="G137" s="0" t="n">
        <v>4.2</v>
      </c>
      <c r="H137" s="0" t="n">
        <v>2.1</v>
      </c>
      <c r="I137" s="0" t="n">
        <f aca="false">IF(ABS(ROUND(F137*G137,2)-H137)&lt;=0.01,1,0)</f>
        <v>1</v>
      </c>
      <c r="J137" s="0" t="n">
        <v>0</v>
      </c>
    </row>
    <row r="138" customFormat="false" ht="15" hidden="false" customHeight="false" outlineLevel="0" collapsed="false">
      <c r="A138" s="0" t="s">
        <v>148</v>
      </c>
      <c r="B138" s="0" t="s">
        <v>136</v>
      </c>
      <c r="C138" s="0" t="s">
        <v>149</v>
      </c>
      <c r="D138" s="0" t="s">
        <v>502</v>
      </c>
      <c r="E138" s="0" t="s">
        <v>368</v>
      </c>
      <c r="F138" s="0" t="n">
        <v>0.5</v>
      </c>
      <c r="G138" s="0" t="n">
        <v>5.2</v>
      </c>
      <c r="H138" s="0" t="n">
        <v>2.6</v>
      </c>
      <c r="I138" s="0" t="n">
        <f aca="false">IF(ABS(ROUND(F138*G138,2)-H138)&lt;=0.01,1,0)</f>
        <v>1</v>
      </c>
      <c r="J138" s="0" t="n">
        <v>1</v>
      </c>
    </row>
    <row r="139" customFormat="false" ht="15" hidden="false" customHeight="false" outlineLevel="0" collapsed="false">
      <c r="A139" s="0" t="s">
        <v>148</v>
      </c>
      <c r="B139" s="0" t="s">
        <v>136</v>
      </c>
      <c r="C139" s="0" t="s">
        <v>149</v>
      </c>
      <c r="D139" s="0" t="s">
        <v>502</v>
      </c>
      <c r="E139" s="0" t="s">
        <v>590</v>
      </c>
      <c r="F139" s="0" t="n">
        <v>1</v>
      </c>
      <c r="G139" s="0" t="n">
        <v>7.9</v>
      </c>
      <c r="H139" s="0" t="n">
        <v>7.9</v>
      </c>
      <c r="I139" s="0" t="n">
        <f aca="false">IF(ABS(ROUND(F139*G139,2)-H139)&lt;=0.01,1,0)</f>
        <v>1</v>
      </c>
      <c r="J139" s="0" t="n">
        <v>0</v>
      </c>
    </row>
    <row r="140" customFormat="false" ht="15" hidden="false" customHeight="false" outlineLevel="0" collapsed="false">
      <c r="A140" s="0" t="s">
        <v>148</v>
      </c>
      <c r="B140" s="0" t="s">
        <v>136</v>
      </c>
      <c r="C140" s="0" t="s">
        <v>149</v>
      </c>
      <c r="D140" s="0" t="s">
        <v>502</v>
      </c>
      <c r="E140" s="0" t="s">
        <v>599</v>
      </c>
      <c r="F140" s="0" t="n">
        <v>1</v>
      </c>
      <c r="G140" s="0" t="n">
        <v>5.9</v>
      </c>
      <c r="H140" s="0" t="n">
        <v>5.9</v>
      </c>
      <c r="I140" s="0" t="n">
        <f aca="false">IF(ABS(ROUND(F140*G140,2)-H140)&lt;=0.01,1,0)</f>
        <v>1</v>
      </c>
      <c r="J140" s="0" t="n">
        <v>0</v>
      </c>
    </row>
    <row r="141" customFormat="false" ht="15" hidden="false" customHeight="false" outlineLevel="0" collapsed="false">
      <c r="A141" s="0" t="s">
        <v>148</v>
      </c>
      <c r="B141" s="0" t="s">
        <v>136</v>
      </c>
      <c r="C141" s="0" t="s">
        <v>149</v>
      </c>
      <c r="D141" s="0" t="s">
        <v>502</v>
      </c>
      <c r="E141" s="0" t="s">
        <v>600</v>
      </c>
      <c r="F141" s="0" t="n">
        <v>0.5</v>
      </c>
      <c r="G141" s="0" t="n">
        <v>15.9</v>
      </c>
      <c r="H141" s="0" t="n">
        <v>7.95</v>
      </c>
      <c r="I141" s="0" t="n">
        <f aca="false">IF(ABS(ROUND(F141*G141,2)-H141)&lt;=0.01,1,0)</f>
        <v>1</v>
      </c>
      <c r="J141" s="0" t="n">
        <v>0</v>
      </c>
    </row>
    <row r="142" customFormat="false" ht="15" hidden="false" customHeight="false" outlineLevel="0" collapsed="false">
      <c r="A142" s="0" t="s">
        <v>148</v>
      </c>
      <c r="B142" s="0" t="s">
        <v>136</v>
      </c>
      <c r="C142" s="0" t="s">
        <v>149</v>
      </c>
      <c r="D142" s="0" t="s">
        <v>502</v>
      </c>
      <c r="E142" s="0" t="s">
        <v>596</v>
      </c>
      <c r="F142" s="0" t="n">
        <v>0.5</v>
      </c>
      <c r="G142" s="0" t="n">
        <v>19.9</v>
      </c>
      <c r="H142" s="0" t="n">
        <v>9.95</v>
      </c>
      <c r="I142" s="0" t="n">
        <f aca="false">IF(ABS(ROUND(F142*G142,2)-H142)&lt;=0.01,1,0)</f>
        <v>1</v>
      </c>
      <c r="J142" s="0" t="n">
        <v>0</v>
      </c>
    </row>
    <row r="143" customFormat="false" ht="15" hidden="false" customHeight="false" outlineLevel="0" collapsed="false">
      <c r="A143" s="0" t="s">
        <v>148</v>
      </c>
      <c r="B143" s="0" t="s">
        <v>136</v>
      </c>
      <c r="C143" s="0" t="s">
        <v>149</v>
      </c>
      <c r="D143" s="0" t="s">
        <v>502</v>
      </c>
      <c r="E143" s="0" t="s">
        <v>601</v>
      </c>
      <c r="F143" s="0" t="n">
        <v>0.5</v>
      </c>
      <c r="G143" s="0" t="n">
        <v>15.9</v>
      </c>
      <c r="H143" s="0" t="n">
        <v>7.95</v>
      </c>
      <c r="I143" s="0" t="n">
        <f aca="false">IF(ABS(ROUND(F143*G143,2)-H143)&lt;=0.01,1,0)</f>
        <v>1</v>
      </c>
      <c r="J143" s="0" t="n">
        <v>0</v>
      </c>
    </row>
    <row r="144" customFormat="false" ht="15" hidden="false" customHeight="false" outlineLevel="0" collapsed="false">
      <c r="A144" s="0" t="s">
        <v>148</v>
      </c>
      <c r="B144" s="0" t="s">
        <v>136</v>
      </c>
      <c r="C144" s="0" t="s">
        <v>149</v>
      </c>
      <c r="D144" s="0" t="s">
        <v>502</v>
      </c>
      <c r="E144" s="0" t="s">
        <v>351</v>
      </c>
      <c r="F144" s="0" t="n">
        <v>0.5</v>
      </c>
      <c r="G144" s="0" t="n">
        <v>17.6</v>
      </c>
      <c r="H144" s="0" t="n">
        <v>8.8</v>
      </c>
      <c r="I144" s="0" t="n">
        <f aca="false">IF(ABS(ROUND(F144*G144,2)-H144)&lt;=0.01,1,0)</f>
        <v>1</v>
      </c>
      <c r="J144" s="0" t="n">
        <v>0</v>
      </c>
    </row>
    <row r="145" customFormat="false" ht="15" hidden="false" customHeight="false" outlineLevel="0" collapsed="false">
      <c r="A145" s="0" t="s">
        <v>148</v>
      </c>
      <c r="B145" s="0" t="s">
        <v>136</v>
      </c>
      <c r="C145" s="0" t="s">
        <v>149</v>
      </c>
      <c r="D145" s="0" t="s">
        <v>502</v>
      </c>
      <c r="E145" s="0" t="s">
        <v>366</v>
      </c>
      <c r="F145" s="0" t="n">
        <v>1</v>
      </c>
      <c r="G145" s="0" t="n">
        <v>2.2</v>
      </c>
      <c r="H145" s="0" t="n">
        <v>2.2</v>
      </c>
      <c r="I145" s="0" t="n">
        <f aca="false">IF(ABS(ROUND(F145*G145,2)-H145)&lt;=0.01,1,0)</f>
        <v>1</v>
      </c>
      <c r="J145" s="0" t="n">
        <v>0</v>
      </c>
    </row>
    <row r="146" customFormat="false" ht="15" hidden="false" customHeight="false" outlineLevel="0" collapsed="false">
      <c r="A146" s="0" t="s">
        <v>148</v>
      </c>
      <c r="B146" s="0" t="s">
        <v>136</v>
      </c>
      <c r="C146" s="0" t="s">
        <v>149</v>
      </c>
      <c r="D146" s="0" t="s">
        <v>502</v>
      </c>
      <c r="E146" s="0" t="s">
        <v>602</v>
      </c>
      <c r="F146" s="0" t="n">
        <v>0.5</v>
      </c>
      <c r="G146" s="0" t="n">
        <v>2.4</v>
      </c>
      <c r="H146" s="0" t="n">
        <v>1.2</v>
      </c>
      <c r="I146" s="0" t="n">
        <f aca="false">IF(ABS(ROUND(F146*G146,2)-H146)&lt;=0.01,1,0)</f>
        <v>1</v>
      </c>
      <c r="J146" s="0" t="n">
        <v>0</v>
      </c>
    </row>
    <row r="147" customFormat="false" ht="15" hidden="false" customHeight="false" outlineLevel="0" collapsed="false">
      <c r="A147" s="0" t="s">
        <v>148</v>
      </c>
      <c r="B147" s="0" t="s">
        <v>136</v>
      </c>
      <c r="C147" s="0" t="s">
        <v>149</v>
      </c>
      <c r="D147" s="0" t="s">
        <v>502</v>
      </c>
      <c r="E147" s="0" t="s">
        <v>603</v>
      </c>
      <c r="F147" s="0" t="n">
        <v>0.5</v>
      </c>
      <c r="G147" s="0" t="n">
        <v>29</v>
      </c>
      <c r="H147" s="0" t="n">
        <v>14.5</v>
      </c>
      <c r="I147" s="0" t="n">
        <f aca="false">IF(ABS(ROUND(F147*G147,2)-H147)&lt;=0.01,1,0)</f>
        <v>1</v>
      </c>
      <c r="J147" s="0" t="n">
        <v>0</v>
      </c>
    </row>
    <row r="148" customFormat="false" ht="15" hidden="false" customHeight="false" outlineLevel="0" collapsed="false">
      <c r="A148" s="0" t="s">
        <v>148</v>
      </c>
      <c r="B148" s="0" t="s">
        <v>136</v>
      </c>
      <c r="C148" s="0" t="s">
        <v>149</v>
      </c>
      <c r="D148" s="0" t="s">
        <v>519</v>
      </c>
      <c r="E148" s="0" t="s">
        <v>349</v>
      </c>
      <c r="F148" s="0" t="n">
        <v>0.5</v>
      </c>
      <c r="G148" s="0" t="n">
        <v>9.8</v>
      </c>
      <c r="H148" s="0" t="n">
        <v>4.9</v>
      </c>
      <c r="I148" s="0" t="n">
        <f aca="false">IF(ABS(ROUND(F148*G148,2)-H148)&lt;=0.01,1,0)</f>
        <v>1</v>
      </c>
      <c r="J148" s="0" t="n">
        <v>0</v>
      </c>
    </row>
    <row r="149" customFormat="false" ht="15" hidden="false" customHeight="false" outlineLevel="0" collapsed="false">
      <c r="A149" s="0" t="s">
        <v>148</v>
      </c>
      <c r="B149" s="0" t="s">
        <v>136</v>
      </c>
      <c r="C149" s="0" t="s">
        <v>149</v>
      </c>
      <c r="D149" s="0" t="s">
        <v>519</v>
      </c>
      <c r="E149" s="0" t="s">
        <v>604</v>
      </c>
      <c r="F149" s="0" t="n">
        <v>0.5</v>
      </c>
      <c r="G149" s="0" t="n">
        <v>4</v>
      </c>
      <c r="H149" s="0" t="n">
        <v>2</v>
      </c>
      <c r="I149" s="0" t="n">
        <f aca="false">IF(ABS(ROUND(F149*G149,2)-H149)&lt;=0.01,1,0)</f>
        <v>1</v>
      </c>
      <c r="J149" s="0" t="n">
        <v>0</v>
      </c>
    </row>
    <row r="150" customFormat="false" ht="15" hidden="false" customHeight="false" outlineLevel="0" collapsed="false">
      <c r="A150" s="0" t="s">
        <v>148</v>
      </c>
      <c r="B150" s="0" t="s">
        <v>136</v>
      </c>
      <c r="C150" s="0" t="s">
        <v>149</v>
      </c>
      <c r="D150" s="0" t="s">
        <v>519</v>
      </c>
      <c r="E150" s="0" t="s">
        <v>605</v>
      </c>
      <c r="F150" s="0" t="n">
        <v>0.5</v>
      </c>
      <c r="G150" s="0" t="n">
        <v>17.6</v>
      </c>
      <c r="H150" s="0" t="n">
        <v>8.8</v>
      </c>
      <c r="I150" s="0" t="n">
        <f aca="false">IF(ABS(ROUND(F150*G150,2)-H150)&lt;=0.01,1,0)</f>
        <v>1</v>
      </c>
      <c r="J150" s="0" t="n">
        <v>0</v>
      </c>
    </row>
    <row r="151" customFormat="false" ht="15" hidden="false" customHeight="false" outlineLevel="0" collapsed="false">
      <c r="A151" s="0" t="s">
        <v>148</v>
      </c>
      <c r="B151" s="0" t="s">
        <v>136</v>
      </c>
      <c r="C151" s="0" t="s">
        <v>149</v>
      </c>
      <c r="D151" s="0" t="s">
        <v>519</v>
      </c>
      <c r="E151" s="0" t="s">
        <v>430</v>
      </c>
      <c r="F151" s="0" t="n">
        <v>0.5</v>
      </c>
      <c r="G151" s="0" t="n">
        <v>19.9</v>
      </c>
      <c r="H151" s="0" t="n">
        <v>9.95</v>
      </c>
      <c r="I151" s="0" t="n">
        <f aca="false">IF(ABS(ROUND(F151*G151,2)-H151)&lt;=0.01,1,0)</f>
        <v>1</v>
      </c>
      <c r="J151" s="0" t="n">
        <v>0</v>
      </c>
    </row>
    <row r="152" customFormat="false" ht="15" hidden="false" customHeight="false" outlineLevel="0" collapsed="false">
      <c r="A152" s="0" t="s">
        <v>148</v>
      </c>
      <c r="B152" s="0" t="s">
        <v>136</v>
      </c>
      <c r="C152" s="0" t="s">
        <v>149</v>
      </c>
      <c r="D152" s="0" t="s">
        <v>519</v>
      </c>
      <c r="E152" s="0" t="s">
        <v>345</v>
      </c>
      <c r="F152" s="0" t="n">
        <v>0.5</v>
      </c>
      <c r="G152" s="0" t="n">
        <v>8.7</v>
      </c>
      <c r="H152" s="0" t="n">
        <v>4.35</v>
      </c>
      <c r="I152" s="0" t="n">
        <f aca="false">IF(ABS(ROUND(F152*G152,2)-H152)&lt;=0.01,1,0)</f>
        <v>1</v>
      </c>
      <c r="J152" s="0" t="n">
        <v>0</v>
      </c>
    </row>
    <row r="153" customFormat="false" ht="15" hidden="false" customHeight="false" outlineLevel="0" collapsed="false">
      <c r="A153" s="0" t="s">
        <v>148</v>
      </c>
      <c r="B153" s="0" t="s">
        <v>136</v>
      </c>
      <c r="C153" s="0" t="s">
        <v>149</v>
      </c>
      <c r="D153" s="0" t="s">
        <v>519</v>
      </c>
      <c r="E153" s="0" t="s">
        <v>606</v>
      </c>
      <c r="F153" s="0" t="n">
        <v>0.5</v>
      </c>
      <c r="G153" s="0" t="n">
        <v>8.5</v>
      </c>
      <c r="H153" s="0" t="n">
        <v>4.25</v>
      </c>
      <c r="I153" s="0" t="n">
        <f aca="false">IF(ABS(ROUND(F153*G153,2)-H153)&lt;=0.01,1,0)</f>
        <v>1</v>
      </c>
      <c r="J153" s="0" t="n">
        <v>0</v>
      </c>
    </row>
    <row r="154" customFormat="false" ht="15" hidden="false" customHeight="false" outlineLevel="0" collapsed="false">
      <c r="A154" s="0" t="s">
        <v>148</v>
      </c>
      <c r="B154" s="0" t="s">
        <v>136</v>
      </c>
      <c r="C154" s="0" t="s">
        <v>149</v>
      </c>
      <c r="D154" s="0" t="s">
        <v>519</v>
      </c>
      <c r="E154" s="0" t="s">
        <v>366</v>
      </c>
      <c r="F154" s="0" t="n">
        <v>0.5</v>
      </c>
      <c r="G154" s="0" t="n">
        <v>2.2</v>
      </c>
      <c r="H154" s="0" t="n">
        <v>1.1</v>
      </c>
      <c r="I154" s="0" t="n">
        <f aca="false">IF(ABS(ROUND(F154*G154,2)-H154)&lt;=0.01,1,0)</f>
        <v>1</v>
      </c>
      <c r="J154" s="0" t="n">
        <v>1</v>
      </c>
    </row>
    <row r="155" customFormat="false" ht="15" hidden="false" customHeight="false" outlineLevel="0" collapsed="false">
      <c r="A155" s="0" t="s">
        <v>148</v>
      </c>
      <c r="B155" s="0" t="s">
        <v>136</v>
      </c>
      <c r="C155" s="0" t="s">
        <v>149</v>
      </c>
      <c r="D155" s="0" t="s">
        <v>521</v>
      </c>
      <c r="E155" s="0" t="s">
        <v>349</v>
      </c>
      <c r="F155" s="0" t="n">
        <v>0.5</v>
      </c>
      <c r="G155" s="0" t="n">
        <v>9.8</v>
      </c>
      <c r="H155" s="0" t="n">
        <v>4.9</v>
      </c>
      <c r="I155" s="0" t="n">
        <f aca="false">IF(ABS(ROUND(F155*G155,2)-H155)&lt;=0.01,1,0)</f>
        <v>1</v>
      </c>
      <c r="J155" s="0" t="n">
        <v>0</v>
      </c>
    </row>
    <row r="156" customFormat="false" ht="15" hidden="false" customHeight="false" outlineLevel="0" collapsed="false">
      <c r="A156" s="0" t="s">
        <v>148</v>
      </c>
      <c r="B156" s="0" t="s">
        <v>136</v>
      </c>
      <c r="C156" s="0" t="s">
        <v>149</v>
      </c>
      <c r="D156" s="0" t="s">
        <v>521</v>
      </c>
      <c r="E156" s="0" t="s">
        <v>604</v>
      </c>
      <c r="F156" s="0" t="n">
        <v>0.5</v>
      </c>
      <c r="G156" s="0" t="n">
        <v>4</v>
      </c>
      <c r="H156" s="0" t="n">
        <v>2</v>
      </c>
      <c r="I156" s="0" t="n">
        <f aca="false">IF(ABS(ROUND(F156*G156,2)-H156)&lt;=0.01,1,0)</f>
        <v>1</v>
      </c>
      <c r="J156" s="0" t="n">
        <v>0</v>
      </c>
    </row>
    <row r="157" customFormat="false" ht="15" hidden="false" customHeight="false" outlineLevel="0" collapsed="false">
      <c r="A157" s="0" t="s">
        <v>148</v>
      </c>
      <c r="B157" s="0" t="s">
        <v>136</v>
      </c>
      <c r="C157" s="0" t="s">
        <v>149</v>
      </c>
      <c r="D157" s="0" t="s">
        <v>521</v>
      </c>
      <c r="E157" s="0" t="s">
        <v>605</v>
      </c>
      <c r="F157" s="0" t="n">
        <v>0.5</v>
      </c>
      <c r="G157" s="0" t="n">
        <v>17.6</v>
      </c>
      <c r="H157" s="0" t="n">
        <v>8.8</v>
      </c>
      <c r="I157" s="0" t="n">
        <f aca="false">IF(ABS(ROUND(F157*G157,2)-H157)&lt;=0.01,1,0)</f>
        <v>1</v>
      </c>
      <c r="J157" s="0" t="n">
        <v>0</v>
      </c>
    </row>
    <row r="158" customFormat="false" ht="15" hidden="false" customHeight="false" outlineLevel="0" collapsed="false">
      <c r="A158" s="0" t="s">
        <v>148</v>
      </c>
      <c r="B158" s="0" t="s">
        <v>136</v>
      </c>
      <c r="C158" s="0" t="s">
        <v>149</v>
      </c>
      <c r="D158" s="0" t="s">
        <v>521</v>
      </c>
      <c r="E158" s="0" t="s">
        <v>430</v>
      </c>
      <c r="F158" s="0" t="n">
        <v>0.5</v>
      </c>
      <c r="G158" s="0" t="n">
        <v>19.9</v>
      </c>
      <c r="H158" s="0" t="n">
        <v>9.95</v>
      </c>
      <c r="I158" s="0" t="n">
        <f aca="false">IF(ABS(ROUND(F158*G158,2)-H158)&lt;=0.01,1,0)</f>
        <v>1</v>
      </c>
      <c r="J158" s="0" t="n">
        <v>0</v>
      </c>
    </row>
    <row r="159" customFormat="false" ht="15" hidden="false" customHeight="false" outlineLevel="0" collapsed="false">
      <c r="A159" s="0" t="s">
        <v>148</v>
      </c>
      <c r="B159" s="0" t="s">
        <v>136</v>
      </c>
      <c r="C159" s="0" t="s">
        <v>149</v>
      </c>
      <c r="D159" s="0" t="s">
        <v>521</v>
      </c>
      <c r="E159" s="0" t="s">
        <v>345</v>
      </c>
      <c r="F159" s="0" t="n">
        <v>0.5</v>
      </c>
      <c r="G159" s="0" t="n">
        <v>8.7</v>
      </c>
      <c r="H159" s="0" t="n">
        <v>4.35</v>
      </c>
      <c r="I159" s="0" t="n">
        <f aca="false">IF(ABS(ROUND(F159*G159,2)-H159)&lt;=0.01,1,0)</f>
        <v>1</v>
      </c>
      <c r="J159" s="0" t="n">
        <v>0</v>
      </c>
    </row>
    <row r="160" customFormat="false" ht="15" hidden="false" customHeight="false" outlineLevel="0" collapsed="false">
      <c r="A160" s="0" t="s">
        <v>148</v>
      </c>
      <c r="B160" s="0" t="s">
        <v>136</v>
      </c>
      <c r="C160" s="0" t="s">
        <v>149</v>
      </c>
      <c r="D160" s="0" t="s">
        <v>521</v>
      </c>
      <c r="E160" s="0" t="s">
        <v>606</v>
      </c>
      <c r="F160" s="0" t="n">
        <v>0.5</v>
      </c>
      <c r="G160" s="0" t="n">
        <v>8.5</v>
      </c>
      <c r="H160" s="0" t="n">
        <v>4.25</v>
      </c>
      <c r="I160" s="0" t="n">
        <f aca="false">IF(ABS(ROUND(F160*G160,2)-H160)&lt;=0.01,1,0)</f>
        <v>1</v>
      </c>
      <c r="J160" s="0" t="n">
        <v>0</v>
      </c>
    </row>
    <row r="161" customFormat="false" ht="15" hidden="false" customHeight="false" outlineLevel="0" collapsed="false">
      <c r="A161" s="0" t="s">
        <v>148</v>
      </c>
      <c r="B161" s="0" t="s">
        <v>136</v>
      </c>
      <c r="C161" s="0" t="s">
        <v>149</v>
      </c>
      <c r="D161" s="0" t="s">
        <v>521</v>
      </c>
      <c r="E161" s="0" t="s">
        <v>366</v>
      </c>
      <c r="F161" s="0" t="n">
        <v>0.5</v>
      </c>
      <c r="G161" s="0" t="n">
        <v>2.2</v>
      </c>
      <c r="H161" s="0" t="n">
        <v>1.1</v>
      </c>
      <c r="I161" s="0" t="n">
        <f aca="false">IF(ABS(ROUND(F161*G161,2)-H161)&lt;=0.01,1,0)</f>
        <v>1</v>
      </c>
      <c r="J161" s="0" t="n">
        <v>1</v>
      </c>
    </row>
    <row r="162" customFormat="false" ht="15" hidden="false" customHeight="false" outlineLevel="0" collapsed="false">
      <c r="A162" s="0" t="s">
        <v>151</v>
      </c>
      <c r="B162" s="0" t="s">
        <v>136</v>
      </c>
      <c r="C162" s="0" t="s">
        <v>152</v>
      </c>
      <c r="D162" s="0" t="s">
        <v>506</v>
      </c>
      <c r="E162" s="0" t="s">
        <v>405</v>
      </c>
      <c r="F162" s="0" t="n">
        <v>1</v>
      </c>
      <c r="G162" s="0" t="n">
        <v>4.9</v>
      </c>
      <c r="H162" s="0" t="n">
        <v>4.9</v>
      </c>
      <c r="I162" s="0" t="n">
        <f aca="false">IF(ABS(ROUND(F162*G162,2)-H162)&lt;=0.01,1,0)</f>
        <v>1</v>
      </c>
      <c r="J162" s="0" t="n">
        <v>0</v>
      </c>
    </row>
    <row r="163" customFormat="false" ht="15" hidden="false" customHeight="false" outlineLevel="0" collapsed="false">
      <c r="A163" s="0" t="s">
        <v>151</v>
      </c>
      <c r="B163" s="0" t="s">
        <v>136</v>
      </c>
      <c r="C163" s="0" t="s">
        <v>152</v>
      </c>
      <c r="D163" s="0" t="s">
        <v>506</v>
      </c>
      <c r="E163" s="0" t="s">
        <v>607</v>
      </c>
      <c r="F163" s="0" t="n">
        <v>1</v>
      </c>
      <c r="G163" s="0" t="n">
        <v>5.2</v>
      </c>
      <c r="H163" s="0" t="n">
        <v>5.2</v>
      </c>
      <c r="I163" s="0" t="n">
        <f aca="false">IF(ABS(ROUND(F163*G163,2)-H163)&lt;=0.01,1,0)</f>
        <v>1</v>
      </c>
      <c r="J163" s="0" t="n">
        <v>0</v>
      </c>
    </row>
    <row r="164" customFormat="false" ht="15" hidden="false" customHeight="false" outlineLevel="0" collapsed="false">
      <c r="A164" s="0" t="s">
        <v>151</v>
      </c>
      <c r="B164" s="0" t="s">
        <v>136</v>
      </c>
      <c r="C164" s="0" t="s">
        <v>152</v>
      </c>
      <c r="D164" s="0" t="s">
        <v>506</v>
      </c>
      <c r="E164" s="0" t="s">
        <v>392</v>
      </c>
      <c r="F164" s="0" t="n">
        <v>0.5</v>
      </c>
      <c r="G164" s="0" t="n">
        <v>17.6</v>
      </c>
      <c r="H164" s="0" t="n">
        <v>8.8</v>
      </c>
      <c r="I164" s="0" t="n">
        <f aca="false">IF(ABS(ROUND(F164*G164,2)-H164)&lt;=0.01,1,0)</f>
        <v>1</v>
      </c>
      <c r="J164" s="0" t="n">
        <v>0</v>
      </c>
    </row>
    <row r="165" customFormat="false" ht="15" hidden="false" customHeight="false" outlineLevel="0" collapsed="false">
      <c r="A165" s="0" t="s">
        <v>151</v>
      </c>
      <c r="B165" s="0" t="s">
        <v>136</v>
      </c>
      <c r="C165" s="0" t="s">
        <v>152</v>
      </c>
      <c r="D165" s="0" t="s">
        <v>506</v>
      </c>
      <c r="E165" s="0" t="s">
        <v>605</v>
      </c>
      <c r="F165" s="0" t="n">
        <v>0.5</v>
      </c>
      <c r="G165" s="0" t="n">
        <v>17.6</v>
      </c>
      <c r="H165" s="0" t="n">
        <v>8.8</v>
      </c>
      <c r="I165" s="0" t="n">
        <f aca="false">IF(ABS(ROUND(F165*G165,2)-H165)&lt;=0.01,1,0)</f>
        <v>1</v>
      </c>
      <c r="J165" s="0" t="n">
        <v>0</v>
      </c>
    </row>
    <row r="166" customFormat="false" ht="15" hidden="false" customHeight="false" outlineLevel="0" collapsed="false">
      <c r="A166" s="0" t="s">
        <v>151</v>
      </c>
      <c r="B166" s="0" t="s">
        <v>136</v>
      </c>
      <c r="C166" s="0" t="s">
        <v>152</v>
      </c>
      <c r="D166" s="0" t="s">
        <v>506</v>
      </c>
      <c r="E166" s="0" t="s">
        <v>345</v>
      </c>
      <c r="F166" s="0" t="n">
        <v>0.5</v>
      </c>
      <c r="G166" s="0" t="n">
        <v>8.7</v>
      </c>
      <c r="H166" s="0" t="n">
        <v>4.35</v>
      </c>
      <c r="I166" s="0" t="n">
        <f aca="false">IF(ABS(ROUND(F166*G166,2)-H166)&lt;=0.01,1,0)</f>
        <v>1</v>
      </c>
      <c r="J166" s="0" t="n">
        <v>0</v>
      </c>
    </row>
    <row r="167" customFormat="false" ht="15" hidden="false" customHeight="false" outlineLevel="0" collapsed="false">
      <c r="A167" s="0" t="s">
        <v>151</v>
      </c>
      <c r="B167" s="0" t="s">
        <v>136</v>
      </c>
      <c r="C167" s="0" t="s">
        <v>152</v>
      </c>
      <c r="D167" s="0" t="s">
        <v>506</v>
      </c>
      <c r="E167" s="0" t="s">
        <v>372</v>
      </c>
      <c r="F167" s="0" t="n">
        <v>0.5</v>
      </c>
      <c r="G167" s="0" t="n">
        <v>6.9</v>
      </c>
      <c r="H167" s="0" t="n">
        <v>3.45</v>
      </c>
      <c r="I167" s="0" t="n">
        <f aca="false">IF(ABS(ROUND(F167*G167,2)-H167)&lt;=0.01,1,0)</f>
        <v>1</v>
      </c>
      <c r="J167" s="0" t="n">
        <v>1</v>
      </c>
    </row>
    <row r="168" customFormat="false" ht="15" hidden="false" customHeight="false" outlineLevel="0" collapsed="false">
      <c r="A168" s="0" t="s">
        <v>151</v>
      </c>
      <c r="B168" s="0" t="s">
        <v>136</v>
      </c>
      <c r="C168" s="0" t="s">
        <v>152</v>
      </c>
      <c r="D168" s="0" t="s">
        <v>506</v>
      </c>
      <c r="E168" s="0" t="s">
        <v>608</v>
      </c>
      <c r="F168" s="0" t="n">
        <v>0.5</v>
      </c>
      <c r="G168" s="0" t="n">
        <v>3.4</v>
      </c>
      <c r="H168" s="0" t="n">
        <v>1.7</v>
      </c>
      <c r="I168" s="0" t="n">
        <f aca="false">IF(ABS(ROUND(F168*G168,2)-H168)&lt;=0.01,1,0)</f>
        <v>1</v>
      </c>
      <c r="J168" s="0" t="n">
        <v>0</v>
      </c>
    </row>
    <row r="169" customFormat="false" ht="15" hidden="false" customHeight="false" outlineLevel="0" collapsed="false">
      <c r="A169" s="0" t="s">
        <v>151</v>
      </c>
      <c r="B169" s="0" t="s">
        <v>136</v>
      </c>
      <c r="C169" s="0" t="s">
        <v>152</v>
      </c>
      <c r="D169" s="0" t="s">
        <v>506</v>
      </c>
      <c r="E169" s="0" t="s">
        <v>366</v>
      </c>
      <c r="F169" s="0" t="n">
        <v>0.5</v>
      </c>
      <c r="G169" s="0" t="n">
        <v>2.2</v>
      </c>
      <c r="H169" s="0" t="n">
        <v>1.1</v>
      </c>
      <c r="I169" s="0" t="n">
        <f aca="false">IF(ABS(ROUND(F169*G169,2)-H169)&lt;=0.01,1,0)</f>
        <v>1</v>
      </c>
      <c r="J169" s="0" t="n">
        <v>1</v>
      </c>
    </row>
    <row r="170" customFormat="false" ht="15" hidden="false" customHeight="false" outlineLevel="0" collapsed="false">
      <c r="A170" s="0" t="s">
        <v>151</v>
      </c>
      <c r="B170" s="0" t="s">
        <v>136</v>
      </c>
      <c r="C170" s="0" t="s">
        <v>152</v>
      </c>
      <c r="D170" s="0" t="s">
        <v>522</v>
      </c>
      <c r="E170" s="0" t="s">
        <v>392</v>
      </c>
      <c r="F170" s="0" t="n">
        <v>0.5</v>
      </c>
      <c r="G170" s="0" t="n">
        <v>17.6</v>
      </c>
      <c r="H170" s="0" t="n">
        <v>8.8</v>
      </c>
      <c r="I170" s="0" t="n">
        <f aca="false">IF(ABS(ROUND(F170*G170,2)-H170)&lt;=0.01,1,0)</f>
        <v>1</v>
      </c>
      <c r="J170" s="0" t="n">
        <v>0</v>
      </c>
    </row>
    <row r="171" customFormat="false" ht="15" hidden="false" customHeight="false" outlineLevel="0" collapsed="false">
      <c r="A171" s="0" t="s">
        <v>151</v>
      </c>
      <c r="B171" s="0" t="s">
        <v>136</v>
      </c>
      <c r="C171" s="0" t="s">
        <v>152</v>
      </c>
      <c r="D171" s="0" t="s">
        <v>522</v>
      </c>
      <c r="E171" s="0" t="s">
        <v>605</v>
      </c>
      <c r="F171" s="0" t="n">
        <v>0.5</v>
      </c>
      <c r="G171" s="0" t="n">
        <v>17.6</v>
      </c>
      <c r="H171" s="0" t="n">
        <v>8.8</v>
      </c>
      <c r="I171" s="0" t="n">
        <f aca="false">IF(ABS(ROUND(F171*G171,2)-H171)&lt;=0.01,1,0)</f>
        <v>1</v>
      </c>
      <c r="J171" s="0" t="n">
        <v>0</v>
      </c>
    </row>
    <row r="172" customFormat="false" ht="15" hidden="false" customHeight="false" outlineLevel="0" collapsed="false">
      <c r="A172" s="0" t="s">
        <v>151</v>
      </c>
      <c r="B172" s="0" t="s">
        <v>136</v>
      </c>
      <c r="C172" s="0" t="s">
        <v>152</v>
      </c>
      <c r="D172" s="0" t="s">
        <v>522</v>
      </c>
      <c r="E172" s="0" t="s">
        <v>345</v>
      </c>
      <c r="F172" s="0" t="n">
        <v>0.5</v>
      </c>
      <c r="G172" s="0" t="n">
        <v>8.7</v>
      </c>
      <c r="H172" s="0" t="n">
        <v>4.35</v>
      </c>
      <c r="I172" s="0" t="n">
        <f aca="false">IF(ABS(ROUND(F172*G172,2)-H172)&lt;=0.01,1,0)</f>
        <v>1</v>
      </c>
      <c r="J172" s="0" t="n">
        <v>0</v>
      </c>
    </row>
    <row r="173" customFormat="false" ht="15" hidden="false" customHeight="false" outlineLevel="0" collapsed="false">
      <c r="A173" s="0" t="s">
        <v>151</v>
      </c>
      <c r="B173" s="0" t="s">
        <v>136</v>
      </c>
      <c r="C173" s="0" t="s">
        <v>152</v>
      </c>
      <c r="D173" s="0" t="s">
        <v>522</v>
      </c>
      <c r="E173" s="0" t="s">
        <v>372</v>
      </c>
      <c r="F173" s="0" t="n">
        <v>0.5</v>
      </c>
      <c r="G173" s="0" t="n">
        <v>6.9</v>
      </c>
      <c r="H173" s="0" t="n">
        <v>3.45</v>
      </c>
      <c r="I173" s="0" t="n">
        <f aca="false">IF(ABS(ROUND(F173*G173,2)-H173)&lt;=0.01,1,0)</f>
        <v>1</v>
      </c>
      <c r="J173" s="0" t="n">
        <v>1</v>
      </c>
    </row>
    <row r="174" customFormat="false" ht="15" hidden="false" customHeight="false" outlineLevel="0" collapsed="false">
      <c r="A174" s="0" t="s">
        <v>151</v>
      </c>
      <c r="B174" s="0" t="s">
        <v>136</v>
      </c>
      <c r="C174" s="0" t="s">
        <v>152</v>
      </c>
      <c r="D174" s="0" t="s">
        <v>522</v>
      </c>
      <c r="E174" s="0" t="s">
        <v>608</v>
      </c>
      <c r="F174" s="0" t="n">
        <v>0.5</v>
      </c>
      <c r="G174" s="0" t="n">
        <v>3.4</v>
      </c>
      <c r="H174" s="0" t="n">
        <v>1.7</v>
      </c>
      <c r="I174" s="0" t="n">
        <f aca="false">IF(ABS(ROUND(F174*G174,2)-H174)&lt;=0.01,1,0)</f>
        <v>1</v>
      </c>
      <c r="J174" s="0" t="n">
        <v>0</v>
      </c>
    </row>
    <row r="175" customFormat="false" ht="15" hidden="false" customHeight="false" outlineLevel="0" collapsed="false">
      <c r="A175" s="0" t="s">
        <v>151</v>
      </c>
      <c r="B175" s="0" t="s">
        <v>136</v>
      </c>
      <c r="C175" s="0" t="s">
        <v>152</v>
      </c>
      <c r="D175" s="0" t="s">
        <v>522</v>
      </c>
      <c r="E175" s="0" t="s">
        <v>366</v>
      </c>
      <c r="F175" s="0" t="n">
        <v>0.5</v>
      </c>
      <c r="G175" s="0" t="n">
        <v>2.2</v>
      </c>
      <c r="H175" s="0" t="n">
        <v>1.1</v>
      </c>
      <c r="I175" s="0" t="n">
        <f aca="false">IF(ABS(ROUND(F175*G175,2)-H175)&lt;=0.01,1,0)</f>
        <v>1</v>
      </c>
      <c r="J175" s="0" t="n">
        <v>1</v>
      </c>
    </row>
    <row r="176" customFormat="false" ht="15" hidden="false" customHeight="false" outlineLevel="0" collapsed="false">
      <c r="A176" s="0" t="s">
        <v>154</v>
      </c>
      <c r="B176" s="0" t="s">
        <v>136</v>
      </c>
      <c r="C176" s="0" t="s">
        <v>155</v>
      </c>
      <c r="D176" s="0" t="s">
        <v>522</v>
      </c>
      <c r="E176" s="0" t="s">
        <v>368</v>
      </c>
      <c r="F176" s="0" t="n">
        <v>0.5</v>
      </c>
      <c r="G176" s="0" t="n">
        <v>5.2</v>
      </c>
      <c r="H176" s="0" t="n">
        <v>2.6</v>
      </c>
      <c r="I176" s="0" t="n">
        <f aca="false">IF(ABS(ROUND(F176*G176,2)-H176)&lt;=0.01,1,0)</f>
        <v>1</v>
      </c>
      <c r="J176" s="0" t="n">
        <v>1</v>
      </c>
    </row>
    <row r="177" customFormat="false" ht="15" hidden="false" customHeight="false" outlineLevel="0" collapsed="false">
      <c r="A177" s="0" t="s">
        <v>154</v>
      </c>
      <c r="B177" s="0" t="s">
        <v>136</v>
      </c>
      <c r="C177" s="0" t="s">
        <v>155</v>
      </c>
      <c r="D177" s="0" t="s">
        <v>522</v>
      </c>
      <c r="E177" s="0" t="s">
        <v>609</v>
      </c>
      <c r="F177" s="0" t="n">
        <v>0.5</v>
      </c>
      <c r="G177" s="0" t="n">
        <v>7.5</v>
      </c>
      <c r="H177" s="0" t="n">
        <v>3.75</v>
      </c>
      <c r="I177" s="0" t="n">
        <f aca="false">IF(ABS(ROUND(F177*G177,2)-H177)&lt;=0.01,1,0)</f>
        <v>1</v>
      </c>
      <c r="J177" s="0" t="n">
        <v>0</v>
      </c>
    </row>
    <row r="178" customFormat="false" ht="15" hidden="false" customHeight="false" outlineLevel="0" collapsed="false">
      <c r="A178" s="0" t="s">
        <v>154</v>
      </c>
      <c r="B178" s="0" t="s">
        <v>136</v>
      </c>
      <c r="C178" s="0" t="s">
        <v>155</v>
      </c>
      <c r="D178" s="0" t="s">
        <v>522</v>
      </c>
      <c r="E178" s="0" t="s">
        <v>610</v>
      </c>
      <c r="F178" s="0" t="n">
        <v>0.5</v>
      </c>
      <c r="G178" s="0" t="n">
        <v>3.9</v>
      </c>
      <c r="H178" s="0" t="n">
        <v>1.95</v>
      </c>
      <c r="I178" s="0" t="n">
        <f aca="false">IF(ABS(ROUND(F178*G178,2)-H178)&lt;=0.01,1,0)</f>
        <v>1</v>
      </c>
      <c r="J178" s="0" t="n">
        <v>1</v>
      </c>
    </row>
    <row r="179" customFormat="false" ht="15" hidden="false" customHeight="false" outlineLevel="0" collapsed="false">
      <c r="A179" s="0" t="s">
        <v>154</v>
      </c>
      <c r="B179" s="0" t="s">
        <v>136</v>
      </c>
      <c r="C179" s="0" t="s">
        <v>155</v>
      </c>
      <c r="D179" s="0" t="s">
        <v>522</v>
      </c>
      <c r="E179" s="0" t="s">
        <v>611</v>
      </c>
      <c r="F179" s="0" t="n">
        <v>2</v>
      </c>
      <c r="G179" s="0" t="n">
        <v>5.8</v>
      </c>
      <c r="H179" s="0" t="n">
        <v>11.6</v>
      </c>
      <c r="I179" s="0" t="n">
        <f aca="false">IF(ABS(ROUND(F179*G179,2)-H179)&lt;=0.01,1,0)</f>
        <v>1</v>
      </c>
      <c r="J179" s="0" t="n">
        <v>0</v>
      </c>
    </row>
    <row r="180" customFormat="false" ht="15" hidden="false" customHeight="false" outlineLevel="0" collapsed="false">
      <c r="A180" s="0" t="s">
        <v>154</v>
      </c>
      <c r="B180" s="0" t="s">
        <v>136</v>
      </c>
      <c r="C180" s="0" t="s">
        <v>155</v>
      </c>
      <c r="D180" s="0" t="s">
        <v>522</v>
      </c>
      <c r="E180" s="0" t="s">
        <v>604</v>
      </c>
      <c r="F180" s="0" t="n">
        <v>0.5</v>
      </c>
      <c r="G180" s="0" t="n">
        <v>4</v>
      </c>
      <c r="H180" s="0" t="n">
        <v>2</v>
      </c>
      <c r="I180" s="0" t="n">
        <f aca="false">IF(ABS(ROUND(F180*G180,2)-H180)&lt;=0.01,1,0)</f>
        <v>1</v>
      </c>
      <c r="J180" s="0" t="n">
        <v>0</v>
      </c>
    </row>
    <row r="181" customFormat="false" ht="15" hidden="false" customHeight="false" outlineLevel="0" collapsed="false">
      <c r="A181" s="0" t="s">
        <v>154</v>
      </c>
      <c r="B181" s="0" t="s">
        <v>136</v>
      </c>
      <c r="C181" s="0" t="s">
        <v>155</v>
      </c>
      <c r="D181" s="0" t="s">
        <v>522</v>
      </c>
      <c r="E181" s="0" t="s">
        <v>612</v>
      </c>
      <c r="F181" s="0" t="n">
        <v>0.5</v>
      </c>
      <c r="G181" s="0" t="n">
        <v>32</v>
      </c>
      <c r="H181" s="0" t="n">
        <v>16</v>
      </c>
      <c r="I181" s="0" t="n">
        <f aca="false">IF(ABS(ROUND(F181*G181,2)-H181)&lt;=0.01,1,0)</f>
        <v>1</v>
      </c>
      <c r="J181" s="0" t="n">
        <v>0</v>
      </c>
    </row>
    <row r="182" customFormat="false" ht="15" hidden="false" customHeight="false" outlineLevel="0" collapsed="false">
      <c r="A182" s="0" t="s">
        <v>154</v>
      </c>
      <c r="B182" s="0" t="s">
        <v>136</v>
      </c>
      <c r="C182" s="0" t="s">
        <v>155</v>
      </c>
      <c r="D182" s="0" t="s">
        <v>522</v>
      </c>
      <c r="E182" s="0" t="s">
        <v>395</v>
      </c>
      <c r="F182" s="0" t="n">
        <v>1</v>
      </c>
      <c r="G182" s="0" t="n">
        <v>4.9</v>
      </c>
      <c r="H182" s="0" t="n">
        <v>4.9</v>
      </c>
      <c r="I182" s="0" t="n">
        <f aca="false">IF(ABS(ROUND(F182*G182,2)-H182)&lt;=0.01,1,0)</f>
        <v>1</v>
      </c>
      <c r="J182" s="0" t="n">
        <v>0</v>
      </c>
    </row>
    <row r="183" customFormat="false" ht="15" hidden="false" customHeight="false" outlineLevel="0" collapsed="false">
      <c r="A183" s="0" t="s">
        <v>154</v>
      </c>
      <c r="B183" s="0" t="s">
        <v>136</v>
      </c>
      <c r="C183" s="0" t="s">
        <v>155</v>
      </c>
      <c r="D183" s="0" t="s">
        <v>522</v>
      </c>
      <c r="E183" s="0" t="s">
        <v>613</v>
      </c>
      <c r="F183" s="0" t="n">
        <v>1.5</v>
      </c>
      <c r="G183" s="0" t="n">
        <v>25.9</v>
      </c>
      <c r="H183" s="0" t="n">
        <v>38.85</v>
      </c>
      <c r="I183" s="0" t="n">
        <f aca="false">IF(ABS(ROUND(F183*G183,2)-H183)&lt;=0.01,1,0)</f>
        <v>1</v>
      </c>
      <c r="J183" s="0" t="n">
        <v>0</v>
      </c>
    </row>
    <row r="184" customFormat="false" ht="15" hidden="false" customHeight="false" outlineLevel="0" collapsed="false">
      <c r="A184" s="0" t="s">
        <v>154</v>
      </c>
      <c r="B184" s="0" t="s">
        <v>136</v>
      </c>
      <c r="C184" s="0" t="s">
        <v>155</v>
      </c>
      <c r="D184" s="0" t="s">
        <v>522</v>
      </c>
      <c r="E184" s="0" t="s">
        <v>614</v>
      </c>
      <c r="F184" s="0" t="n">
        <v>1</v>
      </c>
      <c r="G184" s="0" t="n">
        <v>21.9</v>
      </c>
      <c r="H184" s="0" t="n">
        <v>21.9</v>
      </c>
      <c r="I184" s="0" t="n">
        <f aca="false">IF(ABS(ROUND(F184*G184,2)-H184)&lt;=0.01,1,0)</f>
        <v>1</v>
      </c>
      <c r="J184" s="0" t="n">
        <v>0</v>
      </c>
    </row>
    <row r="185" customFormat="false" ht="15" hidden="false" customHeight="false" outlineLevel="0" collapsed="false">
      <c r="A185" s="0" t="s">
        <v>154</v>
      </c>
      <c r="B185" s="0" t="s">
        <v>136</v>
      </c>
      <c r="C185" s="0" t="s">
        <v>155</v>
      </c>
      <c r="D185" s="0" t="s">
        <v>522</v>
      </c>
      <c r="E185" s="0" t="s">
        <v>615</v>
      </c>
      <c r="F185" s="0" t="n">
        <v>0.5</v>
      </c>
      <c r="G185" s="0" t="n">
        <v>3.9</v>
      </c>
      <c r="H185" s="0" t="n">
        <v>1.95</v>
      </c>
      <c r="I185" s="0" t="n">
        <f aca="false">IF(ABS(ROUND(F185*G185,2)-H185)&lt;=0.01,1,0)</f>
        <v>1</v>
      </c>
      <c r="J185" s="0" t="n">
        <v>1</v>
      </c>
    </row>
    <row r="186" customFormat="false" ht="15" hidden="false" customHeight="false" outlineLevel="0" collapsed="false">
      <c r="A186" s="0" t="s">
        <v>154</v>
      </c>
      <c r="B186" s="0" t="s">
        <v>136</v>
      </c>
      <c r="C186" s="0" t="s">
        <v>155</v>
      </c>
      <c r="D186" s="0" t="s">
        <v>522</v>
      </c>
      <c r="E186" s="0" t="s">
        <v>599</v>
      </c>
      <c r="F186" s="0" t="n">
        <v>1</v>
      </c>
      <c r="G186" s="0" t="n">
        <v>5.9</v>
      </c>
      <c r="H186" s="0" t="n">
        <v>5.9</v>
      </c>
      <c r="I186" s="0" t="n">
        <f aca="false">IF(ABS(ROUND(F186*G186,2)-H186)&lt;=0.01,1,0)</f>
        <v>1</v>
      </c>
      <c r="J186" s="0" t="n">
        <v>0</v>
      </c>
    </row>
    <row r="187" customFormat="false" ht="15" hidden="false" customHeight="false" outlineLevel="0" collapsed="false">
      <c r="A187" s="0" t="s">
        <v>154</v>
      </c>
      <c r="B187" s="0" t="s">
        <v>136</v>
      </c>
      <c r="C187" s="0" t="s">
        <v>155</v>
      </c>
      <c r="D187" s="0" t="s">
        <v>522</v>
      </c>
      <c r="E187" s="0" t="s">
        <v>419</v>
      </c>
      <c r="F187" s="0" t="n">
        <v>1.5</v>
      </c>
      <c r="G187" s="0" t="n">
        <v>8.9</v>
      </c>
      <c r="H187" s="0" t="n">
        <v>13.35</v>
      </c>
      <c r="I187" s="0" t="n">
        <f aca="false">IF(ABS(ROUND(F187*G187,2)-H187)&lt;=0.01,1,0)</f>
        <v>1</v>
      </c>
      <c r="J187" s="0" t="n">
        <v>0</v>
      </c>
    </row>
    <row r="188" customFormat="false" ht="15" hidden="false" customHeight="false" outlineLevel="0" collapsed="false">
      <c r="A188" s="0" t="s">
        <v>154</v>
      </c>
      <c r="B188" s="0" t="s">
        <v>136</v>
      </c>
      <c r="C188" s="0" t="s">
        <v>155</v>
      </c>
      <c r="D188" s="0" t="s">
        <v>522</v>
      </c>
      <c r="E188" s="0" t="s">
        <v>374</v>
      </c>
      <c r="F188" s="0" t="n">
        <v>0.5</v>
      </c>
      <c r="G188" s="0" t="n">
        <v>2</v>
      </c>
      <c r="H188" s="0" t="n">
        <v>1</v>
      </c>
      <c r="I188" s="0" t="n">
        <f aca="false">IF(ABS(ROUND(F188*G188,2)-H188)&lt;=0.01,1,0)</f>
        <v>1</v>
      </c>
      <c r="J188" s="0" t="n">
        <v>1</v>
      </c>
    </row>
    <row r="189" customFormat="false" ht="15" hidden="false" customHeight="false" outlineLevel="0" collapsed="false">
      <c r="A189" s="0" t="s">
        <v>154</v>
      </c>
      <c r="B189" s="0" t="s">
        <v>136</v>
      </c>
      <c r="C189" s="0" t="s">
        <v>155</v>
      </c>
      <c r="D189" s="0" t="s">
        <v>522</v>
      </c>
      <c r="E189" s="0" t="s">
        <v>366</v>
      </c>
      <c r="F189" s="0" t="n">
        <v>0.5</v>
      </c>
      <c r="G189" s="0" t="n">
        <v>2.2</v>
      </c>
      <c r="H189" s="0" t="n">
        <v>1.1</v>
      </c>
      <c r="I189" s="0" t="n">
        <f aca="false">IF(ABS(ROUND(F189*G189,2)-H189)&lt;=0.01,1,0)</f>
        <v>1</v>
      </c>
      <c r="J189" s="0" t="n">
        <v>0</v>
      </c>
    </row>
    <row r="190" customFormat="false" ht="15" hidden="false" customHeight="false" outlineLevel="0" collapsed="false">
      <c r="A190" s="0" t="s">
        <v>154</v>
      </c>
      <c r="B190" s="0" t="s">
        <v>136</v>
      </c>
      <c r="C190" s="0" t="s">
        <v>155</v>
      </c>
      <c r="D190" s="0" t="s">
        <v>522</v>
      </c>
      <c r="E190" s="0" t="s">
        <v>616</v>
      </c>
      <c r="F190" s="0" t="n">
        <v>0.5</v>
      </c>
      <c r="G190" s="0" t="n">
        <v>6.5</v>
      </c>
      <c r="H190" s="0" t="n">
        <v>3.25</v>
      </c>
      <c r="I190" s="0" t="n">
        <f aca="false">IF(ABS(ROUND(F190*G190,2)-H190)&lt;=0.01,1,0)</f>
        <v>1</v>
      </c>
      <c r="J190" s="0" t="n">
        <v>0</v>
      </c>
    </row>
    <row r="191" customFormat="false" ht="15" hidden="false" customHeight="false" outlineLevel="0" collapsed="false">
      <c r="A191" s="0" t="s">
        <v>154</v>
      </c>
      <c r="B191" s="0" t="s">
        <v>136</v>
      </c>
      <c r="C191" s="0" t="s">
        <v>155</v>
      </c>
      <c r="D191" s="0" t="s">
        <v>522</v>
      </c>
      <c r="E191" s="0" t="s">
        <v>617</v>
      </c>
      <c r="F191" s="0" t="n">
        <v>0.5</v>
      </c>
      <c r="G191" s="0" t="n">
        <v>6</v>
      </c>
      <c r="H191" s="0" t="n">
        <v>3</v>
      </c>
      <c r="I191" s="0" t="n">
        <f aca="false">IF(ABS(ROUND(F191*G191,2)-H191)&lt;=0.01,1,0)</f>
        <v>1</v>
      </c>
      <c r="J191" s="0" t="n">
        <v>0</v>
      </c>
    </row>
    <row r="192" customFormat="false" ht="15" hidden="false" customHeight="false" outlineLevel="0" collapsed="false">
      <c r="A192" s="0" t="s">
        <v>154</v>
      </c>
      <c r="B192" s="0" t="s">
        <v>136</v>
      </c>
      <c r="C192" s="0" t="s">
        <v>155</v>
      </c>
      <c r="D192" s="0" t="s">
        <v>512</v>
      </c>
      <c r="E192" s="0" t="s">
        <v>368</v>
      </c>
      <c r="F192" s="0" t="n">
        <v>0.5</v>
      </c>
      <c r="G192" s="0" t="n">
        <v>5.2</v>
      </c>
      <c r="H192" s="0" t="n">
        <v>2.6</v>
      </c>
      <c r="I192" s="0" t="n">
        <f aca="false">IF(ABS(ROUND(F192*G192,2)-H192)&lt;=0.01,1,0)</f>
        <v>1</v>
      </c>
      <c r="J192" s="0" t="n">
        <v>1</v>
      </c>
    </row>
    <row r="193" customFormat="false" ht="15" hidden="false" customHeight="false" outlineLevel="0" collapsed="false">
      <c r="A193" s="0" t="s">
        <v>154</v>
      </c>
      <c r="B193" s="0" t="s">
        <v>136</v>
      </c>
      <c r="C193" s="0" t="s">
        <v>155</v>
      </c>
      <c r="D193" s="0" t="s">
        <v>512</v>
      </c>
      <c r="E193" s="0" t="s">
        <v>609</v>
      </c>
      <c r="F193" s="0" t="n">
        <v>0.5</v>
      </c>
      <c r="G193" s="0" t="n">
        <v>7.5</v>
      </c>
      <c r="H193" s="0" t="n">
        <v>3.75</v>
      </c>
      <c r="I193" s="0" t="n">
        <f aca="false">IF(ABS(ROUND(F193*G193,2)-H193)&lt;=0.01,1,0)</f>
        <v>1</v>
      </c>
      <c r="J193" s="0" t="n">
        <v>0</v>
      </c>
    </row>
    <row r="194" customFormat="false" ht="15" hidden="false" customHeight="false" outlineLevel="0" collapsed="false">
      <c r="A194" s="0" t="s">
        <v>154</v>
      </c>
      <c r="B194" s="0" t="s">
        <v>136</v>
      </c>
      <c r="C194" s="0" t="s">
        <v>155</v>
      </c>
      <c r="D194" s="0" t="s">
        <v>512</v>
      </c>
      <c r="E194" s="0" t="s">
        <v>610</v>
      </c>
      <c r="F194" s="0" t="n">
        <v>0.5</v>
      </c>
      <c r="G194" s="0" t="n">
        <v>3.9</v>
      </c>
      <c r="H194" s="0" t="n">
        <v>1.95</v>
      </c>
      <c r="I194" s="0" t="n">
        <f aca="false">IF(ABS(ROUND(F194*G194,2)-H194)&lt;=0.01,1,0)</f>
        <v>1</v>
      </c>
      <c r="J194" s="0" t="n">
        <v>1</v>
      </c>
    </row>
    <row r="195" customFormat="false" ht="15" hidden="false" customHeight="false" outlineLevel="0" collapsed="false">
      <c r="A195" s="0" t="s">
        <v>154</v>
      </c>
      <c r="B195" s="0" t="s">
        <v>136</v>
      </c>
      <c r="C195" s="0" t="s">
        <v>155</v>
      </c>
      <c r="D195" s="0" t="s">
        <v>512</v>
      </c>
      <c r="E195" s="0" t="s">
        <v>611</v>
      </c>
      <c r="F195" s="0" t="n">
        <v>2</v>
      </c>
      <c r="G195" s="0" t="n">
        <v>5.8</v>
      </c>
      <c r="H195" s="0" t="n">
        <v>11.6</v>
      </c>
      <c r="I195" s="0" t="n">
        <f aca="false">IF(ABS(ROUND(F195*G195,2)-H195)&lt;=0.01,1,0)</f>
        <v>1</v>
      </c>
      <c r="J195" s="0" t="n">
        <v>0</v>
      </c>
    </row>
    <row r="196" customFormat="false" ht="15" hidden="false" customHeight="false" outlineLevel="0" collapsed="false">
      <c r="A196" s="0" t="s">
        <v>154</v>
      </c>
      <c r="B196" s="0" t="s">
        <v>136</v>
      </c>
      <c r="C196" s="0" t="s">
        <v>155</v>
      </c>
      <c r="D196" s="0" t="s">
        <v>512</v>
      </c>
      <c r="E196" s="0" t="s">
        <v>604</v>
      </c>
      <c r="F196" s="0" t="n">
        <v>0.5</v>
      </c>
      <c r="G196" s="0" t="n">
        <v>4</v>
      </c>
      <c r="H196" s="0" t="n">
        <v>2</v>
      </c>
      <c r="I196" s="0" t="n">
        <f aca="false">IF(ABS(ROUND(F196*G196,2)-H196)&lt;=0.01,1,0)</f>
        <v>1</v>
      </c>
      <c r="J196" s="0" t="n">
        <v>0</v>
      </c>
    </row>
    <row r="197" customFormat="false" ht="15" hidden="false" customHeight="false" outlineLevel="0" collapsed="false">
      <c r="A197" s="0" t="s">
        <v>154</v>
      </c>
      <c r="B197" s="0" t="s">
        <v>136</v>
      </c>
      <c r="C197" s="0" t="s">
        <v>155</v>
      </c>
      <c r="D197" s="0" t="s">
        <v>512</v>
      </c>
      <c r="E197" s="0" t="s">
        <v>612</v>
      </c>
      <c r="F197" s="0" t="n">
        <v>0.5</v>
      </c>
      <c r="G197" s="0" t="n">
        <v>32</v>
      </c>
      <c r="H197" s="0" t="n">
        <v>16</v>
      </c>
      <c r="I197" s="0" t="n">
        <f aca="false">IF(ABS(ROUND(F197*G197,2)-H197)&lt;=0.01,1,0)</f>
        <v>1</v>
      </c>
      <c r="J197" s="0" t="n">
        <v>0</v>
      </c>
    </row>
    <row r="198" customFormat="false" ht="15" hidden="false" customHeight="false" outlineLevel="0" collapsed="false">
      <c r="A198" s="0" t="s">
        <v>154</v>
      </c>
      <c r="B198" s="0" t="s">
        <v>136</v>
      </c>
      <c r="C198" s="0" t="s">
        <v>155</v>
      </c>
      <c r="D198" s="0" t="s">
        <v>512</v>
      </c>
      <c r="E198" s="0" t="s">
        <v>395</v>
      </c>
      <c r="F198" s="0" t="n">
        <v>1</v>
      </c>
      <c r="G198" s="0" t="n">
        <v>4.9</v>
      </c>
      <c r="H198" s="0" t="n">
        <v>4.9</v>
      </c>
      <c r="I198" s="0" t="n">
        <f aca="false">IF(ABS(ROUND(F198*G198,2)-H198)&lt;=0.01,1,0)</f>
        <v>1</v>
      </c>
      <c r="J198" s="0" t="n">
        <v>0</v>
      </c>
    </row>
    <row r="199" customFormat="false" ht="15" hidden="false" customHeight="false" outlineLevel="0" collapsed="false">
      <c r="A199" s="0" t="s">
        <v>154</v>
      </c>
      <c r="B199" s="0" t="s">
        <v>136</v>
      </c>
      <c r="C199" s="0" t="s">
        <v>155</v>
      </c>
      <c r="D199" s="0" t="s">
        <v>512</v>
      </c>
      <c r="E199" s="0" t="s">
        <v>613</v>
      </c>
      <c r="F199" s="0" t="n">
        <v>1.5</v>
      </c>
      <c r="G199" s="0" t="n">
        <v>25.9</v>
      </c>
      <c r="H199" s="0" t="n">
        <v>38.85</v>
      </c>
      <c r="I199" s="0" t="n">
        <f aca="false">IF(ABS(ROUND(F199*G199,2)-H199)&lt;=0.01,1,0)</f>
        <v>1</v>
      </c>
      <c r="J199" s="0" t="n">
        <v>0</v>
      </c>
    </row>
    <row r="200" customFormat="false" ht="15" hidden="false" customHeight="false" outlineLevel="0" collapsed="false">
      <c r="A200" s="0" t="s">
        <v>154</v>
      </c>
      <c r="B200" s="0" t="s">
        <v>136</v>
      </c>
      <c r="C200" s="0" t="s">
        <v>155</v>
      </c>
      <c r="D200" s="0" t="s">
        <v>512</v>
      </c>
      <c r="E200" s="0" t="s">
        <v>614</v>
      </c>
      <c r="F200" s="0" t="n">
        <v>1</v>
      </c>
      <c r="G200" s="0" t="n">
        <v>21.9</v>
      </c>
      <c r="H200" s="0" t="n">
        <v>21.9</v>
      </c>
      <c r="I200" s="0" t="n">
        <f aca="false">IF(ABS(ROUND(F200*G200,2)-H200)&lt;=0.01,1,0)</f>
        <v>1</v>
      </c>
      <c r="J200" s="0" t="n">
        <v>0</v>
      </c>
    </row>
    <row r="201" customFormat="false" ht="15" hidden="false" customHeight="false" outlineLevel="0" collapsed="false">
      <c r="A201" s="0" t="s">
        <v>154</v>
      </c>
      <c r="B201" s="0" t="s">
        <v>136</v>
      </c>
      <c r="C201" s="0" t="s">
        <v>155</v>
      </c>
      <c r="D201" s="0" t="s">
        <v>512</v>
      </c>
      <c r="E201" s="0" t="s">
        <v>615</v>
      </c>
      <c r="F201" s="0" t="n">
        <v>0.5</v>
      </c>
      <c r="G201" s="0" t="n">
        <v>3.9</v>
      </c>
      <c r="H201" s="0" t="n">
        <v>1.95</v>
      </c>
      <c r="I201" s="0" t="n">
        <f aca="false">IF(ABS(ROUND(F201*G201,2)-H201)&lt;=0.01,1,0)</f>
        <v>1</v>
      </c>
      <c r="J201" s="0" t="n">
        <v>1</v>
      </c>
    </row>
    <row r="202" customFormat="false" ht="15" hidden="false" customHeight="false" outlineLevel="0" collapsed="false">
      <c r="A202" s="0" t="s">
        <v>154</v>
      </c>
      <c r="B202" s="0" t="s">
        <v>136</v>
      </c>
      <c r="C202" s="0" t="s">
        <v>155</v>
      </c>
      <c r="D202" s="0" t="s">
        <v>512</v>
      </c>
      <c r="E202" s="0" t="s">
        <v>599</v>
      </c>
      <c r="F202" s="0" t="n">
        <v>1</v>
      </c>
      <c r="G202" s="0" t="n">
        <v>5.9</v>
      </c>
      <c r="H202" s="0" t="n">
        <v>5.9</v>
      </c>
      <c r="I202" s="0" t="n">
        <f aca="false">IF(ABS(ROUND(F202*G202,2)-H202)&lt;=0.01,1,0)</f>
        <v>1</v>
      </c>
      <c r="J202" s="0" t="n">
        <v>0</v>
      </c>
    </row>
    <row r="203" customFormat="false" ht="15" hidden="false" customHeight="false" outlineLevel="0" collapsed="false">
      <c r="A203" s="0" t="s">
        <v>154</v>
      </c>
      <c r="B203" s="0" t="s">
        <v>136</v>
      </c>
      <c r="C203" s="0" t="s">
        <v>155</v>
      </c>
      <c r="D203" s="0" t="s">
        <v>512</v>
      </c>
      <c r="E203" s="0" t="s">
        <v>419</v>
      </c>
      <c r="F203" s="0" t="n">
        <v>1.5</v>
      </c>
      <c r="G203" s="0" t="n">
        <v>8.9</v>
      </c>
      <c r="H203" s="0" t="n">
        <v>13.35</v>
      </c>
      <c r="I203" s="0" t="n">
        <f aca="false">IF(ABS(ROUND(F203*G203,2)-H203)&lt;=0.01,1,0)</f>
        <v>1</v>
      </c>
      <c r="J203" s="0" t="n">
        <v>0</v>
      </c>
    </row>
    <row r="204" customFormat="false" ht="15" hidden="false" customHeight="false" outlineLevel="0" collapsed="false">
      <c r="A204" s="0" t="s">
        <v>154</v>
      </c>
      <c r="B204" s="0" t="s">
        <v>136</v>
      </c>
      <c r="C204" s="0" t="s">
        <v>155</v>
      </c>
      <c r="D204" s="0" t="s">
        <v>512</v>
      </c>
      <c r="E204" s="0" t="s">
        <v>374</v>
      </c>
      <c r="F204" s="0" t="n">
        <v>0.5</v>
      </c>
      <c r="G204" s="0" t="n">
        <v>2</v>
      </c>
      <c r="H204" s="0" t="n">
        <v>1</v>
      </c>
      <c r="I204" s="0" t="n">
        <f aca="false">IF(ABS(ROUND(F204*G204,2)-H204)&lt;=0.01,1,0)</f>
        <v>1</v>
      </c>
      <c r="J204" s="0" t="n">
        <v>1</v>
      </c>
    </row>
    <row r="205" customFormat="false" ht="15" hidden="false" customHeight="false" outlineLevel="0" collapsed="false">
      <c r="A205" s="0" t="s">
        <v>154</v>
      </c>
      <c r="B205" s="0" t="s">
        <v>136</v>
      </c>
      <c r="C205" s="0" t="s">
        <v>155</v>
      </c>
      <c r="D205" s="0" t="s">
        <v>512</v>
      </c>
      <c r="E205" s="0" t="s">
        <v>366</v>
      </c>
      <c r="F205" s="0" t="n">
        <v>0.5</v>
      </c>
      <c r="G205" s="0" t="n">
        <v>2.2</v>
      </c>
      <c r="H205" s="0" t="n">
        <v>1.1</v>
      </c>
      <c r="I205" s="0" t="n">
        <f aca="false">IF(ABS(ROUND(F205*G205,2)-H205)&lt;=0.01,1,0)</f>
        <v>1</v>
      </c>
      <c r="J205" s="0" t="n">
        <v>0</v>
      </c>
    </row>
    <row r="206" customFormat="false" ht="15" hidden="false" customHeight="false" outlineLevel="0" collapsed="false">
      <c r="A206" s="0" t="s">
        <v>154</v>
      </c>
      <c r="B206" s="0" t="s">
        <v>136</v>
      </c>
      <c r="C206" s="0" t="s">
        <v>155</v>
      </c>
      <c r="D206" s="0" t="s">
        <v>512</v>
      </c>
      <c r="E206" s="0" t="s">
        <v>616</v>
      </c>
      <c r="F206" s="0" t="n">
        <v>0.5</v>
      </c>
      <c r="G206" s="0" t="n">
        <v>6.5</v>
      </c>
      <c r="H206" s="0" t="n">
        <v>3.25</v>
      </c>
      <c r="I206" s="0" t="n">
        <f aca="false">IF(ABS(ROUND(F206*G206,2)-H206)&lt;=0.01,1,0)</f>
        <v>1</v>
      </c>
      <c r="J206" s="0" t="n">
        <v>0</v>
      </c>
    </row>
    <row r="207" customFormat="false" ht="15" hidden="false" customHeight="false" outlineLevel="0" collapsed="false">
      <c r="A207" s="0" t="s">
        <v>154</v>
      </c>
      <c r="B207" s="0" t="s">
        <v>136</v>
      </c>
      <c r="C207" s="0" t="s">
        <v>155</v>
      </c>
      <c r="D207" s="0" t="s">
        <v>512</v>
      </c>
      <c r="E207" s="0" t="s">
        <v>617</v>
      </c>
      <c r="F207" s="0" t="n">
        <v>0.5</v>
      </c>
      <c r="G207" s="0" t="n">
        <v>6</v>
      </c>
      <c r="H207" s="0" t="n">
        <v>3</v>
      </c>
      <c r="I207" s="0" t="n">
        <f aca="false">IF(ABS(ROUND(F207*G207,2)-H207)&lt;=0.01,1,0)</f>
        <v>1</v>
      </c>
      <c r="J207" s="0" t="n">
        <v>0</v>
      </c>
    </row>
    <row r="208" customFormat="false" ht="15" hidden="false" customHeight="false" outlineLevel="0" collapsed="false">
      <c r="A208" s="0" t="s">
        <v>157</v>
      </c>
      <c r="B208" s="0" t="s">
        <v>136</v>
      </c>
      <c r="C208" s="0" t="s">
        <v>158</v>
      </c>
      <c r="D208" s="0" t="s">
        <v>500</v>
      </c>
      <c r="E208" s="0" t="s">
        <v>618</v>
      </c>
      <c r="F208" s="0" t="n">
        <v>2</v>
      </c>
      <c r="G208" s="0" t="n">
        <v>16.9</v>
      </c>
      <c r="H208" s="0" t="n">
        <v>33.8</v>
      </c>
      <c r="I208" s="0" t="n">
        <f aca="false">IF(ABS(ROUND(F208*G208,2)-H208)&lt;=0.01,1,0)</f>
        <v>1</v>
      </c>
      <c r="J208" s="0" t="n">
        <v>0</v>
      </c>
    </row>
    <row r="209" customFormat="false" ht="15" hidden="false" customHeight="false" outlineLevel="0" collapsed="false">
      <c r="A209" s="0" t="s">
        <v>157</v>
      </c>
      <c r="B209" s="0" t="s">
        <v>136</v>
      </c>
      <c r="C209" s="0" t="s">
        <v>158</v>
      </c>
      <c r="D209" s="0" t="s">
        <v>500</v>
      </c>
      <c r="E209" s="0" t="s">
        <v>432</v>
      </c>
      <c r="F209" s="0" t="n">
        <v>0.5</v>
      </c>
      <c r="G209" s="0" t="n">
        <v>5.9</v>
      </c>
      <c r="H209" s="0" t="n">
        <v>2.95</v>
      </c>
      <c r="I209" s="0" t="n">
        <f aca="false">IF(ABS(ROUND(F209*G209,2)-H209)&lt;=0.01,1,0)</f>
        <v>1</v>
      </c>
      <c r="J209" s="0" t="n">
        <v>1</v>
      </c>
    </row>
    <row r="210" customFormat="false" ht="15" hidden="false" customHeight="false" outlineLevel="0" collapsed="false">
      <c r="A210" s="0" t="s">
        <v>157</v>
      </c>
      <c r="B210" s="0" t="s">
        <v>136</v>
      </c>
      <c r="C210" s="0" t="s">
        <v>158</v>
      </c>
      <c r="D210" s="0" t="s">
        <v>500</v>
      </c>
      <c r="E210" s="0" t="s">
        <v>419</v>
      </c>
      <c r="F210" s="0" t="n">
        <v>0.5</v>
      </c>
      <c r="G210" s="0" t="n">
        <v>8.9</v>
      </c>
      <c r="H210" s="0" t="n">
        <v>4.45</v>
      </c>
      <c r="I210" s="0" t="n">
        <f aca="false">IF(ABS(ROUND(F210*G210,2)-H210)&lt;=0.01,1,0)</f>
        <v>1</v>
      </c>
      <c r="J210" s="0" t="n">
        <v>0</v>
      </c>
    </row>
    <row r="211" customFormat="false" ht="15" hidden="false" customHeight="false" outlineLevel="0" collapsed="false">
      <c r="A211" s="0" t="s">
        <v>157</v>
      </c>
      <c r="B211" s="0" t="s">
        <v>136</v>
      </c>
      <c r="C211" s="0" t="s">
        <v>158</v>
      </c>
      <c r="D211" s="0" t="s">
        <v>500</v>
      </c>
      <c r="E211" s="0" t="s">
        <v>387</v>
      </c>
      <c r="F211" s="0" t="n">
        <v>0.5</v>
      </c>
      <c r="G211" s="0" t="n">
        <v>8.9</v>
      </c>
      <c r="H211" s="0" t="n">
        <v>4.45</v>
      </c>
      <c r="I211" s="0" t="n">
        <f aca="false">IF(ABS(ROUND(F211*G211,2)-H211)&lt;=0.01,1,0)</f>
        <v>1</v>
      </c>
      <c r="J211" s="0" t="n">
        <v>0</v>
      </c>
    </row>
    <row r="212" customFormat="false" ht="15" hidden="false" customHeight="false" outlineLevel="0" collapsed="false">
      <c r="A212" s="0" t="s">
        <v>157</v>
      </c>
      <c r="B212" s="0" t="s">
        <v>136</v>
      </c>
      <c r="C212" s="0" t="s">
        <v>158</v>
      </c>
      <c r="D212" s="0" t="s">
        <v>500</v>
      </c>
      <c r="E212" s="0" t="s">
        <v>619</v>
      </c>
      <c r="F212" s="0" t="n">
        <v>0.5</v>
      </c>
      <c r="G212" s="0" t="n">
        <v>36</v>
      </c>
      <c r="H212" s="0" t="n">
        <v>18</v>
      </c>
      <c r="I212" s="0" t="n">
        <f aca="false">IF(ABS(ROUND(F212*G212,2)-H212)&lt;=0.01,1,0)</f>
        <v>1</v>
      </c>
      <c r="J212" s="0" t="n">
        <v>0</v>
      </c>
    </row>
    <row r="213" customFormat="false" ht="15" hidden="false" customHeight="false" outlineLevel="0" collapsed="false">
      <c r="A213" s="0" t="s">
        <v>157</v>
      </c>
      <c r="B213" s="0" t="s">
        <v>136</v>
      </c>
      <c r="C213" s="0" t="s">
        <v>158</v>
      </c>
      <c r="D213" s="0" t="s">
        <v>500</v>
      </c>
      <c r="E213" s="0" t="s">
        <v>620</v>
      </c>
      <c r="F213" s="0" t="n">
        <v>0.5</v>
      </c>
      <c r="G213" s="0" t="n">
        <v>5.9</v>
      </c>
      <c r="H213" s="0" t="n">
        <v>2.95</v>
      </c>
      <c r="I213" s="0" t="n">
        <f aca="false">IF(ABS(ROUND(F213*G213,2)-H213)&lt;=0.01,1,0)</f>
        <v>1</v>
      </c>
      <c r="J213" s="0" t="n">
        <v>1</v>
      </c>
    </row>
    <row r="214" customFormat="false" ht="15" hidden="false" customHeight="false" outlineLevel="0" collapsed="false">
      <c r="A214" s="0" t="s">
        <v>157</v>
      </c>
      <c r="B214" s="0" t="s">
        <v>136</v>
      </c>
      <c r="C214" s="0" t="s">
        <v>158</v>
      </c>
      <c r="D214" s="0" t="s">
        <v>500</v>
      </c>
      <c r="E214" s="0" t="s">
        <v>395</v>
      </c>
      <c r="F214" s="0" t="n">
        <v>0.5</v>
      </c>
      <c r="G214" s="0" t="n">
        <v>4.9</v>
      </c>
      <c r="H214" s="0" t="n">
        <v>2.45</v>
      </c>
      <c r="I214" s="0" t="n">
        <f aca="false">IF(ABS(ROUND(F214*G214,2)-H214)&lt;=0.01,1,0)</f>
        <v>1</v>
      </c>
      <c r="J214" s="0" t="n">
        <v>0</v>
      </c>
    </row>
    <row r="215" customFormat="false" ht="15" hidden="false" customHeight="false" outlineLevel="0" collapsed="false">
      <c r="A215" s="0" t="s">
        <v>157</v>
      </c>
      <c r="B215" s="0" t="s">
        <v>136</v>
      </c>
      <c r="C215" s="0" t="s">
        <v>158</v>
      </c>
      <c r="D215" s="0" t="s">
        <v>500</v>
      </c>
      <c r="E215" s="0" t="s">
        <v>621</v>
      </c>
      <c r="F215" s="0" t="n">
        <v>1</v>
      </c>
      <c r="G215" s="0" t="n">
        <v>5.9</v>
      </c>
      <c r="H215" s="0" t="n">
        <v>5.9</v>
      </c>
      <c r="I215" s="0" t="n">
        <f aca="false">IF(ABS(ROUND(F215*G215,2)-H215)&lt;=0.01,1,0)</f>
        <v>1</v>
      </c>
      <c r="J215" s="0" t="n">
        <v>0</v>
      </c>
    </row>
    <row r="216" customFormat="false" ht="15" hidden="false" customHeight="false" outlineLevel="0" collapsed="false">
      <c r="A216" s="0" t="s">
        <v>157</v>
      </c>
      <c r="B216" s="0" t="s">
        <v>136</v>
      </c>
      <c r="C216" s="0" t="s">
        <v>158</v>
      </c>
      <c r="D216" s="0" t="s">
        <v>500</v>
      </c>
      <c r="E216" s="0" t="s">
        <v>586</v>
      </c>
      <c r="F216" s="0" t="n">
        <v>0.5</v>
      </c>
      <c r="G216" s="0" t="n">
        <v>5.9</v>
      </c>
      <c r="H216" s="0" t="n">
        <v>2.95</v>
      </c>
      <c r="I216" s="0" t="n">
        <f aca="false">IF(ABS(ROUND(F216*G216,2)-H216)&lt;=0.01,1,0)</f>
        <v>1</v>
      </c>
      <c r="J216" s="0" t="n">
        <v>1</v>
      </c>
    </row>
    <row r="217" customFormat="false" ht="15" hidden="false" customHeight="false" outlineLevel="0" collapsed="false">
      <c r="A217" s="0" t="s">
        <v>157</v>
      </c>
      <c r="B217" s="0" t="s">
        <v>136</v>
      </c>
      <c r="C217" s="0" t="s">
        <v>158</v>
      </c>
      <c r="D217" s="0" t="s">
        <v>500</v>
      </c>
      <c r="E217" s="0" t="s">
        <v>622</v>
      </c>
      <c r="F217" s="0" t="n">
        <v>1</v>
      </c>
      <c r="G217" s="0" t="n">
        <v>6.9</v>
      </c>
      <c r="H217" s="0" t="n">
        <v>6.9</v>
      </c>
      <c r="I217" s="0" t="n">
        <f aca="false">IF(ABS(ROUND(F217*G217,2)-H217)&lt;=0.01,1,0)</f>
        <v>1</v>
      </c>
      <c r="J217" s="0" t="n">
        <v>0</v>
      </c>
    </row>
    <row r="218" customFormat="false" ht="15" hidden="false" customHeight="false" outlineLevel="0" collapsed="false">
      <c r="A218" s="0" t="s">
        <v>157</v>
      </c>
      <c r="B218" s="0" t="s">
        <v>136</v>
      </c>
      <c r="C218" s="0" t="s">
        <v>158</v>
      </c>
      <c r="D218" s="0" t="s">
        <v>500</v>
      </c>
      <c r="E218" s="0" t="s">
        <v>623</v>
      </c>
      <c r="F218" s="0" t="n">
        <v>0.5</v>
      </c>
      <c r="G218" s="0" t="n">
        <v>8.7</v>
      </c>
      <c r="H218" s="0" t="n">
        <v>4.35</v>
      </c>
      <c r="I218" s="0" t="n">
        <f aca="false">IF(ABS(ROUND(F218*G218,2)-H218)&lt;=0.01,1,0)</f>
        <v>1</v>
      </c>
      <c r="J218" s="0" t="n">
        <v>0</v>
      </c>
    </row>
    <row r="219" customFormat="false" ht="15" hidden="false" customHeight="false" outlineLevel="0" collapsed="false">
      <c r="A219" s="0" t="s">
        <v>157</v>
      </c>
      <c r="B219" s="0" t="s">
        <v>136</v>
      </c>
      <c r="C219" s="0" t="s">
        <v>158</v>
      </c>
      <c r="D219" s="0" t="s">
        <v>500</v>
      </c>
      <c r="E219" s="0" t="s">
        <v>624</v>
      </c>
      <c r="F219" s="0" t="n">
        <v>0.5</v>
      </c>
      <c r="G219" s="0" t="n">
        <v>4.7</v>
      </c>
      <c r="H219" s="0" t="n">
        <v>2.35</v>
      </c>
      <c r="I219" s="0" t="n">
        <f aca="false">IF(ABS(ROUND(F219*G219,2)-H219)&lt;=0.01,1,0)</f>
        <v>1</v>
      </c>
      <c r="J219" s="0" t="n">
        <v>0</v>
      </c>
    </row>
    <row r="220" customFormat="false" ht="15" hidden="false" customHeight="false" outlineLevel="0" collapsed="false">
      <c r="A220" s="0" t="s">
        <v>157</v>
      </c>
      <c r="B220" s="0" t="s">
        <v>136</v>
      </c>
      <c r="C220" s="0" t="s">
        <v>158</v>
      </c>
      <c r="D220" s="0" t="s">
        <v>500</v>
      </c>
      <c r="E220" s="0" t="s">
        <v>366</v>
      </c>
      <c r="F220" s="0" t="n">
        <v>0.5</v>
      </c>
      <c r="G220" s="0" t="n">
        <v>2.2</v>
      </c>
      <c r="H220" s="0" t="n">
        <v>1.1</v>
      </c>
      <c r="I220" s="0" t="n">
        <f aca="false">IF(ABS(ROUND(F220*G220,2)-H220)&lt;=0.01,1,0)</f>
        <v>1</v>
      </c>
      <c r="J220" s="0" t="n">
        <v>1</v>
      </c>
    </row>
    <row r="221" customFormat="false" ht="15" hidden="false" customHeight="false" outlineLevel="0" collapsed="false">
      <c r="A221" s="0" t="s">
        <v>157</v>
      </c>
      <c r="B221" s="0" t="s">
        <v>136</v>
      </c>
      <c r="C221" s="0" t="s">
        <v>158</v>
      </c>
      <c r="D221" s="0" t="s">
        <v>492</v>
      </c>
      <c r="E221" s="0" t="s">
        <v>618</v>
      </c>
      <c r="F221" s="0" t="n">
        <v>2</v>
      </c>
      <c r="G221" s="0" t="n">
        <v>16.9</v>
      </c>
      <c r="H221" s="0" t="n">
        <v>33.8</v>
      </c>
      <c r="I221" s="0" t="n">
        <f aca="false">IF(ABS(ROUND(F221*G221,2)-H221)&lt;=0.01,1,0)</f>
        <v>1</v>
      </c>
      <c r="J221" s="0" t="n">
        <v>0</v>
      </c>
    </row>
    <row r="222" customFormat="false" ht="15" hidden="false" customHeight="false" outlineLevel="0" collapsed="false">
      <c r="A222" s="0" t="s">
        <v>157</v>
      </c>
      <c r="B222" s="0" t="s">
        <v>136</v>
      </c>
      <c r="C222" s="0" t="s">
        <v>158</v>
      </c>
      <c r="D222" s="0" t="s">
        <v>492</v>
      </c>
      <c r="E222" s="0" t="s">
        <v>432</v>
      </c>
      <c r="F222" s="0" t="n">
        <v>0.5</v>
      </c>
      <c r="G222" s="0" t="n">
        <v>5.9</v>
      </c>
      <c r="H222" s="0" t="n">
        <v>2.95</v>
      </c>
      <c r="I222" s="0" t="n">
        <f aca="false">IF(ABS(ROUND(F222*G222,2)-H222)&lt;=0.01,1,0)</f>
        <v>1</v>
      </c>
      <c r="J222" s="0" t="n">
        <v>1</v>
      </c>
    </row>
    <row r="223" customFormat="false" ht="15" hidden="false" customHeight="false" outlineLevel="0" collapsed="false">
      <c r="A223" s="0" t="s">
        <v>157</v>
      </c>
      <c r="B223" s="0" t="s">
        <v>136</v>
      </c>
      <c r="C223" s="0" t="s">
        <v>158</v>
      </c>
      <c r="D223" s="0" t="s">
        <v>492</v>
      </c>
      <c r="E223" s="0" t="s">
        <v>419</v>
      </c>
      <c r="F223" s="0" t="n">
        <v>0.5</v>
      </c>
      <c r="G223" s="0" t="n">
        <v>8.9</v>
      </c>
      <c r="H223" s="0" t="n">
        <v>4.45</v>
      </c>
      <c r="I223" s="0" t="n">
        <f aca="false">IF(ABS(ROUND(F223*G223,2)-H223)&lt;=0.01,1,0)</f>
        <v>1</v>
      </c>
      <c r="J223" s="0" t="n">
        <v>0</v>
      </c>
    </row>
    <row r="224" customFormat="false" ht="15" hidden="false" customHeight="false" outlineLevel="0" collapsed="false">
      <c r="A224" s="0" t="s">
        <v>157</v>
      </c>
      <c r="B224" s="0" t="s">
        <v>136</v>
      </c>
      <c r="C224" s="0" t="s">
        <v>158</v>
      </c>
      <c r="D224" s="0" t="s">
        <v>492</v>
      </c>
      <c r="E224" s="0" t="s">
        <v>387</v>
      </c>
      <c r="F224" s="0" t="n">
        <v>0.5</v>
      </c>
      <c r="G224" s="0" t="n">
        <v>8.9</v>
      </c>
      <c r="H224" s="0" t="n">
        <v>4.45</v>
      </c>
      <c r="I224" s="0" t="n">
        <f aca="false">IF(ABS(ROUND(F224*G224,2)-H224)&lt;=0.01,1,0)</f>
        <v>1</v>
      </c>
      <c r="J224" s="0" t="n">
        <v>0</v>
      </c>
    </row>
    <row r="225" customFormat="false" ht="15" hidden="false" customHeight="false" outlineLevel="0" collapsed="false">
      <c r="A225" s="0" t="s">
        <v>157</v>
      </c>
      <c r="B225" s="0" t="s">
        <v>136</v>
      </c>
      <c r="C225" s="0" t="s">
        <v>158</v>
      </c>
      <c r="D225" s="0" t="s">
        <v>492</v>
      </c>
      <c r="E225" s="0" t="s">
        <v>619</v>
      </c>
      <c r="F225" s="0" t="n">
        <v>0.5</v>
      </c>
      <c r="G225" s="0" t="n">
        <v>36</v>
      </c>
      <c r="H225" s="0" t="n">
        <v>18</v>
      </c>
      <c r="I225" s="0" t="n">
        <f aca="false">IF(ABS(ROUND(F225*G225,2)-H225)&lt;=0.01,1,0)</f>
        <v>1</v>
      </c>
      <c r="J225" s="0" t="n">
        <v>0</v>
      </c>
    </row>
    <row r="226" customFormat="false" ht="15" hidden="false" customHeight="false" outlineLevel="0" collapsed="false">
      <c r="A226" s="0" t="s">
        <v>157</v>
      </c>
      <c r="B226" s="0" t="s">
        <v>136</v>
      </c>
      <c r="C226" s="0" t="s">
        <v>158</v>
      </c>
      <c r="D226" s="0" t="s">
        <v>492</v>
      </c>
      <c r="E226" s="0" t="s">
        <v>620</v>
      </c>
      <c r="F226" s="0" t="n">
        <v>0.5</v>
      </c>
      <c r="G226" s="0" t="n">
        <v>5.9</v>
      </c>
      <c r="H226" s="0" t="n">
        <v>2.95</v>
      </c>
      <c r="I226" s="0" t="n">
        <f aca="false">IF(ABS(ROUND(F226*G226,2)-H226)&lt;=0.01,1,0)</f>
        <v>1</v>
      </c>
      <c r="J226" s="0" t="n">
        <v>1</v>
      </c>
    </row>
    <row r="227" customFormat="false" ht="15" hidden="false" customHeight="false" outlineLevel="0" collapsed="false">
      <c r="A227" s="0" t="s">
        <v>157</v>
      </c>
      <c r="B227" s="0" t="s">
        <v>136</v>
      </c>
      <c r="C227" s="0" t="s">
        <v>158</v>
      </c>
      <c r="D227" s="0" t="s">
        <v>492</v>
      </c>
      <c r="E227" s="0" t="s">
        <v>395</v>
      </c>
      <c r="F227" s="0" t="n">
        <v>0.5</v>
      </c>
      <c r="G227" s="0" t="n">
        <v>4.9</v>
      </c>
      <c r="H227" s="0" t="n">
        <v>2.45</v>
      </c>
      <c r="I227" s="0" t="n">
        <f aca="false">IF(ABS(ROUND(F227*G227,2)-H227)&lt;=0.01,1,0)</f>
        <v>1</v>
      </c>
      <c r="J227" s="0" t="n">
        <v>0</v>
      </c>
    </row>
    <row r="228" customFormat="false" ht="15" hidden="false" customHeight="false" outlineLevel="0" collapsed="false">
      <c r="A228" s="0" t="s">
        <v>157</v>
      </c>
      <c r="B228" s="0" t="s">
        <v>136</v>
      </c>
      <c r="C228" s="0" t="s">
        <v>158</v>
      </c>
      <c r="D228" s="0" t="s">
        <v>492</v>
      </c>
      <c r="E228" s="0" t="s">
        <v>621</v>
      </c>
      <c r="F228" s="0" t="n">
        <v>1</v>
      </c>
      <c r="G228" s="0" t="n">
        <v>5.9</v>
      </c>
      <c r="H228" s="0" t="n">
        <v>5.9</v>
      </c>
      <c r="I228" s="0" t="n">
        <f aca="false">IF(ABS(ROUND(F228*G228,2)-H228)&lt;=0.01,1,0)</f>
        <v>1</v>
      </c>
      <c r="J228" s="0" t="n">
        <v>0</v>
      </c>
    </row>
    <row r="229" customFormat="false" ht="15" hidden="false" customHeight="false" outlineLevel="0" collapsed="false">
      <c r="A229" s="0" t="s">
        <v>157</v>
      </c>
      <c r="B229" s="0" t="s">
        <v>136</v>
      </c>
      <c r="C229" s="0" t="s">
        <v>158</v>
      </c>
      <c r="D229" s="0" t="s">
        <v>492</v>
      </c>
      <c r="E229" s="0" t="s">
        <v>586</v>
      </c>
      <c r="F229" s="0" t="n">
        <v>0.5</v>
      </c>
      <c r="G229" s="0" t="n">
        <v>5.9</v>
      </c>
      <c r="H229" s="0" t="n">
        <v>2.95</v>
      </c>
      <c r="I229" s="0" t="n">
        <f aca="false">IF(ABS(ROUND(F229*G229,2)-H229)&lt;=0.01,1,0)</f>
        <v>1</v>
      </c>
      <c r="J229" s="0" t="n">
        <v>1</v>
      </c>
    </row>
    <row r="230" customFormat="false" ht="15" hidden="false" customHeight="false" outlineLevel="0" collapsed="false">
      <c r="A230" s="0" t="s">
        <v>157</v>
      </c>
      <c r="B230" s="0" t="s">
        <v>136</v>
      </c>
      <c r="C230" s="0" t="s">
        <v>158</v>
      </c>
      <c r="D230" s="0" t="s">
        <v>492</v>
      </c>
      <c r="E230" s="0" t="s">
        <v>622</v>
      </c>
      <c r="F230" s="0" t="n">
        <v>1</v>
      </c>
      <c r="G230" s="0" t="n">
        <v>6.9</v>
      </c>
      <c r="H230" s="0" t="n">
        <v>6.9</v>
      </c>
      <c r="I230" s="0" t="n">
        <f aca="false">IF(ABS(ROUND(F230*G230,2)-H230)&lt;=0.01,1,0)</f>
        <v>1</v>
      </c>
      <c r="J230" s="0" t="n">
        <v>0</v>
      </c>
    </row>
    <row r="231" customFormat="false" ht="15" hidden="false" customHeight="false" outlineLevel="0" collapsed="false">
      <c r="A231" s="0" t="s">
        <v>157</v>
      </c>
      <c r="B231" s="0" t="s">
        <v>136</v>
      </c>
      <c r="C231" s="0" t="s">
        <v>158</v>
      </c>
      <c r="D231" s="0" t="s">
        <v>492</v>
      </c>
      <c r="E231" s="0" t="s">
        <v>623</v>
      </c>
      <c r="F231" s="0" t="n">
        <v>0.5</v>
      </c>
      <c r="G231" s="0" t="n">
        <v>8.7</v>
      </c>
      <c r="H231" s="0" t="n">
        <v>4.35</v>
      </c>
      <c r="I231" s="0" t="n">
        <f aca="false">IF(ABS(ROUND(F231*G231,2)-H231)&lt;=0.01,1,0)</f>
        <v>1</v>
      </c>
      <c r="J231" s="0" t="n">
        <v>0</v>
      </c>
    </row>
    <row r="232" customFormat="false" ht="15" hidden="false" customHeight="false" outlineLevel="0" collapsed="false">
      <c r="A232" s="0" t="s">
        <v>157</v>
      </c>
      <c r="B232" s="0" t="s">
        <v>136</v>
      </c>
      <c r="C232" s="0" t="s">
        <v>158</v>
      </c>
      <c r="D232" s="0" t="s">
        <v>492</v>
      </c>
      <c r="E232" s="0" t="s">
        <v>624</v>
      </c>
      <c r="F232" s="0" t="n">
        <v>0.5</v>
      </c>
      <c r="G232" s="0" t="n">
        <v>4.7</v>
      </c>
      <c r="H232" s="0" t="n">
        <v>2.35</v>
      </c>
      <c r="I232" s="0" t="n">
        <f aca="false">IF(ABS(ROUND(F232*G232,2)-H232)&lt;=0.01,1,0)</f>
        <v>1</v>
      </c>
      <c r="J232" s="0" t="n">
        <v>0</v>
      </c>
    </row>
    <row r="233" customFormat="false" ht="15" hidden="false" customHeight="false" outlineLevel="0" collapsed="false">
      <c r="A233" s="0" t="s">
        <v>157</v>
      </c>
      <c r="B233" s="0" t="s">
        <v>136</v>
      </c>
      <c r="C233" s="0" t="s">
        <v>158</v>
      </c>
      <c r="D233" s="0" t="s">
        <v>492</v>
      </c>
      <c r="E233" s="0" t="s">
        <v>366</v>
      </c>
      <c r="F233" s="0" t="n">
        <v>0.5</v>
      </c>
      <c r="G233" s="0" t="n">
        <v>2.2</v>
      </c>
      <c r="H233" s="0" t="n">
        <v>1.1</v>
      </c>
      <c r="I233" s="0" t="n">
        <f aca="false">IF(ABS(ROUND(F233*G233,2)-H233)&lt;=0.01,1,0)</f>
        <v>1</v>
      </c>
      <c r="J233" s="0" t="n">
        <v>1</v>
      </c>
    </row>
    <row r="234" customFormat="false" ht="15" hidden="false" customHeight="false" outlineLevel="0" collapsed="false">
      <c r="A234" s="0" t="s">
        <v>157</v>
      </c>
      <c r="B234" s="0" t="s">
        <v>136</v>
      </c>
      <c r="C234" s="0" t="s">
        <v>158</v>
      </c>
      <c r="D234" s="0" t="s">
        <v>514</v>
      </c>
      <c r="E234" s="0" t="s">
        <v>625</v>
      </c>
      <c r="F234" s="0" t="n">
        <v>0.5</v>
      </c>
      <c r="G234" s="0" t="n">
        <v>19</v>
      </c>
      <c r="H234" s="0" t="n">
        <v>9.5</v>
      </c>
      <c r="I234" s="0" t="n">
        <f aca="false">IF(ABS(ROUND(F234*G234,2)-H234)&lt;=0.01,1,0)</f>
        <v>1</v>
      </c>
      <c r="J234" s="0" t="n">
        <v>0</v>
      </c>
    </row>
    <row r="235" customFormat="false" ht="15" hidden="false" customHeight="false" outlineLevel="0" collapsed="false">
      <c r="A235" s="0" t="s">
        <v>157</v>
      </c>
      <c r="B235" s="0" t="s">
        <v>136</v>
      </c>
      <c r="C235" s="0" t="s">
        <v>158</v>
      </c>
      <c r="D235" s="0" t="s">
        <v>514</v>
      </c>
      <c r="E235" s="0" t="s">
        <v>591</v>
      </c>
      <c r="F235" s="0" t="n">
        <v>1</v>
      </c>
      <c r="G235" s="0" t="n">
        <v>3.9</v>
      </c>
      <c r="H235" s="0" t="n">
        <v>3.9</v>
      </c>
      <c r="I235" s="0" t="n">
        <f aca="false">IF(ABS(ROUND(F235*G235,2)-H235)&lt;=0.01,1,0)</f>
        <v>1</v>
      </c>
      <c r="J235" s="0" t="n">
        <v>0</v>
      </c>
    </row>
    <row r="236" customFormat="false" ht="15" hidden="false" customHeight="false" outlineLevel="0" collapsed="false">
      <c r="A236" s="0" t="s">
        <v>157</v>
      </c>
      <c r="B236" s="0" t="s">
        <v>136</v>
      </c>
      <c r="C236" s="0" t="s">
        <v>158</v>
      </c>
      <c r="D236" s="0" t="s">
        <v>514</v>
      </c>
      <c r="E236" s="0" t="s">
        <v>626</v>
      </c>
      <c r="F236" s="0" t="n">
        <v>1</v>
      </c>
      <c r="G236" s="0" t="n">
        <v>3.9</v>
      </c>
      <c r="H236" s="0" t="n">
        <v>3.9</v>
      </c>
      <c r="I236" s="0" t="n">
        <f aca="false">IF(ABS(ROUND(F236*G236,2)-H236)&lt;=0.01,1,0)</f>
        <v>1</v>
      </c>
      <c r="J236" s="0" t="n">
        <v>0</v>
      </c>
    </row>
    <row r="237" customFormat="false" ht="15" hidden="false" customHeight="false" outlineLevel="0" collapsed="false">
      <c r="A237" s="0" t="s">
        <v>157</v>
      </c>
      <c r="B237" s="0" t="s">
        <v>136</v>
      </c>
      <c r="C237" s="0" t="s">
        <v>158</v>
      </c>
      <c r="D237" s="0" t="s">
        <v>514</v>
      </c>
      <c r="E237" s="0" t="s">
        <v>419</v>
      </c>
      <c r="F237" s="0" t="n">
        <v>1</v>
      </c>
      <c r="G237" s="0" t="n">
        <v>8.9</v>
      </c>
      <c r="H237" s="0" t="n">
        <v>8.9</v>
      </c>
      <c r="I237" s="0" t="n">
        <f aca="false">IF(ABS(ROUND(F237*G237,2)-H237)&lt;=0.01,1,0)</f>
        <v>1</v>
      </c>
      <c r="J237" s="0" t="n">
        <v>0</v>
      </c>
    </row>
    <row r="238" customFormat="false" ht="15" hidden="false" customHeight="false" outlineLevel="0" collapsed="false">
      <c r="A238" s="0" t="s">
        <v>157</v>
      </c>
      <c r="B238" s="0" t="s">
        <v>136</v>
      </c>
      <c r="C238" s="0" t="s">
        <v>158</v>
      </c>
      <c r="D238" s="0" t="s">
        <v>514</v>
      </c>
      <c r="E238" s="0" t="s">
        <v>627</v>
      </c>
      <c r="F238" s="0" t="n">
        <v>0.5</v>
      </c>
      <c r="G238" s="0" t="n">
        <v>3.2</v>
      </c>
      <c r="H238" s="0" t="n">
        <v>1.6</v>
      </c>
      <c r="I238" s="0" t="n">
        <f aca="false">IF(ABS(ROUND(F238*G238,2)-H238)&lt;=0.01,1,0)</f>
        <v>1</v>
      </c>
      <c r="J238" s="0" t="n">
        <v>0</v>
      </c>
    </row>
    <row r="239" customFormat="false" ht="15" hidden="false" customHeight="false" outlineLevel="0" collapsed="false">
      <c r="A239" s="0" t="s">
        <v>157</v>
      </c>
      <c r="B239" s="0" t="s">
        <v>136</v>
      </c>
      <c r="C239" s="0" t="s">
        <v>158</v>
      </c>
      <c r="D239" s="0" t="s">
        <v>514</v>
      </c>
      <c r="E239" s="0" t="s">
        <v>628</v>
      </c>
      <c r="F239" s="0" t="n">
        <v>0.5</v>
      </c>
      <c r="G239" s="0" t="n">
        <v>8.3</v>
      </c>
      <c r="H239" s="0" t="n">
        <v>4.15</v>
      </c>
      <c r="I239" s="0" t="n">
        <f aca="false">IF(ABS(ROUND(F239*G239,2)-H239)&lt;=0.01,1,0)</f>
        <v>1</v>
      </c>
      <c r="J239" s="0" t="n">
        <v>0</v>
      </c>
    </row>
    <row r="240" customFormat="false" ht="15" hidden="false" customHeight="false" outlineLevel="0" collapsed="false">
      <c r="A240" s="0" t="s">
        <v>157</v>
      </c>
      <c r="B240" s="0" t="s">
        <v>136</v>
      </c>
      <c r="C240" s="0" t="s">
        <v>158</v>
      </c>
      <c r="D240" s="0" t="s">
        <v>514</v>
      </c>
      <c r="E240" s="0" t="s">
        <v>377</v>
      </c>
      <c r="F240" s="0" t="n">
        <v>0.5</v>
      </c>
      <c r="G240" s="0" t="n">
        <v>3.9</v>
      </c>
      <c r="H240" s="0" t="n">
        <v>1.95</v>
      </c>
      <c r="I240" s="0" t="n">
        <f aca="false">IF(ABS(ROUND(F240*G240,2)-H240)&lt;=0.01,1,0)</f>
        <v>1</v>
      </c>
      <c r="J240" s="0" t="n">
        <v>1</v>
      </c>
    </row>
    <row r="241" customFormat="false" ht="15" hidden="false" customHeight="false" outlineLevel="0" collapsed="false">
      <c r="A241" s="0" t="s">
        <v>157</v>
      </c>
      <c r="B241" s="0" t="s">
        <v>136</v>
      </c>
      <c r="C241" s="0" t="s">
        <v>158</v>
      </c>
      <c r="D241" s="0" t="s">
        <v>519</v>
      </c>
      <c r="E241" s="0" t="s">
        <v>625</v>
      </c>
      <c r="F241" s="0" t="n">
        <v>0.5</v>
      </c>
      <c r="G241" s="0" t="n">
        <v>19</v>
      </c>
      <c r="H241" s="0" t="n">
        <v>9.5</v>
      </c>
      <c r="I241" s="0" t="n">
        <f aca="false">IF(ABS(ROUND(F241*G241,2)-H241)&lt;=0.01,1,0)</f>
        <v>1</v>
      </c>
      <c r="J241" s="0" t="n">
        <v>0</v>
      </c>
    </row>
    <row r="242" customFormat="false" ht="15" hidden="false" customHeight="false" outlineLevel="0" collapsed="false">
      <c r="A242" s="0" t="s">
        <v>157</v>
      </c>
      <c r="B242" s="0" t="s">
        <v>136</v>
      </c>
      <c r="C242" s="0" t="s">
        <v>158</v>
      </c>
      <c r="D242" s="0" t="s">
        <v>519</v>
      </c>
      <c r="E242" s="0" t="s">
        <v>591</v>
      </c>
      <c r="F242" s="0" t="n">
        <v>1</v>
      </c>
      <c r="G242" s="0" t="n">
        <v>3.9</v>
      </c>
      <c r="H242" s="0" t="n">
        <v>3.9</v>
      </c>
      <c r="I242" s="0" t="n">
        <f aca="false">IF(ABS(ROUND(F242*G242,2)-H242)&lt;=0.01,1,0)</f>
        <v>1</v>
      </c>
      <c r="J242" s="0" t="n">
        <v>0</v>
      </c>
    </row>
    <row r="243" customFormat="false" ht="15" hidden="false" customHeight="false" outlineLevel="0" collapsed="false">
      <c r="A243" s="0" t="s">
        <v>157</v>
      </c>
      <c r="B243" s="0" t="s">
        <v>136</v>
      </c>
      <c r="C243" s="0" t="s">
        <v>158</v>
      </c>
      <c r="D243" s="0" t="s">
        <v>519</v>
      </c>
      <c r="E243" s="0" t="s">
        <v>626</v>
      </c>
      <c r="F243" s="0" t="n">
        <v>1</v>
      </c>
      <c r="G243" s="0" t="n">
        <v>3.9</v>
      </c>
      <c r="H243" s="0" t="n">
        <v>3.9</v>
      </c>
      <c r="I243" s="0" t="n">
        <f aca="false">IF(ABS(ROUND(F243*G243,2)-H243)&lt;=0.01,1,0)</f>
        <v>1</v>
      </c>
      <c r="J243" s="0" t="n">
        <v>0</v>
      </c>
    </row>
    <row r="244" customFormat="false" ht="15" hidden="false" customHeight="false" outlineLevel="0" collapsed="false">
      <c r="A244" s="0" t="s">
        <v>157</v>
      </c>
      <c r="B244" s="0" t="s">
        <v>136</v>
      </c>
      <c r="C244" s="0" t="s">
        <v>158</v>
      </c>
      <c r="D244" s="0" t="s">
        <v>519</v>
      </c>
      <c r="E244" s="0" t="s">
        <v>419</v>
      </c>
      <c r="F244" s="0" t="n">
        <v>1</v>
      </c>
      <c r="G244" s="0" t="n">
        <v>8.9</v>
      </c>
      <c r="H244" s="0" t="n">
        <v>8.9</v>
      </c>
      <c r="I244" s="0" t="n">
        <f aca="false">IF(ABS(ROUND(F244*G244,2)-H244)&lt;=0.01,1,0)</f>
        <v>1</v>
      </c>
      <c r="J244" s="0" t="n">
        <v>0</v>
      </c>
    </row>
    <row r="245" customFormat="false" ht="15" hidden="false" customHeight="false" outlineLevel="0" collapsed="false">
      <c r="A245" s="0" t="s">
        <v>157</v>
      </c>
      <c r="B245" s="0" t="s">
        <v>136</v>
      </c>
      <c r="C245" s="0" t="s">
        <v>158</v>
      </c>
      <c r="D245" s="0" t="s">
        <v>519</v>
      </c>
      <c r="E245" s="0" t="s">
        <v>627</v>
      </c>
      <c r="F245" s="0" t="n">
        <v>0.5</v>
      </c>
      <c r="G245" s="0" t="n">
        <v>3.2</v>
      </c>
      <c r="H245" s="0" t="n">
        <v>1.6</v>
      </c>
      <c r="I245" s="0" t="n">
        <f aca="false">IF(ABS(ROUND(F245*G245,2)-H245)&lt;=0.01,1,0)</f>
        <v>1</v>
      </c>
      <c r="J245" s="0" t="n">
        <v>0</v>
      </c>
    </row>
    <row r="246" customFormat="false" ht="15" hidden="false" customHeight="false" outlineLevel="0" collapsed="false">
      <c r="A246" s="0" t="s">
        <v>157</v>
      </c>
      <c r="B246" s="0" t="s">
        <v>136</v>
      </c>
      <c r="C246" s="0" t="s">
        <v>158</v>
      </c>
      <c r="D246" s="0" t="s">
        <v>519</v>
      </c>
      <c r="E246" s="0" t="s">
        <v>628</v>
      </c>
      <c r="F246" s="0" t="n">
        <v>0.5</v>
      </c>
      <c r="G246" s="0" t="n">
        <v>8.3</v>
      </c>
      <c r="H246" s="0" t="n">
        <v>4.15</v>
      </c>
      <c r="I246" s="0" t="n">
        <f aca="false">IF(ABS(ROUND(F246*G246,2)-H246)&lt;=0.01,1,0)</f>
        <v>1</v>
      </c>
      <c r="J246" s="0" t="n">
        <v>0</v>
      </c>
    </row>
    <row r="247" customFormat="false" ht="15" hidden="false" customHeight="false" outlineLevel="0" collapsed="false">
      <c r="A247" s="0" t="s">
        <v>157</v>
      </c>
      <c r="B247" s="0" t="s">
        <v>136</v>
      </c>
      <c r="C247" s="0" t="s">
        <v>158</v>
      </c>
      <c r="D247" s="0" t="s">
        <v>519</v>
      </c>
      <c r="E247" s="0" t="s">
        <v>377</v>
      </c>
      <c r="F247" s="0" t="n">
        <v>0.5</v>
      </c>
      <c r="G247" s="0" t="n">
        <v>3.9</v>
      </c>
      <c r="H247" s="0" t="n">
        <v>1.95</v>
      </c>
      <c r="I247" s="0" t="n">
        <f aca="false">IF(ABS(ROUND(F247*G247,2)-H247)&lt;=0.01,1,0)</f>
        <v>1</v>
      </c>
      <c r="J247" s="0" t="n">
        <v>1</v>
      </c>
    </row>
    <row r="248" customFormat="false" ht="15" hidden="false" customHeight="false" outlineLevel="0" collapsed="false">
      <c r="A248" s="0" t="s">
        <v>160</v>
      </c>
      <c r="B248" s="0" t="s">
        <v>136</v>
      </c>
      <c r="C248" s="0" t="s">
        <v>161</v>
      </c>
      <c r="D248" s="0" t="s">
        <v>493</v>
      </c>
      <c r="E248" s="0" t="s">
        <v>590</v>
      </c>
      <c r="F248" s="0" t="n">
        <v>0.5</v>
      </c>
      <c r="G248" s="0" t="n">
        <v>7.9</v>
      </c>
      <c r="H248" s="0" t="n">
        <v>3.95</v>
      </c>
      <c r="I248" s="0" t="n">
        <f aca="false">IF(ABS(ROUND(F248*G248,2)-H248)&lt;=0.01,1,0)</f>
        <v>1</v>
      </c>
      <c r="J248" s="0" t="n">
        <v>0</v>
      </c>
    </row>
    <row r="249" customFormat="false" ht="15" hidden="false" customHeight="false" outlineLevel="0" collapsed="false">
      <c r="A249" s="0" t="s">
        <v>160</v>
      </c>
      <c r="B249" s="0" t="s">
        <v>136</v>
      </c>
      <c r="C249" s="0" t="s">
        <v>161</v>
      </c>
      <c r="D249" s="0" t="s">
        <v>493</v>
      </c>
      <c r="E249" s="0" t="s">
        <v>382</v>
      </c>
      <c r="F249" s="0" t="n">
        <v>0.5</v>
      </c>
      <c r="G249" s="0" t="n">
        <v>3.9</v>
      </c>
      <c r="H249" s="0" t="n">
        <v>1.95</v>
      </c>
      <c r="I249" s="0" t="n">
        <f aca="false">IF(ABS(ROUND(F249*G249,2)-H249)&lt;=0.01,1,0)</f>
        <v>1</v>
      </c>
      <c r="J249" s="0" t="n">
        <v>1</v>
      </c>
    </row>
    <row r="250" customFormat="false" ht="15" hidden="false" customHeight="false" outlineLevel="0" collapsed="false">
      <c r="A250" s="0" t="s">
        <v>160</v>
      </c>
      <c r="B250" s="0" t="s">
        <v>136</v>
      </c>
      <c r="C250" s="0" t="s">
        <v>161</v>
      </c>
      <c r="D250" s="0" t="s">
        <v>493</v>
      </c>
      <c r="E250" s="0" t="s">
        <v>452</v>
      </c>
      <c r="F250" s="0" t="n">
        <v>1</v>
      </c>
      <c r="G250" s="0" t="n">
        <v>25</v>
      </c>
      <c r="H250" s="0" t="n">
        <v>25</v>
      </c>
      <c r="I250" s="0" t="n">
        <f aca="false">IF(ABS(ROUND(F250*G250,2)-H250)&lt;=0.01,1,0)</f>
        <v>1</v>
      </c>
      <c r="J250" s="0" t="n">
        <v>0</v>
      </c>
    </row>
    <row r="251" customFormat="false" ht="15" hidden="false" customHeight="false" outlineLevel="0" collapsed="false">
      <c r="A251" s="0" t="s">
        <v>160</v>
      </c>
      <c r="B251" s="0" t="s">
        <v>136</v>
      </c>
      <c r="C251" s="0" t="s">
        <v>161</v>
      </c>
      <c r="D251" s="0" t="s">
        <v>493</v>
      </c>
      <c r="E251" s="0" t="s">
        <v>629</v>
      </c>
      <c r="F251" s="0" t="n">
        <v>0.5</v>
      </c>
      <c r="G251" s="0" t="n">
        <v>3.4</v>
      </c>
      <c r="H251" s="0" t="n">
        <v>1.7</v>
      </c>
      <c r="I251" s="0" t="n">
        <f aca="false">IF(ABS(ROUND(F251*G251,2)-H251)&lt;=0.01,1,0)</f>
        <v>1</v>
      </c>
      <c r="J251" s="0" t="n">
        <v>0</v>
      </c>
    </row>
    <row r="252" customFormat="false" ht="15" hidden="false" customHeight="false" outlineLevel="0" collapsed="false">
      <c r="A252" s="0" t="s">
        <v>160</v>
      </c>
      <c r="B252" s="0" t="s">
        <v>136</v>
      </c>
      <c r="C252" s="0" t="s">
        <v>161</v>
      </c>
      <c r="D252" s="0" t="s">
        <v>493</v>
      </c>
      <c r="E252" s="0" t="s">
        <v>366</v>
      </c>
      <c r="F252" s="0" t="n">
        <v>0.5</v>
      </c>
      <c r="G252" s="0" t="n">
        <v>2.2</v>
      </c>
      <c r="H252" s="0" t="n">
        <v>1.1</v>
      </c>
      <c r="I252" s="0" t="n">
        <f aca="false">IF(ABS(ROUND(F252*G252,2)-H252)&lt;=0.01,1,0)</f>
        <v>1</v>
      </c>
      <c r="J252" s="0" t="n">
        <v>1</v>
      </c>
    </row>
    <row r="253" customFormat="false" ht="15" hidden="false" customHeight="false" outlineLevel="0" collapsed="false">
      <c r="A253" s="0" t="s">
        <v>160</v>
      </c>
      <c r="B253" s="0" t="s">
        <v>136</v>
      </c>
      <c r="C253" s="0" t="s">
        <v>161</v>
      </c>
      <c r="D253" s="0" t="s">
        <v>503</v>
      </c>
      <c r="E253" s="0" t="s">
        <v>590</v>
      </c>
      <c r="F253" s="0" t="n">
        <v>0.5</v>
      </c>
      <c r="G253" s="0" t="n">
        <v>7.9</v>
      </c>
      <c r="H253" s="0" t="n">
        <v>3.95</v>
      </c>
      <c r="I253" s="0" t="n">
        <f aca="false">IF(ABS(ROUND(F253*G253,2)-H253)&lt;=0.01,1,0)</f>
        <v>1</v>
      </c>
      <c r="J253" s="0" t="n">
        <v>0</v>
      </c>
    </row>
    <row r="254" customFormat="false" ht="15" hidden="false" customHeight="false" outlineLevel="0" collapsed="false">
      <c r="A254" s="0" t="s">
        <v>160</v>
      </c>
      <c r="B254" s="0" t="s">
        <v>136</v>
      </c>
      <c r="C254" s="0" t="s">
        <v>161</v>
      </c>
      <c r="D254" s="0" t="s">
        <v>503</v>
      </c>
      <c r="E254" s="0" t="s">
        <v>382</v>
      </c>
      <c r="F254" s="0" t="n">
        <v>0.5</v>
      </c>
      <c r="G254" s="0" t="n">
        <v>3.9</v>
      </c>
      <c r="H254" s="0" t="n">
        <v>1.95</v>
      </c>
      <c r="I254" s="0" t="n">
        <f aca="false">IF(ABS(ROUND(F254*G254,2)-H254)&lt;=0.01,1,0)</f>
        <v>1</v>
      </c>
      <c r="J254" s="0" t="n">
        <v>1</v>
      </c>
    </row>
    <row r="255" customFormat="false" ht="15" hidden="false" customHeight="false" outlineLevel="0" collapsed="false">
      <c r="A255" s="0" t="s">
        <v>160</v>
      </c>
      <c r="B255" s="0" t="s">
        <v>136</v>
      </c>
      <c r="C255" s="0" t="s">
        <v>161</v>
      </c>
      <c r="D255" s="0" t="s">
        <v>503</v>
      </c>
      <c r="E255" s="0" t="s">
        <v>452</v>
      </c>
      <c r="F255" s="0" t="n">
        <v>1</v>
      </c>
      <c r="G255" s="0" t="n">
        <v>25</v>
      </c>
      <c r="H255" s="0" t="n">
        <v>25</v>
      </c>
      <c r="I255" s="0" t="n">
        <f aca="false">IF(ABS(ROUND(F255*G255,2)-H255)&lt;=0.01,1,0)</f>
        <v>1</v>
      </c>
      <c r="J255" s="0" t="n">
        <v>0</v>
      </c>
    </row>
    <row r="256" customFormat="false" ht="15" hidden="false" customHeight="false" outlineLevel="0" collapsed="false">
      <c r="A256" s="0" t="s">
        <v>160</v>
      </c>
      <c r="B256" s="0" t="s">
        <v>136</v>
      </c>
      <c r="C256" s="0" t="s">
        <v>161</v>
      </c>
      <c r="D256" s="0" t="s">
        <v>503</v>
      </c>
      <c r="E256" s="0" t="s">
        <v>629</v>
      </c>
      <c r="F256" s="0" t="n">
        <v>0.5</v>
      </c>
      <c r="G256" s="0" t="n">
        <v>3.4</v>
      </c>
      <c r="H256" s="0" t="n">
        <v>1.7</v>
      </c>
      <c r="I256" s="0" t="n">
        <f aca="false">IF(ABS(ROUND(F256*G256,2)-H256)&lt;=0.01,1,0)</f>
        <v>1</v>
      </c>
      <c r="J256" s="0" t="n">
        <v>0</v>
      </c>
    </row>
    <row r="257" customFormat="false" ht="15" hidden="false" customHeight="false" outlineLevel="0" collapsed="false">
      <c r="A257" s="0" t="s">
        <v>160</v>
      </c>
      <c r="B257" s="0" t="s">
        <v>136</v>
      </c>
      <c r="C257" s="0" t="s">
        <v>161</v>
      </c>
      <c r="D257" s="0" t="s">
        <v>503</v>
      </c>
      <c r="E257" s="0" t="s">
        <v>366</v>
      </c>
      <c r="F257" s="0" t="n">
        <v>0.5</v>
      </c>
      <c r="G257" s="0" t="n">
        <v>2.2</v>
      </c>
      <c r="H257" s="0" t="n">
        <v>1.1</v>
      </c>
      <c r="I257" s="0" t="n">
        <f aca="false">IF(ABS(ROUND(F257*G257,2)-H257)&lt;=0.01,1,0)</f>
        <v>1</v>
      </c>
      <c r="J257" s="0" t="n">
        <v>1</v>
      </c>
    </row>
    <row r="258" customFormat="false" ht="15" hidden="false" customHeight="false" outlineLevel="0" collapsed="false">
      <c r="A258" s="0" t="s">
        <v>163</v>
      </c>
      <c r="B258" s="0" t="s">
        <v>136</v>
      </c>
      <c r="C258" s="0" t="s">
        <v>164</v>
      </c>
      <c r="D258" s="0" t="s">
        <v>498</v>
      </c>
      <c r="E258" s="0" t="s">
        <v>630</v>
      </c>
      <c r="F258" s="0" t="n">
        <v>4</v>
      </c>
      <c r="G258" s="0" t="n">
        <v>4.2</v>
      </c>
      <c r="H258" s="0" t="n">
        <v>16.8</v>
      </c>
      <c r="I258" s="0" t="n">
        <f aca="false">IF(ABS(ROUND(F258*G258,2)-H258)&lt;=0.01,1,0)</f>
        <v>1</v>
      </c>
      <c r="J258" s="0" t="n">
        <v>0</v>
      </c>
    </row>
    <row r="259" customFormat="false" ht="15" hidden="false" customHeight="false" outlineLevel="0" collapsed="false">
      <c r="A259" s="0" t="s">
        <v>163</v>
      </c>
      <c r="B259" s="0" t="s">
        <v>136</v>
      </c>
      <c r="C259" s="0" t="s">
        <v>164</v>
      </c>
      <c r="D259" s="0" t="s">
        <v>498</v>
      </c>
      <c r="E259" s="0" t="s">
        <v>631</v>
      </c>
      <c r="F259" s="0" t="n">
        <v>0.5</v>
      </c>
      <c r="G259" s="0" t="n">
        <v>10.9</v>
      </c>
      <c r="H259" s="0" t="n">
        <v>5.45</v>
      </c>
      <c r="I259" s="0" t="n">
        <f aca="false">IF(ABS(ROUND(F259*G259,2)-H259)&lt;=0.01,1,0)</f>
        <v>1</v>
      </c>
      <c r="J259" s="0" t="n">
        <v>0</v>
      </c>
    </row>
    <row r="260" customFormat="false" ht="15" hidden="false" customHeight="false" outlineLevel="0" collapsed="false">
      <c r="A260" s="0" t="s">
        <v>163</v>
      </c>
      <c r="B260" s="0" t="s">
        <v>136</v>
      </c>
      <c r="C260" s="0" t="s">
        <v>164</v>
      </c>
      <c r="D260" s="0" t="s">
        <v>498</v>
      </c>
      <c r="E260" s="0" t="s">
        <v>391</v>
      </c>
      <c r="F260" s="0" t="n">
        <v>0.5</v>
      </c>
      <c r="G260" s="0" t="n">
        <v>7.2</v>
      </c>
      <c r="H260" s="0" t="n">
        <v>3.6</v>
      </c>
      <c r="I260" s="0" t="n">
        <f aca="false">IF(ABS(ROUND(F260*G260,2)-H260)&lt;=0.01,1,0)</f>
        <v>1</v>
      </c>
      <c r="J260" s="0" t="n">
        <v>1</v>
      </c>
    </row>
    <row r="261" customFormat="false" ht="15" hidden="false" customHeight="false" outlineLevel="0" collapsed="false">
      <c r="A261" s="0" t="s">
        <v>163</v>
      </c>
      <c r="B261" s="0" t="s">
        <v>136</v>
      </c>
      <c r="C261" s="0" t="s">
        <v>164</v>
      </c>
      <c r="D261" s="0" t="s">
        <v>498</v>
      </c>
      <c r="E261" s="0" t="s">
        <v>372</v>
      </c>
      <c r="F261" s="0" t="n">
        <v>0.5</v>
      </c>
      <c r="G261" s="0" t="n">
        <v>6.9</v>
      </c>
      <c r="H261" s="0" t="n">
        <v>3.45</v>
      </c>
      <c r="I261" s="0" t="n">
        <f aca="false">IF(ABS(ROUND(F261*G261,2)-H261)&lt;=0.01,1,0)</f>
        <v>1</v>
      </c>
      <c r="J261" s="0" t="n">
        <v>0</v>
      </c>
    </row>
    <row r="262" customFormat="false" ht="15" hidden="false" customHeight="false" outlineLevel="0" collapsed="false">
      <c r="A262" s="0" t="s">
        <v>163</v>
      </c>
      <c r="B262" s="0" t="s">
        <v>136</v>
      </c>
      <c r="C262" s="0" t="s">
        <v>164</v>
      </c>
      <c r="D262" s="0" t="s">
        <v>498</v>
      </c>
      <c r="E262" s="0" t="s">
        <v>377</v>
      </c>
      <c r="F262" s="0" t="n">
        <v>0.5</v>
      </c>
      <c r="G262" s="0" t="n">
        <v>3.9</v>
      </c>
      <c r="H262" s="0" t="n">
        <v>1.95</v>
      </c>
      <c r="I262" s="0" t="n">
        <f aca="false">IF(ABS(ROUND(F262*G262,2)-H262)&lt;=0.01,1,0)</f>
        <v>1</v>
      </c>
      <c r="J262" s="0" t="n">
        <v>0</v>
      </c>
    </row>
    <row r="263" customFormat="false" ht="15" hidden="false" customHeight="false" outlineLevel="0" collapsed="false">
      <c r="A263" s="0" t="s">
        <v>163</v>
      </c>
      <c r="B263" s="0" t="s">
        <v>136</v>
      </c>
      <c r="C263" s="0" t="s">
        <v>164</v>
      </c>
      <c r="D263" s="0" t="s">
        <v>516</v>
      </c>
      <c r="E263" s="0" t="s">
        <v>630</v>
      </c>
      <c r="F263" s="0" t="n">
        <v>4</v>
      </c>
      <c r="G263" s="0" t="n">
        <v>4.2</v>
      </c>
      <c r="H263" s="0" t="n">
        <v>16.8</v>
      </c>
      <c r="I263" s="0" t="n">
        <f aca="false">IF(ABS(ROUND(F263*G263,2)-H263)&lt;=0.01,1,0)</f>
        <v>1</v>
      </c>
      <c r="J263" s="0" t="n">
        <v>0</v>
      </c>
    </row>
    <row r="264" customFormat="false" ht="15" hidden="false" customHeight="false" outlineLevel="0" collapsed="false">
      <c r="A264" s="0" t="s">
        <v>163</v>
      </c>
      <c r="B264" s="0" t="s">
        <v>136</v>
      </c>
      <c r="C264" s="0" t="s">
        <v>164</v>
      </c>
      <c r="D264" s="0" t="s">
        <v>516</v>
      </c>
      <c r="E264" s="0" t="s">
        <v>631</v>
      </c>
      <c r="F264" s="0" t="n">
        <v>0.5</v>
      </c>
      <c r="G264" s="0" t="n">
        <v>10.9</v>
      </c>
      <c r="H264" s="0" t="n">
        <v>5.45</v>
      </c>
      <c r="I264" s="0" t="n">
        <f aca="false">IF(ABS(ROUND(F264*G264,2)-H264)&lt;=0.01,1,0)</f>
        <v>1</v>
      </c>
      <c r="J264" s="0" t="n">
        <v>0</v>
      </c>
    </row>
    <row r="265" customFormat="false" ht="15" hidden="false" customHeight="false" outlineLevel="0" collapsed="false">
      <c r="A265" s="0" t="s">
        <v>163</v>
      </c>
      <c r="B265" s="0" t="s">
        <v>136</v>
      </c>
      <c r="C265" s="0" t="s">
        <v>164</v>
      </c>
      <c r="D265" s="0" t="s">
        <v>516</v>
      </c>
      <c r="E265" s="0" t="s">
        <v>391</v>
      </c>
      <c r="F265" s="0" t="n">
        <v>0.5</v>
      </c>
      <c r="G265" s="0" t="n">
        <v>7.2</v>
      </c>
      <c r="H265" s="0" t="n">
        <v>3.6</v>
      </c>
      <c r="I265" s="0" t="n">
        <f aca="false">IF(ABS(ROUND(F265*G265,2)-H265)&lt;=0.01,1,0)</f>
        <v>1</v>
      </c>
      <c r="J265" s="0" t="n">
        <v>1</v>
      </c>
    </row>
    <row r="266" customFormat="false" ht="15" hidden="false" customHeight="false" outlineLevel="0" collapsed="false">
      <c r="A266" s="0" t="s">
        <v>163</v>
      </c>
      <c r="B266" s="0" t="s">
        <v>136</v>
      </c>
      <c r="C266" s="0" t="s">
        <v>164</v>
      </c>
      <c r="D266" s="0" t="s">
        <v>516</v>
      </c>
      <c r="E266" s="0" t="s">
        <v>372</v>
      </c>
      <c r="F266" s="0" t="n">
        <v>0.5</v>
      </c>
      <c r="G266" s="0" t="n">
        <v>6.9</v>
      </c>
      <c r="H266" s="0" t="n">
        <v>3.45</v>
      </c>
      <c r="I266" s="0" t="n">
        <f aca="false">IF(ABS(ROUND(F266*G266,2)-H266)&lt;=0.01,1,0)</f>
        <v>1</v>
      </c>
      <c r="J266" s="0" t="n">
        <v>0</v>
      </c>
    </row>
    <row r="267" customFormat="false" ht="15" hidden="false" customHeight="false" outlineLevel="0" collapsed="false">
      <c r="A267" s="0" t="s">
        <v>163</v>
      </c>
      <c r="B267" s="0" t="s">
        <v>136</v>
      </c>
      <c r="C267" s="0" t="s">
        <v>164</v>
      </c>
      <c r="D267" s="0" t="s">
        <v>516</v>
      </c>
      <c r="E267" s="0" t="s">
        <v>377</v>
      </c>
      <c r="F267" s="0" t="n">
        <v>0.5</v>
      </c>
      <c r="G267" s="0" t="n">
        <v>3.9</v>
      </c>
      <c r="H267" s="0" t="n">
        <v>1.95</v>
      </c>
      <c r="I267" s="0" t="n">
        <f aca="false">IF(ABS(ROUND(F267*G267,2)-H267)&lt;=0.01,1,0)</f>
        <v>1</v>
      </c>
      <c r="J267" s="0" t="n">
        <v>0</v>
      </c>
    </row>
    <row r="268" customFormat="false" ht="15" hidden="false" customHeight="false" outlineLevel="0" collapsed="false">
      <c r="A268" s="0" t="s">
        <v>163</v>
      </c>
      <c r="B268" s="0" t="s">
        <v>136</v>
      </c>
      <c r="C268" s="0" t="s">
        <v>164</v>
      </c>
      <c r="D268" s="0" t="s">
        <v>489</v>
      </c>
      <c r="E268" s="0" t="s">
        <v>632</v>
      </c>
      <c r="F268" s="0" t="n">
        <v>1</v>
      </c>
      <c r="G268" s="0" t="n">
        <v>6</v>
      </c>
      <c r="H268" s="0" t="n">
        <v>6</v>
      </c>
      <c r="I268" s="0" t="n">
        <f aca="false">IF(ABS(ROUND(F268*G268,2)-H268)&lt;=0.01,1,0)</f>
        <v>1</v>
      </c>
      <c r="J268" s="0" t="n">
        <v>0</v>
      </c>
    </row>
    <row r="269" customFormat="false" ht="15" hidden="false" customHeight="false" outlineLevel="0" collapsed="false">
      <c r="A269" s="0" t="s">
        <v>163</v>
      </c>
      <c r="B269" s="0" t="s">
        <v>136</v>
      </c>
      <c r="C269" s="0" t="s">
        <v>164</v>
      </c>
      <c r="D269" s="0" t="s">
        <v>489</v>
      </c>
      <c r="E269" s="0" t="s">
        <v>579</v>
      </c>
      <c r="F269" s="0" t="n">
        <v>1</v>
      </c>
      <c r="G269" s="0" t="n">
        <v>34</v>
      </c>
      <c r="H269" s="0" t="n">
        <v>34</v>
      </c>
      <c r="I269" s="0" t="n">
        <f aca="false">IF(ABS(ROUND(F269*G269,2)-H269)&lt;=0.01,1,0)</f>
        <v>1</v>
      </c>
      <c r="J269" s="0" t="n">
        <v>0</v>
      </c>
    </row>
    <row r="270" customFormat="false" ht="15" hidden="false" customHeight="false" outlineLevel="0" collapsed="false">
      <c r="A270" s="0" t="s">
        <v>163</v>
      </c>
      <c r="B270" s="0" t="s">
        <v>136</v>
      </c>
      <c r="C270" s="0" t="s">
        <v>164</v>
      </c>
      <c r="D270" s="0" t="s">
        <v>489</v>
      </c>
      <c r="E270" s="0" t="s">
        <v>428</v>
      </c>
      <c r="F270" s="0" t="n">
        <v>0.5</v>
      </c>
      <c r="G270" s="0" t="n">
        <v>7.2</v>
      </c>
      <c r="H270" s="0" t="n">
        <v>3.6</v>
      </c>
      <c r="I270" s="0" t="n">
        <f aca="false">IF(ABS(ROUND(F270*G270,2)-H270)&lt;=0.01,1,0)</f>
        <v>1</v>
      </c>
      <c r="J270" s="0" t="n">
        <v>1</v>
      </c>
    </row>
    <row r="271" customFormat="false" ht="15" hidden="false" customHeight="false" outlineLevel="0" collapsed="false">
      <c r="A271" s="0" t="s">
        <v>163</v>
      </c>
      <c r="B271" s="0" t="s">
        <v>136</v>
      </c>
      <c r="C271" s="0" t="s">
        <v>164</v>
      </c>
      <c r="D271" s="0" t="s">
        <v>489</v>
      </c>
      <c r="E271" s="0" t="s">
        <v>633</v>
      </c>
      <c r="F271" s="0" t="n">
        <v>0.5</v>
      </c>
      <c r="G271" s="0" t="n">
        <v>7.9</v>
      </c>
      <c r="H271" s="0" t="n">
        <v>3.95</v>
      </c>
      <c r="I271" s="0" t="n">
        <f aca="false">IF(ABS(ROUND(F271*G271,2)-H271)&lt;=0.01,1,0)</f>
        <v>1</v>
      </c>
      <c r="J271" s="0" t="n">
        <v>0</v>
      </c>
    </row>
    <row r="272" customFormat="false" ht="15" hidden="false" customHeight="false" outlineLevel="0" collapsed="false">
      <c r="A272" s="0" t="s">
        <v>163</v>
      </c>
      <c r="B272" s="0" t="s">
        <v>136</v>
      </c>
      <c r="C272" s="0" t="s">
        <v>164</v>
      </c>
      <c r="D272" s="0" t="s">
        <v>489</v>
      </c>
      <c r="E272" s="0" t="s">
        <v>634</v>
      </c>
      <c r="F272" s="0" t="n">
        <v>0.5</v>
      </c>
      <c r="G272" s="0" t="n">
        <v>4</v>
      </c>
      <c r="H272" s="0" t="n">
        <v>2</v>
      </c>
      <c r="I272" s="0" t="n">
        <f aca="false">IF(ABS(ROUND(F272*G272,2)-H272)&lt;=0.01,1,0)</f>
        <v>1</v>
      </c>
      <c r="J272" s="0" t="n">
        <v>0</v>
      </c>
    </row>
    <row r="273" customFormat="false" ht="15" hidden="false" customHeight="false" outlineLevel="0" collapsed="false">
      <c r="A273" s="0" t="s">
        <v>163</v>
      </c>
      <c r="B273" s="0" t="s">
        <v>136</v>
      </c>
      <c r="C273" s="0" t="s">
        <v>164</v>
      </c>
      <c r="D273" s="0" t="s">
        <v>496</v>
      </c>
      <c r="E273" s="0" t="s">
        <v>632</v>
      </c>
      <c r="F273" s="0" t="n">
        <v>1</v>
      </c>
      <c r="G273" s="0" t="n">
        <v>6</v>
      </c>
      <c r="H273" s="0" t="n">
        <v>6</v>
      </c>
      <c r="I273" s="0" t="n">
        <f aca="false">IF(ABS(ROUND(F273*G273,2)-H273)&lt;=0.01,1,0)</f>
        <v>1</v>
      </c>
      <c r="J273" s="0" t="n">
        <v>0</v>
      </c>
    </row>
    <row r="274" customFormat="false" ht="15" hidden="false" customHeight="false" outlineLevel="0" collapsed="false">
      <c r="A274" s="0" t="s">
        <v>163</v>
      </c>
      <c r="B274" s="0" t="s">
        <v>136</v>
      </c>
      <c r="C274" s="0" t="s">
        <v>164</v>
      </c>
      <c r="D274" s="0" t="s">
        <v>496</v>
      </c>
      <c r="E274" s="0" t="s">
        <v>579</v>
      </c>
      <c r="F274" s="0" t="n">
        <v>1</v>
      </c>
      <c r="G274" s="0" t="n">
        <v>34</v>
      </c>
      <c r="H274" s="0" t="n">
        <v>34</v>
      </c>
      <c r="I274" s="0" t="n">
        <f aca="false">IF(ABS(ROUND(F274*G274,2)-H274)&lt;=0.01,1,0)</f>
        <v>1</v>
      </c>
      <c r="J274" s="0" t="n">
        <v>0</v>
      </c>
    </row>
    <row r="275" customFormat="false" ht="15" hidden="false" customHeight="false" outlineLevel="0" collapsed="false">
      <c r="A275" s="0" t="s">
        <v>163</v>
      </c>
      <c r="B275" s="0" t="s">
        <v>136</v>
      </c>
      <c r="C275" s="0" t="s">
        <v>164</v>
      </c>
      <c r="D275" s="0" t="s">
        <v>496</v>
      </c>
      <c r="E275" s="0" t="s">
        <v>428</v>
      </c>
      <c r="F275" s="0" t="n">
        <v>0.5</v>
      </c>
      <c r="G275" s="0" t="n">
        <v>7.2</v>
      </c>
      <c r="H275" s="0" t="n">
        <v>3.6</v>
      </c>
      <c r="I275" s="0" t="n">
        <f aca="false">IF(ABS(ROUND(F275*G275,2)-H275)&lt;=0.01,1,0)</f>
        <v>1</v>
      </c>
      <c r="J275" s="0" t="n">
        <v>1</v>
      </c>
    </row>
    <row r="276" customFormat="false" ht="15" hidden="false" customHeight="false" outlineLevel="0" collapsed="false">
      <c r="A276" s="0" t="s">
        <v>163</v>
      </c>
      <c r="B276" s="0" t="s">
        <v>136</v>
      </c>
      <c r="C276" s="0" t="s">
        <v>164</v>
      </c>
      <c r="D276" s="0" t="s">
        <v>496</v>
      </c>
      <c r="E276" s="0" t="s">
        <v>633</v>
      </c>
      <c r="F276" s="0" t="n">
        <v>0.5</v>
      </c>
      <c r="G276" s="0" t="n">
        <v>7.9</v>
      </c>
      <c r="H276" s="0" t="n">
        <v>3.95</v>
      </c>
      <c r="I276" s="0" t="n">
        <f aca="false">IF(ABS(ROUND(F276*G276,2)-H276)&lt;=0.01,1,0)</f>
        <v>1</v>
      </c>
      <c r="J276" s="0" t="n">
        <v>0</v>
      </c>
    </row>
    <row r="277" customFormat="false" ht="15" hidden="false" customHeight="false" outlineLevel="0" collapsed="false">
      <c r="A277" s="0" t="s">
        <v>163</v>
      </c>
      <c r="B277" s="0" t="s">
        <v>136</v>
      </c>
      <c r="C277" s="0" t="s">
        <v>164</v>
      </c>
      <c r="D277" s="0" t="s">
        <v>496</v>
      </c>
      <c r="E277" s="0" t="s">
        <v>634</v>
      </c>
      <c r="F277" s="0" t="n">
        <v>0.5</v>
      </c>
      <c r="G277" s="0" t="n">
        <v>4</v>
      </c>
      <c r="H277" s="0" t="n">
        <v>2</v>
      </c>
      <c r="I277" s="0" t="n">
        <f aca="false">IF(ABS(ROUND(F277*G277,2)-H277)&lt;=0.01,1,0)</f>
        <v>1</v>
      </c>
      <c r="J277" s="0" t="n">
        <v>0</v>
      </c>
    </row>
    <row r="278" customFormat="false" ht="15" hidden="false" customHeight="false" outlineLevel="0" collapsed="false">
      <c r="A278" s="0" t="s">
        <v>166</v>
      </c>
      <c r="B278" s="0" t="s">
        <v>136</v>
      </c>
      <c r="C278" s="0" t="s">
        <v>167</v>
      </c>
      <c r="D278" s="0" t="s">
        <v>495</v>
      </c>
      <c r="E278" s="0" t="s">
        <v>421</v>
      </c>
      <c r="F278" s="0" t="n">
        <v>0.5</v>
      </c>
      <c r="G278" s="0" t="n">
        <v>9</v>
      </c>
      <c r="H278" s="0" t="n">
        <v>4.5</v>
      </c>
      <c r="I278" s="0" t="n">
        <f aca="false">IF(ABS(ROUND(F278*G278,2)-H278)&lt;=0.01,1,0)</f>
        <v>1</v>
      </c>
      <c r="J278" s="0" t="n">
        <v>0</v>
      </c>
    </row>
    <row r="279" customFormat="false" ht="15" hidden="false" customHeight="false" outlineLevel="0" collapsed="false">
      <c r="A279" s="0" t="s">
        <v>166</v>
      </c>
      <c r="B279" s="0" t="s">
        <v>136</v>
      </c>
      <c r="C279" s="0" t="s">
        <v>167</v>
      </c>
      <c r="D279" s="0" t="s">
        <v>495</v>
      </c>
      <c r="E279" s="0" t="s">
        <v>437</v>
      </c>
      <c r="F279" s="0" t="n">
        <v>1</v>
      </c>
      <c r="G279" s="0" t="n">
        <v>5.2</v>
      </c>
      <c r="H279" s="0" t="n">
        <v>5.2</v>
      </c>
      <c r="I279" s="0" t="n">
        <f aca="false">IF(ABS(ROUND(F279*G279,2)-H279)&lt;=0.01,1,0)</f>
        <v>1</v>
      </c>
      <c r="J279" s="0" t="n">
        <v>0</v>
      </c>
    </row>
    <row r="280" customFormat="false" ht="15" hidden="false" customHeight="false" outlineLevel="0" collapsed="false">
      <c r="A280" s="0" t="s">
        <v>166</v>
      </c>
      <c r="B280" s="0" t="s">
        <v>136</v>
      </c>
      <c r="C280" s="0" t="s">
        <v>167</v>
      </c>
      <c r="D280" s="0" t="s">
        <v>495</v>
      </c>
      <c r="E280" s="0" t="s">
        <v>395</v>
      </c>
      <c r="F280" s="0" t="n">
        <v>0.5</v>
      </c>
      <c r="G280" s="0" t="n">
        <v>4.9</v>
      </c>
      <c r="H280" s="0" t="n">
        <v>2.45</v>
      </c>
      <c r="I280" s="0" t="n">
        <f aca="false">IF(ABS(ROUND(F280*G280,2)-H280)&lt;=0.01,1,0)</f>
        <v>1</v>
      </c>
      <c r="J280" s="0" t="n">
        <v>0</v>
      </c>
    </row>
    <row r="281" customFormat="false" ht="15" hidden="false" customHeight="false" outlineLevel="0" collapsed="false">
      <c r="A281" s="0" t="s">
        <v>166</v>
      </c>
      <c r="B281" s="0" t="s">
        <v>136</v>
      </c>
      <c r="C281" s="0" t="s">
        <v>167</v>
      </c>
      <c r="D281" s="0" t="s">
        <v>495</v>
      </c>
      <c r="E281" s="0" t="s">
        <v>635</v>
      </c>
      <c r="F281" s="0" t="n">
        <v>0.5</v>
      </c>
      <c r="G281" s="0" t="n">
        <v>7.2</v>
      </c>
      <c r="H281" s="0" t="n">
        <v>3.6</v>
      </c>
      <c r="I281" s="0" t="n">
        <f aca="false">IF(ABS(ROUND(F281*G281,2)-H281)&lt;=0.01,1,0)</f>
        <v>1</v>
      </c>
      <c r="J281" s="0" t="n">
        <v>0</v>
      </c>
    </row>
    <row r="282" customFormat="false" ht="15" hidden="false" customHeight="false" outlineLevel="0" collapsed="false">
      <c r="A282" s="0" t="s">
        <v>166</v>
      </c>
      <c r="B282" s="0" t="s">
        <v>136</v>
      </c>
      <c r="C282" s="0" t="s">
        <v>167</v>
      </c>
      <c r="D282" s="0" t="s">
        <v>495</v>
      </c>
      <c r="E282" s="0" t="s">
        <v>613</v>
      </c>
      <c r="F282" s="0" t="n">
        <v>1</v>
      </c>
      <c r="G282" s="0" t="n">
        <v>25.9</v>
      </c>
      <c r="H282" s="0" t="n">
        <v>25.9</v>
      </c>
      <c r="I282" s="0" t="n">
        <f aca="false">IF(ABS(ROUND(F282*G282,2)-H282)&lt;=0.01,1,0)</f>
        <v>1</v>
      </c>
      <c r="J282" s="0" t="n">
        <v>0</v>
      </c>
    </row>
    <row r="283" customFormat="false" ht="15" hidden="false" customHeight="false" outlineLevel="0" collapsed="false">
      <c r="A283" s="0" t="s">
        <v>166</v>
      </c>
      <c r="B283" s="0" t="s">
        <v>136</v>
      </c>
      <c r="C283" s="0" t="s">
        <v>167</v>
      </c>
      <c r="D283" s="0" t="s">
        <v>495</v>
      </c>
      <c r="E283" s="0" t="s">
        <v>430</v>
      </c>
      <c r="F283" s="0" t="n">
        <v>0.5</v>
      </c>
      <c r="G283" s="0" t="n">
        <v>19.9</v>
      </c>
      <c r="H283" s="0" t="n">
        <v>9.95</v>
      </c>
      <c r="I283" s="0" t="n">
        <f aca="false">IF(ABS(ROUND(F283*G283,2)-H283)&lt;=0.01,1,0)</f>
        <v>1</v>
      </c>
      <c r="J283" s="0" t="n">
        <v>0</v>
      </c>
    </row>
    <row r="284" customFormat="false" ht="15" hidden="false" customHeight="false" outlineLevel="0" collapsed="false">
      <c r="A284" s="0" t="s">
        <v>166</v>
      </c>
      <c r="B284" s="0" t="s">
        <v>136</v>
      </c>
      <c r="C284" s="0" t="s">
        <v>167</v>
      </c>
      <c r="D284" s="0" t="s">
        <v>495</v>
      </c>
      <c r="E284" s="0" t="s">
        <v>636</v>
      </c>
      <c r="F284" s="0" t="n">
        <v>0.5</v>
      </c>
      <c r="G284" s="0" t="n">
        <v>19</v>
      </c>
      <c r="H284" s="0" t="n">
        <v>9.5</v>
      </c>
      <c r="I284" s="0" t="n">
        <f aca="false">IF(ABS(ROUND(F284*G284,2)-H284)&lt;=0.01,1,0)</f>
        <v>1</v>
      </c>
      <c r="J284" s="0" t="n">
        <v>0</v>
      </c>
    </row>
    <row r="285" customFormat="false" ht="15" hidden="false" customHeight="false" outlineLevel="0" collapsed="false">
      <c r="A285" s="0" t="s">
        <v>166</v>
      </c>
      <c r="B285" s="0" t="s">
        <v>136</v>
      </c>
      <c r="C285" s="0" t="s">
        <v>167</v>
      </c>
      <c r="D285" s="0" t="s">
        <v>495</v>
      </c>
      <c r="E285" s="0" t="s">
        <v>387</v>
      </c>
      <c r="F285" s="0" t="n">
        <v>0.5</v>
      </c>
      <c r="G285" s="0" t="n">
        <v>8.9</v>
      </c>
      <c r="H285" s="0" t="n">
        <v>4.45</v>
      </c>
      <c r="I285" s="0" t="n">
        <f aca="false">IF(ABS(ROUND(F285*G285,2)-H285)&lt;=0.01,1,0)</f>
        <v>1</v>
      </c>
      <c r="J285" s="0" t="n">
        <v>1</v>
      </c>
    </row>
    <row r="286" customFormat="false" ht="15" hidden="false" customHeight="false" outlineLevel="0" collapsed="false">
      <c r="A286" s="0" t="s">
        <v>166</v>
      </c>
      <c r="B286" s="0" t="s">
        <v>136</v>
      </c>
      <c r="C286" s="0" t="s">
        <v>167</v>
      </c>
      <c r="D286" s="0" t="s">
        <v>495</v>
      </c>
      <c r="E286" s="0" t="s">
        <v>622</v>
      </c>
      <c r="F286" s="0" t="n">
        <v>0.5</v>
      </c>
      <c r="G286" s="0" t="n">
        <v>6.9</v>
      </c>
      <c r="H286" s="0" t="n">
        <v>3.45</v>
      </c>
      <c r="I286" s="0" t="n">
        <f aca="false">IF(ABS(ROUND(F286*G286,2)-H286)&lt;=0.01,1,0)</f>
        <v>1</v>
      </c>
      <c r="J286" s="0" t="n">
        <v>0</v>
      </c>
    </row>
    <row r="287" customFormat="false" ht="15" hidden="false" customHeight="false" outlineLevel="0" collapsed="false">
      <c r="A287" s="0" t="s">
        <v>166</v>
      </c>
      <c r="B287" s="0" t="s">
        <v>136</v>
      </c>
      <c r="C287" s="0" t="s">
        <v>167</v>
      </c>
      <c r="D287" s="0" t="s">
        <v>495</v>
      </c>
      <c r="E287" s="0" t="s">
        <v>374</v>
      </c>
      <c r="F287" s="0" t="n">
        <v>1</v>
      </c>
      <c r="G287" s="0" t="n">
        <v>2</v>
      </c>
      <c r="H287" s="0" t="n">
        <v>2</v>
      </c>
      <c r="I287" s="0" t="n">
        <f aca="false">IF(ABS(ROUND(F287*G287,2)-H287)&lt;=0.01,1,0)</f>
        <v>1</v>
      </c>
      <c r="J287" s="0" t="n">
        <v>0</v>
      </c>
    </row>
    <row r="288" customFormat="false" ht="15" hidden="false" customHeight="false" outlineLevel="0" collapsed="false">
      <c r="A288" s="0" t="s">
        <v>166</v>
      </c>
      <c r="B288" s="0" t="s">
        <v>136</v>
      </c>
      <c r="C288" s="0" t="s">
        <v>167</v>
      </c>
      <c r="D288" s="0" t="s">
        <v>495</v>
      </c>
      <c r="E288" s="0" t="s">
        <v>624</v>
      </c>
      <c r="F288" s="0" t="n">
        <v>0.5</v>
      </c>
      <c r="G288" s="0" t="n">
        <v>4.7</v>
      </c>
      <c r="H288" s="0" t="n">
        <v>2.35</v>
      </c>
      <c r="I288" s="0" t="n">
        <f aca="false">IF(ABS(ROUND(F288*G288,2)-H288)&lt;=0.01,1,0)</f>
        <v>1</v>
      </c>
      <c r="J288" s="0" t="n">
        <v>0</v>
      </c>
    </row>
    <row r="289" customFormat="false" ht="15" hidden="false" customHeight="false" outlineLevel="0" collapsed="false">
      <c r="A289" s="0" t="s">
        <v>166</v>
      </c>
      <c r="B289" s="0" t="s">
        <v>136</v>
      </c>
      <c r="C289" s="0" t="s">
        <v>167</v>
      </c>
      <c r="D289" s="0" t="s">
        <v>495</v>
      </c>
      <c r="E289" s="0" t="s">
        <v>637</v>
      </c>
      <c r="F289" s="0" t="n">
        <v>0.5</v>
      </c>
      <c r="G289" s="0" t="n">
        <v>5.8</v>
      </c>
      <c r="H289" s="0" t="n">
        <v>2.9</v>
      </c>
      <c r="I289" s="0" t="n">
        <f aca="false">IF(ABS(ROUND(F289*G289,2)-H289)&lt;=0.01,1,0)</f>
        <v>1</v>
      </c>
      <c r="J289" s="0" t="n">
        <v>0</v>
      </c>
    </row>
    <row r="290" customFormat="false" ht="15" hidden="false" customHeight="false" outlineLevel="0" collapsed="false">
      <c r="A290" s="0" t="s">
        <v>166</v>
      </c>
      <c r="B290" s="0" t="s">
        <v>136</v>
      </c>
      <c r="C290" s="0" t="s">
        <v>167</v>
      </c>
      <c r="D290" s="0" t="s">
        <v>495</v>
      </c>
      <c r="E290" s="0" t="s">
        <v>638</v>
      </c>
      <c r="F290" s="0" t="n">
        <v>0.5</v>
      </c>
      <c r="G290" s="0" t="n">
        <v>1.8</v>
      </c>
      <c r="H290" s="0" t="n">
        <v>0.9</v>
      </c>
      <c r="I290" s="0" t="n">
        <f aca="false">IF(ABS(ROUND(F290*G290,2)-H290)&lt;=0.01,1,0)</f>
        <v>1</v>
      </c>
      <c r="J290" s="0" t="n">
        <v>0</v>
      </c>
    </row>
    <row r="291" customFormat="false" ht="15" hidden="false" customHeight="false" outlineLevel="0" collapsed="false">
      <c r="A291" s="0" t="s">
        <v>166</v>
      </c>
      <c r="B291" s="0" t="s">
        <v>136</v>
      </c>
      <c r="C291" s="0" t="s">
        <v>167</v>
      </c>
      <c r="D291" s="0" t="s">
        <v>495</v>
      </c>
      <c r="E291" s="0" t="s">
        <v>366</v>
      </c>
      <c r="F291" s="0" t="n">
        <v>0.5</v>
      </c>
      <c r="G291" s="0" t="n">
        <v>2.2</v>
      </c>
      <c r="H291" s="0" t="n">
        <v>1.1</v>
      </c>
      <c r="I291" s="0" t="n">
        <f aca="false">IF(ABS(ROUND(F291*G291,2)-H291)&lt;=0.01,1,0)</f>
        <v>1</v>
      </c>
      <c r="J291" s="0" t="n">
        <v>0</v>
      </c>
    </row>
    <row r="292" customFormat="false" ht="15" hidden="false" customHeight="false" outlineLevel="0" collapsed="false">
      <c r="A292" s="0" t="s">
        <v>166</v>
      </c>
      <c r="B292" s="0" t="s">
        <v>136</v>
      </c>
      <c r="C292" s="0" t="s">
        <v>167</v>
      </c>
      <c r="D292" s="0" t="s">
        <v>493</v>
      </c>
      <c r="E292" s="0" t="s">
        <v>421</v>
      </c>
      <c r="F292" s="0" t="n">
        <v>0.5</v>
      </c>
      <c r="G292" s="0" t="n">
        <v>9</v>
      </c>
      <c r="H292" s="0" t="n">
        <v>4.5</v>
      </c>
      <c r="I292" s="0" t="n">
        <f aca="false">IF(ABS(ROUND(F292*G292,2)-H292)&lt;=0.01,1,0)</f>
        <v>1</v>
      </c>
      <c r="J292" s="0" t="n">
        <v>0</v>
      </c>
    </row>
    <row r="293" customFormat="false" ht="15" hidden="false" customHeight="false" outlineLevel="0" collapsed="false">
      <c r="A293" s="0" t="s">
        <v>166</v>
      </c>
      <c r="B293" s="0" t="s">
        <v>136</v>
      </c>
      <c r="C293" s="0" t="s">
        <v>167</v>
      </c>
      <c r="D293" s="0" t="s">
        <v>493</v>
      </c>
      <c r="E293" s="0" t="s">
        <v>437</v>
      </c>
      <c r="F293" s="0" t="n">
        <v>1</v>
      </c>
      <c r="G293" s="0" t="n">
        <v>5.2</v>
      </c>
      <c r="H293" s="0" t="n">
        <v>5.2</v>
      </c>
      <c r="I293" s="0" t="n">
        <f aca="false">IF(ABS(ROUND(F293*G293,2)-H293)&lt;=0.01,1,0)</f>
        <v>1</v>
      </c>
      <c r="J293" s="0" t="n">
        <v>0</v>
      </c>
    </row>
    <row r="294" customFormat="false" ht="15" hidden="false" customHeight="false" outlineLevel="0" collapsed="false">
      <c r="A294" s="0" t="s">
        <v>166</v>
      </c>
      <c r="B294" s="0" t="s">
        <v>136</v>
      </c>
      <c r="C294" s="0" t="s">
        <v>167</v>
      </c>
      <c r="D294" s="0" t="s">
        <v>493</v>
      </c>
      <c r="E294" s="0" t="s">
        <v>395</v>
      </c>
      <c r="F294" s="0" t="n">
        <v>0.5</v>
      </c>
      <c r="G294" s="0" t="n">
        <v>4.9</v>
      </c>
      <c r="H294" s="0" t="n">
        <v>2.45</v>
      </c>
      <c r="I294" s="0" t="n">
        <f aca="false">IF(ABS(ROUND(F294*G294,2)-H294)&lt;=0.01,1,0)</f>
        <v>1</v>
      </c>
      <c r="J294" s="0" t="n">
        <v>0</v>
      </c>
    </row>
    <row r="295" customFormat="false" ht="15" hidden="false" customHeight="false" outlineLevel="0" collapsed="false">
      <c r="A295" s="0" t="s">
        <v>166</v>
      </c>
      <c r="B295" s="0" t="s">
        <v>136</v>
      </c>
      <c r="C295" s="0" t="s">
        <v>167</v>
      </c>
      <c r="D295" s="0" t="s">
        <v>493</v>
      </c>
      <c r="E295" s="0" t="s">
        <v>635</v>
      </c>
      <c r="F295" s="0" t="n">
        <v>0.5</v>
      </c>
      <c r="G295" s="0" t="n">
        <v>7.2</v>
      </c>
      <c r="H295" s="0" t="n">
        <v>3.6</v>
      </c>
      <c r="I295" s="0" t="n">
        <f aca="false">IF(ABS(ROUND(F295*G295,2)-H295)&lt;=0.01,1,0)</f>
        <v>1</v>
      </c>
      <c r="J295" s="0" t="n">
        <v>0</v>
      </c>
    </row>
    <row r="296" customFormat="false" ht="15" hidden="false" customHeight="false" outlineLevel="0" collapsed="false">
      <c r="A296" s="0" t="s">
        <v>166</v>
      </c>
      <c r="B296" s="0" t="s">
        <v>136</v>
      </c>
      <c r="C296" s="0" t="s">
        <v>167</v>
      </c>
      <c r="D296" s="0" t="s">
        <v>493</v>
      </c>
      <c r="E296" s="0" t="s">
        <v>613</v>
      </c>
      <c r="F296" s="0" t="n">
        <v>1</v>
      </c>
      <c r="G296" s="0" t="n">
        <v>25.9</v>
      </c>
      <c r="H296" s="0" t="n">
        <v>25.9</v>
      </c>
      <c r="I296" s="0" t="n">
        <f aca="false">IF(ABS(ROUND(F296*G296,2)-H296)&lt;=0.01,1,0)</f>
        <v>1</v>
      </c>
      <c r="J296" s="0" t="n">
        <v>0</v>
      </c>
    </row>
    <row r="297" customFormat="false" ht="15" hidden="false" customHeight="false" outlineLevel="0" collapsed="false">
      <c r="A297" s="0" t="s">
        <v>166</v>
      </c>
      <c r="B297" s="0" t="s">
        <v>136</v>
      </c>
      <c r="C297" s="0" t="s">
        <v>167</v>
      </c>
      <c r="D297" s="0" t="s">
        <v>493</v>
      </c>
      <c r="E297" s="0" t="s">
        <v>430</v>
      </c>
      <c r="F297" s="0" t="n">
        <v>0.5</v>
      </c>
      <c r="G297" s="0" t="n">
        <v>19.9</v>
      </c>
      <c r="H297" s="0" t="n">
        <v>9.95</v>
      </c>
      <c r="I297" s="0" t="n">
        <f aca="false">IF(ABS(ROUND(F297*G297,2)-H297)&lt;=0.01,1,0)</f>
        <v>1</v>
      </c>
      <c r="J297" s="0" t="n">
        <v>0</v>
      </c>
    </row>
    <row r="298" customFormat="false" ht="15" hidden="false" customHeight="false" outlineLevel="0" collapsed="false">
      <c r="A298" s="0" t="s">
        <v>166</v>
      </c>
      <c r="B298" s="0" t="s">
        <v>136</v>
      </c>
      <c r="C298" s="0" t="s">
        <v>167</v>
      </c>
      <c r="D298" s="0" t="s">
        <v>493</v>
      </c>
      <c r="E298" s="0" t="s">
        <v>636</v>
      </c>
      <c r="F298" s="0" t="n">
        <v>0.5</v>
      </c>
      <c r="G298" s="0" t="n">
        <v>19</v>
      </c>
      <c r="H298" s="0" t="n">
        <v>9.5</v>
      </c>
      <c r="I298" s="0" t="n">
        <f aca="false">IF(ABS(ROUND(F298*G298,2)-H298)&lt;=0.01,1,0)</f>
        <v>1</v>
      </c>
      <c r="J298" s="0" t="n">
        <v>0</v>
      </c>
    </row>
    <row r="299" customFormat="false" ht="15" hidden="false" customHeight="false" outlineLevel="0" collapsed="false">
      <c r="A299" s="0" t="s">
        <v>166</v>
      </c>
      <c r="B299" s="0" t="s">
        <v>136</v>
      </c>
      <c r="C299" s="0" t="s">
        <v>167</v>
      </c>
      <c r="D299" s="0" t="s">
        <v>493</v>
      </c>
      <c r="E299" s="0" t="s">
        <v>387</v>
      </c>
      <c r="F299" s="0" t="n">
        <v>0.5</v>
      </c>
      <c r="G299" s="0" t="n">
        <v>8.9</v>
      </c>
      <c r="H299" s="0" t="n">
        <v>4.45</v>
      </c>
      <c r="I299" s="0" t="n">
        <f aca="false">IF(ABS(ROUND(F299*G299,2)-H299)&lt;=0.01,1,0)</f>
        <v>1</v>
      </c>
      <c r="J299" s="0" t="n">
        <v>1</v>
      </c>
    </row>
    <row r="300" customFormat="false" ht="15" hidden="false" customHeight="false" outlineLevel="0" collapsed="false">
      <c r="A300" s="0" t="s">
        <v>166</v>
      </c>
      <c r="B300" s="0" t="s">
        <v>136</v>
      </c>
      <c r="C300" s="0" t="s">
        <v>167</v>
      </c>
      <c r="D300" s="0" t="s">
        <v>493</v>
      </c>
      <c r="E300" s="0" t="s">
        <v>622</v>
      </c>
      <c r="F300" s="0" t="n">
        <v>0.5</v>
      </c>
      <c r="G300" s="0" t="n">
        <v>6.9</v>
      </c>
      <c r="H300" s="0" t="n">
        <v>3.45</v>
      </c>
      <c r="I300" s="0" t="n">
        <f aca="false">IF(ABS(ROUND(F300*G300,2)-H300)&lt;=0.01,1,0)</f>
        <v>1</v>
      </c>
      <c r="J300" s="0" t="n">
        <v>0</v>
      </c>
    </row>
    <row r="301" customFormat="false" ht="15" hidden="false" customHeight="false" outlineLevel="0" collapsed="false">
      <c r="A301" s="0" t="s">
        <v>166</v>
      </c>
      <c r="B301" s="0" t="s">
        <v>136</v>
      </c>
      <c r="C301" s="0" t="s">
        <v>167</v>
      </c>
      <c r="D301" s="0" t="s">
        <v>493</v>
      </c>
      <c r="E301" s="0" t="s">
        <v>374</v>
      </c>
      <c r="F301" s="0" t="n">
        <v>1</v>
      </c>
      <c r="G301" s="0" t="n">
        <v>2</v>
      </c>
      <c r="H301" s="0" t="n">
        <v>2</v>
      </c>
      <c r="I301" s="0" t="n">
        <f aca="false">IF(ABS(ROUND(F301*G301,2)-H301)&lt;=0.01,1,0)</f>
        <v>1</v>
      </c>
      <c r="J301" s="0" t="n">
        <v>0</v>
      </c>
    </row>
    <row r="302" customFormat="false" ht="15" hidden="false" customHeight="false" outlineLevel="0" collapsed="false">
      <c r="A302" s="0" t="s">
        <v>166</v>
      </c>
      <c r="B302" s="0" t="s">
        <v>136</v>
      </c>
      <c r="C302" s="0" t="s">
        <v>167</v>
      </c>
      <c r="D302" s="0" t="s">
        <v>493</v>
      </c>
      <c r="E302" s="0" t="s">
        <v>624</v>
      </c>
      <c r="F302" s="0" t="n">
        <v>0.5</v>
      </c>
      <c r="G302" s="0" t="n">
        <v>4.7</v>
      </c>
      <c r="H302" s="0" t="n">
        <v>2.35</v>
      </c>
      <c r="I302" s="0" t="n">
        <f aca="false">IF(ABS(ROUND(F302*G302,2)-H302)&lt;=0.01,1,0)</f>
        <v>1</v>
      </c>
      <c r="J302" s="0" t="n">
        <v>0</v>
      </c>
    </row>
    <row r="303" customFormat="false" ht="15" hidden="false" customHeight="false" outlineLevel="0" collapsed="false">
      <c r="A303" s="0" t="s">
        <v>166</v>
      </c>
      <c r="B303" s="0" t="s">
        <v>136</v>
      </c>
      <c r="C303" s="0" t="s">
        <v>167</v>
      </c>
      <c r="D303" s="0" t="s">
        <v>493</v>
      </c>
      <c r="E303" s="0" t="s">
        <v>637</v>
      </c>
      <c r="F303" s="0" t="n">
        <v>0.5</v>
      </c>
      <c r="G303" s="0" t="n">
        <v>5.8</v>
      </c>
      <c r="H303" s="0" t="n">
        <v>2.9</v>
      </c>
      <c r="I303" s="0" t="n">
        <f aca="false">IF(ABS(ROUND(F303*G303,2)-H303)&lt;=0.01,1,0)</f>
        <v>1</v>
      </c>
      <c r="J303" s="0" t="n">
        <v>0</v>
      </c>
    </row>
    <row r="304" customFormat="false" ht="15" hidden="false" customHeight="false" outlineLevel="0" collapsed="false">
      <c r="A304" s="0" t="s">
        <v>166</v>
      </c>
      <c r="B304" s="0" t="s">
        <v>136</v>
      </c>
      <c r="C304" s="0" t="s">
        <v>167</v>
      </c>
      <c r="D304" s="0" t="s">
        <v>493</v>
      </c>
      <c r="E304" s="0" t="s">
        <v>638</v>
      </c>
      <c r="F304" s="0" t="n">
        <v>0.5</v>
      </c>
      <c r="G304" s="0" t="n">
        <v>1.8</v>
      </c>
      <c r="H304" s="0" t="n">
        <v>0.9</v>
      </c>
      <c r="I304" s="0" t="n">
        <f aca="false">IF(ABS(ROUND(F304*G304,2)-H304)&lt;=0.01,1,0)</f>
        <v>1</v>
      </c>
      <c r="J304" s="0" t="n">
        <v>0</v>
      </c>
    </row>
    <row r="305" customFormat="false" ht="15" hidden="false" customHeight="false" outlineLevel="0" collapsed="false">
      <c r="A305" s="0" t="s">
        <v>166</v>
      </c>
      <c r="B305" s="0" t="s">
        <v>136</v>
      </c>
      <c r="C305" s="0" t="s">
        <v>167</v>
      </c>
      <c r="D305" s="0" t="s">
        <v>493</v>
      </c>
      <c r="E305" s="0" t="s">
        <v>366</v>
      </c>
      <c r="F305" s="0" t="n">
        <v>0.5</v>
      </c>
      <c r="G305" s="0" t="n">
        <v>2.2</v>
      </c>
      <c r="H305" s="0" t="n">
        <v>1.1</v>
      </c>
      <c r="I305" s="0" t="n">
        <f aca="false">IF(ABS(ROUND(F305*G305,2)-H305)&lt;=0.01,1,0)</f>
        <v>1</v>
      </c>
      <c r="J305" s="0" t="n">
        <v>0</v>
      </c>
    </row>
    <row r="306" customFormat="false" ht="15" hidden="false" customHeight="false" outlineLevel="0" collapsed="false">
      <c r="A306" s="0" t="s">
        <v>169</v>
      </c>
      <c r="B306" s="0" t="s">
        <v>136</v>
      </c>
      <c r="C306" s="0" t="s">
        <v>170</v>
      </c>
      <c r="D306" s="0" t="s">
        <v>532</v>
      </c>
      <c r="E306" s="0" t="s">
        <v>607</v>
      </c>
      <c r="F306" s="0" t="n">
        <v>0.5</v>
      </c>
      <c r="G306" s="0" t="n">
        <v>5.2</v>
      </c>
      <c r="H306" s="0" t="n">
        <v>2.6</v>
      </c>
      <c r="I306" s="0" t="n">
        <f aca="false">IF(ABS(ROUND(F306*G306,2)-H306)&lt;=0.01,1,0)</f>
        <v>1</v>
      </c>
      <c r="J306" s="0" t="n">
        <v>1</v>
      </c>
    </row>
    <row r="307" customFormat="false" ht="15" hidden="false" customHeight="false" outlineLevel="0" collapsed="false">
      <c r="A307" s="0" t="s">
        <v>169</v>
      </c>
      <c r="B307" s="0" t="s">
        <v>136</v>
      </c>
      <c r="C307" s="0" t="s">
        <v>170</v>
      </c>
      <c r="D307" s="0" t="s">
        <v>532</v>
      </c>
      <c r="E307" s="0" t="s">
        <v>405</v>
      </c>
      <c r="F307" s="0" t="n">
        <v>1</v>
      </c>
      <c r="G307" s="0" t="n">
        <v>4.9</v>
      </c>
      <c r="H307" s="0" t="n">
        <v>4.9</v>
      </c>
      <c r="I307" s="0" t="n">
        <f aca="false">IF(ABS(ROUND(F307*G307,2)-H307)&lt;=0.01,1,0)</f>
        <v>1</v>
      </c>
      <c r="J307" s="0" t="n">
        <v>0</v>
      </c>
    </row>
    <row r="308" customFormat="false" ht="15" hidden="false" customHeight="false" outlineLevel="0" collapsed="false">
      <c r="A308" s="0" t="s">
        <v>169</v>
      </c>
      <c r="B308" s="0" t="s">
        <v>136</v>
      </c>
      <c r="C308" s="0" t="s">
        <v>170</v>
      </c>
      <c r="D308" s="0" t="s">
        <v>532</v>
      </c>
      <c r="E308" s="0" t="s">
        <v>368</v>
      </c>
      <c r="F308" s="0" t="n">
        <v>0.5</v>
      </c>
      <c r="G308" s="0" t="n">
        <v>5.2</v>
      </c>
      <c r="H308" s="0" t="n">
        <v>2.6</v>
      </c>
      <c r="I308" s="0" t="n">
        <f aca="false">IF(ABS(ROUND(F308*G308,2)-H308)&lt;=0.01,1,0)</f>
        <v>1</v>
      </c>
      <c r="J308" s="0" t="n">
        <v>1</v>
      </c>
    </row>
    <row r="309" customFormat="false" ht="15" hidden="false" customHeight="false" outlineLevel="0" collapsed="false">
      <c r="A309" s="0" t="s">
        <v>169</v>
      </c>
      <c r="B309" s="0" t="s">
        <v>136</v>
      </c>
      <c r="C309" s="0" t="s">
        <v>170</v>
      </c>
      <c r="D309" s="0" t="s">
        <v>532</v>
      </c>
      <c r="E309" s="0" t="s">
        <v>639</v>
      </c>
      <c r="F309" s="0" t="n">
        <v>1</v>
      </c>
      <c r="G309" s="0" t="n">
        <v>9.6</v>
      </c>
      <c r="H309" s="0" t="n">
        <v>9.6</v>
      </c>
      <c r="I309" s="0" t="n">
        <f aca="false">IF(ABS(ROUND(F309*G309,2)-H309)&lt;=0.01,1,0)</f>
        <v>1</v>
      </c>
      <c r="J309" s="0" t="n">
        <v>0</v>
      </c>
    </row>
    <row r="310" customFormat="false" ht="15" hidden="false" customHeight="false" outlineLevel="0" collapsed="false">
      <c r="A310" s="0" t="s">
        <v>169</v>
      </c>
      <c r="B310" s="0" t="s">
        <v>136</v>
      </c>
      <c r="C310" s="0" t="s">
        <v>170</v>
      </c>
      <c r="D310" s="0" t="s">
        <v>532</v>
      </c>
      <c r="E310" s="0" t="s">
        <v>391</v>
      </c>
      <c r="F310" s="0" t="n">
        <v>0.5</v>
      </c>
      <c r="G310" s="0" t="n">
        <v>7.2</v>
      </c>
      <c r="H310" s="0" t="n">
        <v>3.6</v>
      </c>
      <c r="I310" s="0" t="n">
        <f aca="false">IF(ABS(ROUND(F310*G310,2)-H310)&lt;=0.01,1,0)</f>
        <v>1</v>
      </c>
      <c r="J310" s="0" t="n">
        <v>1</v>
      </c>
    </row>
    <row r="311" customFormat="false" ht="15" hidden="false" customHeight="false" outlineLevel="0" collapsed="false">
      <c r="A311" s="0" t="s">
        <v>169</v>
      </c>
      <c r="B311" s="0" t="s">
        <v>136</v>
      </c>
      <c r="C311" s="0" t="s">
        <v>170</v>
      </c>
      <c r="D311" s="0" t="s">
        <v>532</v>
      </c>
      <c r="E311" s="0" t="s">
        <v>582</v>
      </c>
      <c r="F311" s="0" t="n">
        <v>0.5</v>
      </c>
      <c r="G311" s="0" t="n">
        <v>8.9</v>
      </c>
      <c r="H311" s="0" t="n">
        <v>4.45</v>
      </c>
      <c r="I311" s="0" t="n">
        <f aca="false">IF(ABS(ROUND(F311*G311,2)-H311)&lt;=0.01,1,0)</f>
        <v>1</v>
      </c>
      <c r="J311" s="0" t="n">
        <v>0</v>
      </c>
    </row>
    <row r="312" customFormat="false" ht="15" hidden="false" customHeight="false" outlineLevel="0" collapsed="false">
      <c r="A312" s="0" t="s">
        <v>169</v>
      </c>
      <c r="B312" s="0" t="s">
        <v>136</v>
      </c>
      <c r="C312" s="0" t="s">
        <v>170</v>
      </c>
      <c r="D312" s="0" t="s">
        <v>532</v>
      </c>
      <c r="E312" s="0" t="s">
        <v>350</v>
      </c>
      <c r="F312" s="0" t="n">
        <v>1.5</v>
      </c>
      <c r="G312" s="0" t="n">
        <v>16.9</v>
      </c>
      <c r="H312" s="0" t="n">
        <v>25.35</v>
      </c>
      <c r="I312" s="0" t="n">
        <f aca="false">IF(ABS(ROUND(F312*G312,2)-H312)&lt;=0.01,1,0)</f>
        <v>1</v>
      </c>
      <c r="J312" s="0" t="n">
        <v>0</v>
      </c>
    </row>
    <row r="313" customFormat="false" ht="15" hidden="false" customHeight="false" outlineLevel="0" collapsed="false">
      <c r="A313" s="0" t="s">
        <v>169</v>
      </c>
      <c r="B313" s="0" t="s">
        <v>136</v>
      </c>
      <c r="C313" s="0" t="s">
        <v>170</v>
      </c>
      <c r="D313" s="0" t="s">
        <v>532</v>
      </c>
      <c r="E313" s="0" t="s">
        <v>392</v>
      </c>
      <c r="F313" s="0" t="n">
        <v>0.5</v>
      </c>
      <c r="G313" s="0" t="n">
        <v>18.6</v>
      </c>
      <c r="H313" s="0" t="n">
        <v>9.3</v>
      </c>
      <c r="I313" s="0" t="n">
        <f aca="false">IF(ABS(ROUND(F313*G313,2)-H313)&lt;=0.01,1,0)</f>
        <v>1</v>
      </c>
      <c r="J313" s="0" t="n">
        <v>1</v>
      </c>
    </row>
    <row r="314" customFormat="false" ht="15" hidden="false" customHeight="false" outlineLevel="0" collapsed="false">
      <c r="A314" s="0" t="s">
        <v>169</v>
      </c>
      <c r="B314" s="0" t="s">
        <v>136</v>
      </c>
      <c r="C314" s="0" t="s">
        <v>170</v>
      </c>
      <c r="D314" s="0" t="s">
        <v>532</v>
      </c>
      <c r="E314" s="0" t="s">
        <v>640</v>
      </c>
      <c r="F314" s="0" t="n">
        <v>0.5</v>
      </c>
      <c r="G314" s="0" t="n">
        <v>24</v>
      </c>
      <c r="H314" s="0" t="n">
        <v>12</v>
      </c>
      <c r="I314" s="0" t="n">
        <f aca="false">IF(ABS(ROUND(F314*G314,2)-H314)&lt;=0.01,1,0)</f>
        <v>1</v>
      </c>
      <c r="J314" s="0" t="n">
        <v>0</v>
      </c>
    </row>
    <row r="315" customFormat="false" ht="15" hidden="false" customHeight="false" outlineLevel="0" collapsed="false">
      <c r="A315" s="0" t="s">
        <v>169</v>
      </c>
      <c r="B315" s="0" t="s">
        <v>136</v>
      </c>
      <c r="C315" s="0" t="s">
        <v>170</v>
      </c>
      <c r="D315" s="0" t="s">
        <v>532</v>
      </c>
      <c r="E315" s="0" t="s">
        <v>622</v>
      </c>
      <c r="F315" s="0" t="n">
        <v>1</v>
      </c>
      <c r="G315" s="0" t="n">
        <v>6.9</v>
      </c>
      <c r="H315" s="0" t="n">
        <v>6.9</v>
      </c>
      <c r="I315" s="0" t="n">
        <f aca="false">IF(ABS(ROUND(F315*G315,2)-H315)&lt;=0.01,1,0)</f>
        <v>1</v>
      </c>
      <c r="J315" s="0" t="n">
        <v>0</v>
      </c>
    </row>
    <row r="316" customFormat="false" ht="15" hidden="false" customHeight="false" outlineLevel="0" collapsed="false">
      <c r="A316" s="0" t="s">
        <v>169</v>
      </c>
      <c r="B316" s="0" t="s">
        <v>136</v>
      </c>
      <c r="C316" s="0" t="s">
        <v>170</v>
      </c>
      <c r="D316" s="0" t="s">
        <v>532</v>
      </c>
      <c r="E316" s="0" t="s">
        <v>372</v>
      </c>
      <c r="F316" s="0" t="n">
        <v>0.5</v>
      </c>
      <c r="G316" s="0" t="n">
        <v>6.9</v>
      </c>
      <c r="H316" s="0" t="n">
        <v>3.45</v>
      </c>
      <c r="I316" s="0" t="n">
        <f aca="false">IF(ABS(ROUND(F316*G316,2)-H316)&lt;=0.01,1,0)</f>
        <v>1</v>
      </c>
      <c r="J316" s="0" t="n">
        <v>0</v>
      </c>
    </row>
    <row r="317" customFormat="false" ht="15" hidden="false" customHeight="false" outlineLevel="0" collapsed="false">
      <c r="A317" s="0" t="s">
        <v>169</v>
      </c>
      <c r="B317" s="0" t="s">
        <v>136</v>
      </c>
      <c r="C317" s="0" t="s">
        <v>170</v>
      </c>
      <c r="D317" s="0" t="s">
        <v>532</v>
      </c>
      <c r="E317" s="0" t="s">
        <v>345</v>
      </c>
      <c r="F317" s="0" t="n">
        <v>0.5</v>
      </c>
      <c r="G317" s="0" t="n">
        <v>8.7</v>
      </c>
      <c r="H317" s="0" t="n">
        <v>4.35</v>
      </c>
      <c r="I317" s="0" t="n">
        <f aca="false">IF(ABS(ROUND(F317*G317,2)-H317)&lt;=0.01,1,0)</f>
        <v>1</v>
      </c>
      <c r="J317" s="0" t="n">
        <v>0</v>
      </c>
    </row>
    <row r="318" customFormat="false" ht="15" hidden="false" customHeight="false" outlineLevel="0" collapsed="false">
      <c r="A318" s="0" t="s">
        <v>169</v>
      </c>
      <c r="B318" s="0" t="s">
        <v>136</v>
      </c>
      <c r="C318" s="0" t="s">
        <v>170</v>
      </c>
      <c r="D318" s="0" t="s">
        <v>493</v>
      </c>
      <c r="E318" s="0" t="s">
        <v>607</v>
      </c>
      <c r="F318" s="0" t="n">
        <v>0.5</v>
      </c>
      <c r="G318" s="0" t="n">
        <v>5.2</v>
      </c>
      <c r="H318" s="0" t="n">
        <v>2.6</v>
      </c>
      <c r="I318" s="0" t="n">
        <f aca="false">IF(ABS(ROUND(F318*G318,2)-H318)&lt;=0.01,1,0)</f>
        <v>1</v>
      </c>
      <c r="J318" s="0" t="n">
        <v>1</v>
      </c>
    </row>
    <row r="319" customFormat="false" ht="15" hidden="false" customHeight="false" outlineLevel="0" collapsed="false">
      <c r="A319" s="0" t="s">
        <v>169</v>
      </c>
      <c r="B319" s="0" t="s">
        <v>136</v>
      </c>
      <c r="C319" s="0" t="s">
        <v>170</v>
      </c>
      <c r="D319" s="0" t="s">
        <v>493</v>
      </c>
      <c r="E319" s="0" t="s">
        <v>405</v>
      </c>
      <c r="F319" s="0" t="n">
        <v>1</v>
      </c>
      <c r="G319" s="0" t="n">
        <v>4.9</v>
      </c>
      <c r="H319" s="0" t="n">
        <v>4.9</v>
      </c>
      <c r="I319" s="0" t="n">
        <f aca="false">IF(ABS(ROUND(F319*G319,2)-H319)&lt;=0.01,1,0)</f>
        <v>1</v>
      </c>
      <c r="J319" s="0" t="n">
        <v>0</v>
      </c>
    </row>
    <row r="320" customFormat="false" ht="15" hidden="false" customHeight="false" outlineLevel="0" collapsed="false">
      <c r="A320" s="0" t="s">
        <v>169</v>
      </c>
      <c r="B320" s="0" t="s">
        <v>136</v>
      </c>
      <c r="C320" s="0" t="s">
        <v>170</v>
      </c>
      <c r="D320" s="0" t="s">
        <v>493</v>
      </c>
      <c r="E320" s="0" t="s">
        <v>368</v>
      </c>
      <c r="F320" s="0" t="n">
        <v>0.5</v>
      </c>
      <c r="G320" s="0" t="n">
        <v>5.2</v>
      </c>
      <c r="H320" s="0" t="n">
        <v>2.6</v>
      </c>
      <c r="I320" s="0" t="n">
        <f aca="false">IF(ABS(ROUND(F320*G320,2)-H320)&lt;=0.01,1,0)</f>
        <v>1</v>
      </c>
      <c r="J320" s="0" t="n">
        <v>1</v>
      </c>
    </row>
    <row r="321" customFormat="false" ht="15" hidden="false" customHeight="false" outlineLevel="0" collapsed="false">
      <c r="A321" s="0" t="s">
        <v>169</v>
      </c>
      <c r="B321" s="0" t="s">
        <v>136</v>
      </c>
      <c r="C321" s="0" t="s">
        <v>170</v>
      </c>
      <c r="D321" s="0" t="s">
        <v>493</v>
      </c>
      <c r="E321" s="0" t="s">
        <v>639</v>
      </c>
      <c r="F321" s="0" t="n">
        <v>1</v>
      </c>
      <c r="G321" s="0" t="n">
        <v>9.6</v>
      </c>
      <c r="H321" s="0" t="n">
        <v>9.6</v>
      </c>
      <c r="I321" s="0" t="n">
        <f aca="false">IF(ABS(ROUND(F321*G321,2)-H321)&lt;=0.01,1,0)</f>
        <v>1</v>
      </c>
      <c r="J321" s="0" t="n">
        <v>0</v>
      </c>
    </row>
    <row r="322" customFormat="false" ht="15" hidden="false" customHeight="false" outlineLevel="0" collapsed="false">
      <c r="A322" s="0" t="s">
        <v>169</v>
      </c>
      <c r="B322" s="0" t="s">
        <v>136</v>
      </c>
      <c r="C322" s="0" t="s">
        <v>170</v>
      </c>
      <c r="D322" s="0" t="s">
        <v>493</v>
      </c>
      <c r="E322" s="0" t="s">
        <v>391</v>
      </c>
      <c r="F322" s="0" t="n">
        <v>0.5</v>
      </c>
      <c r="G322" s="0" t="n">
        <v>7.2</v>
      </c>
      <c r="H322" s="0" t="n">
        <v>3.6</v>
      </c>
      <c r="I322" s="0" t="n">
        <f aca="false">IF(ABS(ROUND(F322*G322,2)-H322)&lt;=0.01,1,0)</f>
        <v>1</v>
      </c>
      <c r="J322" s="0" t="n">
        <v>1</v>
      </c>
    </row>
    <row r="323" customFormat="false" ht="15" hidden="false" customHeight="false" outlineLevel="0" collapsed="false">
      <c r="A323" s="0" t="s">
        <v>169</v>
      </c>
      <c r="B323" s="0" t="s">
        <v>136</v>
      </c>
      <c r="C323" s="0" t="s">
        <v>170</v>
      </c>
      <c r="D323" s="0" t="s">
        <v>493</v>
      </c>
      <c r="E323" s="0" t="s">
        <v>582</v>
      </c>
      <c r="F323" s="0" t="n">
        <v>0.5</v>
      </c>
      <c r="G323" s="0" t="n">
        <v>8.9</v>
      </c>
      <c r="H323" s="0" t="n">
        <v>4.45</v>
      </c>
      <c r="I323" s="0" t="n">
        <f aca="false">IF(ABS(ROUND(F323*G323,2)-H323)&lt;=0.01,1,0)</f>
        <v>1</v>
      </c>
      <c r="J323" s="0" t="n">
        <v>0</v>
      </c>
    </row>
    <row r="324" customFormat="false" ht="15" hidden="false" customHeight="false" outlineLevel="0" collapsed="false">
      <c r="A324" s="0" t="s">
        <v>169</v>
      </c>
      <c r="B324" s="0" t="s">
        <v>136</v>
      </c>
      <c r="C324" s="0" t="s">
        <v>170</v>
      </c>
      <c r="D324" s="0" t="s">
        <v>493</v>
      </c>
      <c r="E324" s="0" t="s">
        <v>350</v>
      </c>
      <c r="F324" s="0" t="n">
        <v>1.5</v>
      </c>
      <c r="G324" s="0" t="n">
        <v>16.9</v>
      </c>
      <c r="H324" s="0" t="n">
        <v>25.35</v>
      </c>
      <c r="I324" s="0" t="n">
        <f aca="false">IF(ABS(ROUND(F324*G324,2)-H324)&lt;=0.01,1,0)</f>
        <v>1</v>
      </c>
      <c r="J324" s="0" t="n">
        <v>0</v>
      </c>
    </row>
    <row r="325" customFormat="false" ht="15" hidden="false" customHeight="false" outlineLevel="0" collapsed="false">
      <c r="A325" s="0" t="s">
        <v>169</v>
      </c>
      <c r="B325" s="0" t="s">
        <v>136</v>
      </c>
      <c r="C325" s="0" t="s">
        <v>170</v>
      </c>
      <c r="D325" s="0" t="s">
        <v>493</v>
      </c>
      <c r="E325" s="0" t="s">
        <v>392</v>
      </c>
      <c r="F325" s="0" t="n">
        <v>0.5</v>
      </c>
      <c r="G325" s="0" t="n">
        <v>18.6</v>
      </c>
      <c r="H325" s="0" t="n">
        <v>9.3</v>
      </c>
      <c r="I325" s="0" t="n">
        <f aca="false">IF(ABS(ROUND(F325*G325,2)-H325)&lt;=0.01,1,0)</f>
        <v>1</v>
      </c>
      <c r="J325" s="0" t="n">
        <v>1</v>
      </c>
    </row>
    <row r="326" customFormat="false" ht="15" hidden="false" customHeight="false" outlineLevel="0" collapsed="false">
      <c r="A326" s="0" t="s">
        <v>169</v>
      </c>
      <c r="B326" s="0" t="s">
        <v>136</v>
      </c>
      <c r="C326" s="0" t="s">
        <v>170</v>
      </c>
      <c r="D326" s="0" t="s">
        <v>493</v>
      </c>
      <c r="E326" s="0" t="s">
        <v>640</v>
      </c>
      <c r="F326" s="0" t="n">
        <v>0.5</v>
      </c>
      <c r="G326" s="0" t="n">
        <v>24</v>
      </c>
      <c r="H326" s="0" t="n">
        <v>12</v>
      </c>
      <c r="I326" s="0" t="n">
        <f aca="false">IF(ABS(ROUND(F326*G326,2)-H326)&lt;=0.01,1,0)</f>
        <v>1</v>
      </c>
      <c r="J326" s="0" t="n">
        <v>0</v>
      </c>
    </row>
    <row r="327" customFormat="false" ht="15" hidden="false" customHeight="false" outlineLevel="0" collapsed="false">
      <c r="A327" s="0" t="s">
        <v>169</v>
      </c>
      <c r="B327" s="0" t="s">
        <v>136</v>
      </c>
      <c r="C327" s="0" t="s">
        <v>170</v>
      </c>
      <c r="D327" s="0" t="s">
        <v>493</v>
      </c>
      <c r="E327" s="0" t="s">
        <v>622</v>
      </c>
      <c r="F327" s="0" t="n">
        <v>1</v>
      </c>
      <c r="G327" s="0" t="n">
        <v>6.9</v>
      </c>
      <c r="H327" s="0" t="n">
        <v>6.9</v>
      </c>
      <c r="I327" s="0" t="n">
        <f aca="false">IF(ABS(ROUND(F327*G327,2)-H327)&lt;=0.01,1,0)</f>
        <v>1</v>
      </c>
      <c r="J327" s="0" t="n">
        <v>0</v>
      </c>
    </row>
    <row r="328" customFormat="false" ht="15" hidden="false" customHeight="false" outlineLevel="0" collapsed="false">
      <c r="A328" s="0" t="s">
        <v>169</v>
      </c>
      <c r="B328" s="0" t="s">
        <v>136</v>
      </c>
      <c r="C328" s="0" t="s">
        <v>170</v>
      </c>
      <c r="D328" s="0" t="s">
        <v>493</v>
      </c>
      <c r="E328" s="0" t="s">
        <v>372</v>
      </c>
      <c r="F328" s="0" t="n">
        <v>0.5</v>
      </c>
      <c r="G328" s="0" t="n">
        <v>6.9</v>
      </c>
      <c r="H328" s="0" t="n">
        <v>3.45</v>
      </c>
      <c r="I328" s="0" t="n">
        <f aca="false">IF(ABS(ROUND(F328*G328,2)-H328)&lt;=0.01,1,0)</f>
        <v>1</v>
      </c>
      <c r="J328" s="0" t="n">
        <v>0</v>
      </c>
    </row>
    <row r="329" customFormat="false" ht="15" hidden="false" customHeight="false" outlineLevel="0" collapsed="false">
      <c r="A329" s="0" t="s">
        <v>169</v>
      </c>
      <c r="B329" s="0" t="s">
        <v>136</v>
      </c>
      <c r="C329" s="0" t="s">
        <v>170</v>
      </c>
      <c r="D329" s="0" t="s">
        <v>493</v>
      </c>
      <c r="E329" s="0" t="s">
        <v>345</v>
      </c>
      <c r="F329" s="0" t="n">
        <v>0.5</v>
      </c>
      <c r="G329" s="0" t="n">
        <v>8.7</v>
      </c>
      <c r="H329" s="0" t="n">
        <v>4.35</v>
      </c>
      <c r="I329" s="0" t="n">
        <f aca="false">IF(ABS(ROUND(F329*G329,2)-H329)&lt;=0.01,1,0)</f>
        <v>1</v>
      </c>
      <c r="J329" s="0" t="n">
        <v>0</v>
      </c>
    </row>
    <row r="330" customFormat="false" ht="15" hidden="false" customHeight="false" outlineLevel="0" collapsed="false">
      <c r="A330" s="0" t="s">
        <v>172</v>
      </c>
      <c r="B330" s="0" t="s">
        <v>136</v>
      </c>
      <c r="C330" s="0" t="s">
        <v>173</v>
      </c>
      <c r="D330" s="0" t="s">
        <v>487</v>
      </c>
      <c r="E330" s="0" t="s">
        <v>587</v>
      </c>
      <c r="F330" s="0" t="n">
        <v>0.5</v>
      </c>
      <c r="G330" s="0" t="n">
        <v>6</v>
      </c>
      <c r="H330" s="0" t="n">
        <v>3</v>
      </c>
      <c r="I330" s="0" t="n">
        <f aca="false">IF(ABS(ROUND(F330*G330,2)-H330)&lt;=0.01,1,0)</f>
        <v>1</v>
      </c>
      <c r="J330" s="0" t="n">
        <v>0</v>
      </c>
    </row>
    <row r="331" customFormat="false" ht="15" hidden="false" customHeight="false" outlineLevel="0" collapsed="false">
      <c r="A331" s="0" t="s">
        <v>172</v>
      </c>
      <c r="B331" s="0" t="s">
        <v>136</v>
      </c>
      <c r="C331" s="0" t="s">
        <v>173</v>
      </c>
      <c r="D331" s="0" t="s">
        <v>487</v>
      </c>
      <c r="E331" s="0" t="s">
        <v>395</v>
      </c>
      <c r="F331" s="0" t="n">
        <v>0.5</v>
      </c>
      <c r="G331" s="0" t="n">
        <v>4.9</v>
      </c>
      <c r="H331" s="0" t="n">
        <v>2.45</v>
      </c>
      <c r="I331" s="0" t="n">
        <f aca="false">IF(ABS(ROUND(F331*G331,2)-H331)&lt;=0.01,1,0)</f>
        <v>1</v>
      </c>
      <c r="J331" s="0" t="n">
        <v>1</v>
      </c>
    </row>
    <row r="332" customFormat="false" ht="15" hidden="false" customHeight="false" outlineLevel="0" collapsed="false">
      <c r="A332" s="0" t="s">
        <v>172</v>
      </c>
      <c r="B332" s="0" t="s">
        <v>136</v>
      </c>
      <c r="C332" s="0" t="s">
        <v>173</v>
      </c>
      <c r="D332" s="0" t="s">
        <v>487</v>
      </c>
      <c r="E332" s="0" t="s">
        <v>344</v>
      </c>
      <c r="F332" s="0" t="n">
        <v>0.5</v>
      </c>
      <c r="G332" s="0" t="n">
        <v>7.8</v>
      </c>
      <c r="H332" s="0" t="n">
        <v>3.9</v>
      </c>
      <c r="I332" s="0" t="n">
        <f aca="false">IF(ABS(ROUND(F332*G332,2)-H332)&lt;=0.01,1,0)</f>
        <v>1</v>
      </c>
      <c r="J332" s="0" t="n">
        <v>0</v>
      </c>
    </row>
    <row r="333" customFormat="false" ht="15" hidden="false" customHeight="false" outlineLevel="0" collapsed="false">
      <c r="A333" s="0" t="s">
        <v>172</v>
      </c>
      <c r="B333" s="0" t="s">
        <v>136</v>
      </c>
      <c r="C333" s="0" t="s">
        <v>173</v>
      </c>
      <c r="D333" s="0" t="s">
        <v>487</v>
      </c>
      <c r="E333" s="0" t="s">
        <v>590</v>
      </c>
      <c r="F333" s="0" t="n">
        <v>0.5</v>
      </c>
      <c r="G333" s="0" t="n">
        <v>7.9</v>
      </c>
      <c r="H333" s="0" t="n">
        <v>3.95</v>
      </c>
      <c r="I333" s="0" t="n">
        <f aca="false">IF(ABS(ROUND(F333*G333,2)-H333)&lt;=0.01,1,0)</f>
        <v>1</v>
      </c>
      <c r="J333" s="0" t="n">
        <v>0</v>
      </c>
    </row>
    <row r="334" customFormat="false" ht="15" hidden="false" customHeight="false" outlineLevel="0" collapsed="false">
      <c r="A334" s="0" t="s">
        <v>172</v>
      </c>
      <c r="B334" s="0" t="s">
        <v>136</v>
      </c>
      <c r="C334" s="0" t="s">
        <v>173</v>
      </c>
      <c r="D334" s="0" t="s">
        <v>487</v>
      </c>
      <c r="E334" s="0" t="s">
        <v>593</v>
      </c>
      <c r="F334" s="0" t="n">
        <v>1</v>
      </c>
      <c r="G334" s="0" t="n">
        <v>3.9</v>
      </c>
      <c r="H334" s="0" t="n">
        <v>3.9</v>
      </c>
      <c r="I334" s="0" t="n">
        <f aca="false">IF(ABS(ROUND(F334*G334,2)-H334)&lt;=0.01,1,0)</f>
        <v>1</v>
      </c>
      <c r="J334" s="0" t="n">
        <v>0</v>
      </c>
    </row>
    <row r="335" customFormat="false" ht="15" hidden="false" customHeight="false" outlineLevel="0" collapsed="false">
      <c r="A335" s="0" t="s">
        <v>172</v>
      </c>
      <c r="B335" s="0" t="s">
        <v>136</v>
      </c>
      <c r="C335" s="0" t="s">
        <v>173</v>
      </c>
      <c r="D335" s="0" t="s">
        <v>487</v>
      </c>
      <c r="E335" s="0" t="s">
        <v>641</v>
      </c>
      <c r="F335" s="0" t="n">
        <v>0.5</v>
      </c>
      <c r="G335" s="0" t="n">
        <v>3.9</v>
      </c>
      <c r="H335" s="0" t="n">
        <v>1.95</v>
      </c>
      <c r="I335" s="0" t="n">
        <f aca="false">IF(ABS(ROUND(F335*G335,2)-H335)&lt;=0.01,1,0)</f>
        <v>1</v>
      </c>
      <c r="J335" s="0" t="n">
        <v>0</v>
      </c>
    </row>
    <row r="336" customFormat="false" ht="15" hidden="false" customHeight="false" outlineLevel="0" collapsed="false">
      <c r="A336" s="0" t="s">
        <v>172</v>
      </c>
      <c r="B336" s="0" t="s">
        <v>136</v>
      </c>
      <c r="C336" s="0" t="s">
        <v>173</v>
      </c>
      <c r="D336" s="0" t="s">
        <v>487</v>
      </c>
      <c r="E336" s="0" t="s">
        <v>636</v>
      </c>
      <c r="F336" s="0" t="n">
        <v>1</v>
      </c>
      <c r="G336" s="0" t="n">
        <v>19</v>
      </c>
      <c r="H336" s="0" t="n">
        <v>19</v>
      </c>
      <c r="I336" s="0" t="n">
        <f aca="false">IF(ABS(ROUND(F336*G336,2)-H336)&lt;=0.01,1,0)</f>
        <v>1</v>
      </c>
      <c r="J336" s="0" t="n">
        <v>0</v>
      </c>
    </row>
    <row r="337" customFormat="false" ht="15" hidden="false" customHeight="false" outlineLevel="0" collapsed="false">
      <c r="A337" s="0" t="s">
        <v>172</v>
      </c>
      <c r="B337" s="0" t="s">
        <v>136</v>
      </c>
      <c r="C337" s="0" t="s">
        <v>173</v>
      </c>
      <c r="D337" s="0" t="s">
        <v>487</v>
      </c>
      <c r="E337" s="0" t="s">
        <v>618</v>
      </c>
      <c r="F337" s="0" t="n">
        <v>3</v>
      </c>
      <c r="G337" s="0" t="n">
        <v>16.9</v>
      </c>
      <c r="H337" s="0" t="n">
        <v>50.7</v>
      </c>
      <c r="I337" s="0" t="n">
        <f aca="false">IF(ABS(ROUND(F337*G337,2)-H337)&lt;=0.01,1,0)</f>
        <v>1</v>
      </c>
      <c r="J337" s="0" t="n">
        <v>0</v>
      </c>
    </row>
    <row r="338" customFormat="false" ht="15" hidden="false" customHeight="false" outlineLevel="0" collapsed="false">
      <c r="A338" s="0" t="s">
        <v>172</v>
      </c>
      <c r="B338" s="0" t="s">
        <v>136</v>
      </c>
      <c r="C338" s="0" t="s">
        <v>173</v>
      </c>
      <c r="D338" s="0" t="s">
        <v>487</v>
      </c>
      <c r="E338" s="0" t="s">
        <v>432</v>
      </c>
      <c r="F338" s="0" t="n">
        <v>1</v>
      </c>
      <c r="G338" s="0" t="n">
        <v>5.9</v>
      </c>
      <c r="H338" s="0" t="n">
        <v>5.9</v>
      </c>
      <c r="I338" s="0" t="n">
        <f aca="false">IF(ABS(ROUND(F338*G338,2)-H338)&lt;=0.01,1,0)</f>
        <v>1</v>
      </c>
      <c r="J338" s="0" t="n">
        <v>0</v>
      </c>
    </row>
    <row r="339" customFormat="false" ht="15" hidden="false" customHeight="false" outlineLevel="0" collapsed="false">
      <c r="A339" s="0" t="s">
        <v>172</v>
      </c>
      <c r="B339" s="0" t="s">
        <v>136</v>
      </c>
      <c r="C339" s="0" t="s">
        <v>173</v>
      </c>
      <c r="D339" s="0" t="s">
        <v>487</v>
      </c>
      <c r="E339" s="0" t="s">
        <v>615</v>
      </c>
      <c r="F339" s="0" t="n">
        <v>0.5</v>
      </c>
      <c r="G339" s="0" t="n">
        <v>3.9</v>
      </c>
      <c r="H339" s="0" t="n">
        <v>1.95</v>
      </c>
      <c r="I339" s="0" t="n">
        <f aca="false">IF(ABS(ROUND(F339*G339,2)-H339)&lt;=0.01,1,0)</f>
        <v>1</v>
      </c>
      <c r="J339" s="0" t="n">
        <v>0</v>
      </c>
    </row>
    <row r="340" customFormat="false" ht="15" hidden="false" customHeight="false" outlineLevel="0" collapsed="false">
      <c r="A340" s="0" t="s">
        <v>172</v>
      </c>
      <c r="B340" s="0" t="s">
        <v>136</v>
      </c>
      <c r="C340" s="0" t="s">
        <v>173</v>
      </c>
      <c r="D340" s="0" t="s">
        <v>487</v>
      </c>
      <c r="E340" s="0" t="s">
        <v>642</v>
      </c>
      <c r="F340" s="0" t="n">
        <v>1</v>
      </c>
      <c r="G340" s="0" t="n">
        <v>4.7</v>
      </c>
      <c r="H340" s="0" t="n">
        <v>4.7</v>
      </c>
      <c r="I340" s="0" t="n">
        <f aca="false">IF(ABS(ROUND(F340*G340,2)-H340)&lt;=0.01,1,0)</f>
        <v>1</v>
      </c>
      <c r="J340" s="0" t="n">
        <v>0</v>
      </c>
    </row>
    <row r="341" customFormat="false" ht="15" hidden="false" customHeight="false" outlineLevel="0" collapsed="false">
      <c r="A341" s="0" t="s">
        <v>172</v>
      </c>
      <c r="B341" s="0" t="s">
        <v>136</v>
      </c>
      <c r="C341" s="0" t="s">
        <v>173</v>
      </c>
      <c r="D341" s="0" t="s">
        <v>487</v>
      </c>
      <c r="E341" s="0" t="s">
        <v>628</v>
      </c>
      <c r="F341" s="0" t="n">
        <v>0.5</v>
      </c>
      <c r="G341" s="0" t="n">
        <v>8.3</v>
      </c>
      <c r="H341" s="0" t="n">
        <v>4.15</v>
      </c>
      <c r="I341" s="0" t="n">
        <f aca="false">IF(ABS(ROUND(F341*G341,2)-H341)&lt;=0.01,1,0)</f>
        <v>1</v>
      </c>
      <c r="J341" s="0" t="n">
        <v>0</v>
      </c>
    </row>
    <row r="342" customFormat="false" ht="15" hidden="false" customHeight="false" outlineLevel="0" collapsed="false">
      <c r="A342" s="0" t="s">
        <v>172</v>
      </c>
      <c r="B342" s="0" t="s">
        <v>136</v>
      </c>
      <c r="C342" s="0" t="s">
        <v>173</v>
      </c>
      <c r="D342" s="0" t="s">
        <v>487</v>
      </c>
      <c r="E342" s="0" t="s">
        <v>643</v>
      </c>
      <c r="F342" s="0" t="n">
        <v>0.5</v>
      </c>
      <c r="G342" s="0" t="n">
        <v>5.8</v>
      </c>
      <c r="H342" s="0" t="n">
        <v>2.9</v>
      </c>
      <c r="I342" s="0" t="n">
        <f aca="false">IF(ABS(ROUND(F342*G342,2)-H342)&lt;=0.01,1,0)</f>
        <v>1</v>
      </c>
      <c r="J342" s="0" t="n">
        <v>1</v>
      </c>
    </row>
    <row r="343" customFormat="false" ht="15" hidden="false" customHeight="false" outlineLevel="0" collapsed="false">
      <c r="A343" s="0" t="s">
        <v>172</v>
      </c>
      <c r="B343" s="0" t="s">
        <v>136</v>
      </c>
      <c r="C343" s="0" t="s">
        <v>173</v>
      </c>
      <c r="D343" s="0" t="s">
        <v>487</v>
      </c>
      <c r="E343" s="0" t="s">
        <v>345</v>
      </c>
      <c r="F343" s="0" t="n">
        <v>0.5</v>
      </c>
      <c r="G343" s="0" t="n">
        <v>8.7</v>
      </c>
      <c r="H343" s="0" t="n">
        <v>4.35</v>
      </c>
      <c r="I343" s="0" t="n">
        <f aca="false">IF(ABS(ROUND(F343*G343,2)-H343)&lt;=0.01,1,0)</f>
        <v>1</v>
      </c>
      <c r="J343" s="0" t="n">
        <v>0</v>
      </c>
    </row>
    <row r="344" customFormat="false" ht="15" hidden="false" customHeight="false" outlineLevel="0" collapsed="false">
      <c r="A344" s="0" t="s">
        <v>172</v>
      </c>
      <c r="B344" s="0" t="s">
        <v>136</v>
      </c>
      <c r="C344" s="0" t="s">
        <v>173</v>
      </c>
      <c r="D344" s="0" t="s">
        <v>487</v>
      </c>
      <c r="E344" s="0" t="s">
        <v>637</v>
      </c>
      <c r="F344" s="0" t="n">
        <v>0.5</v>
      </c>
      <c r="G344" s="0" t="n">
        <v>5.8</v>
      </c>
      <c r="H344" s="0" t="n">
        <v>2.9</v>
      </c>
      <c r="I344" s="0" t="n">
        <f aca="false">IF(ABS(ROUND(F344*G344,2)-H344)&lt;=0.01,1,0)</f>
        <v>1</v>
      </c>
      <c r="J344" s="0" t="n">
        <v>1</v>
      </c>
    </row>
    <row r="345" customFormat="false" ht="15" hidden="false" customHeight="false" outlineLevel="0" collapsed="false">
      <c r="A345" s="0" t="s">
        <v>172</v>
      </c>
      <c r="B345" s="0" t="s">
        <v>136</v>
      </c>
      <c r="C345" s="0" t="s">
        <v>173</v>
      </c>
      <c r="D345" s="0" t="s">
        <v>487</v>
      </c>
      <c r="E345" s="0" t="s">
        <v>358</v>
      </c>
      <c r="F345" s="0" t="n">
        <v>0.5</v>
      </c>
      <c r="G345" s="0" t="n">
        <v>1.8</v>
      </c>
      <c r="H345" s="0" t="n">
        <v>0.9</v>
      </c>
      <c r="I345" s="0" t="n">
        <f aca="false">IF(ABS(ROUND(F345*G345,2)-H345)&lt;=0.01,1,0)</f>
        <v>1</v>
      </c>
      <c r="J345" s="0" t="n">
        <v>1</v>
      </c>
    </row>
    <row r="346" customFormat="false" ht="15" hidden="false" customHeight="false" outlineLevel="0" collapsed="false">
      <c r="A346" s="0" t="s">
        <v>172</v>
      </c>
      <c r="B346" s="0" t="s">
        <v>136</v>
      </c>
      <c r="C346" s="0" t="s">
        <v>173</v>
      </c>
      <c r="D346" s="0" t="s">
        <v>508</v>
      </c>
      <c r="E346" s="0" t="s">
        <v>587</v>
      </c>
      <c r="F346" s="0" t="n">
        <v>0.5</v>
      </c>
      <c r="G346" s="0" t="n">
        <v>6</v>
      </c>
      <c r="H346" s="0" t="n">
        <v>3</v>
      </c>
      <c r="I346" s="0" t="n">
        <f aca="false">IF(ABS(ROUND(F346*G346,2)-H346)&lt;=0.01,1,0)</f>
        <v>1</v>
      </c>
      <c r="J346" s="0" t="n">
        <v>0</v>
      </c>
    </row>
    <row r="347" customFormat="false" ht="15" hidden="false" customHeight="false" outlineLevel="0" collapsed="false">
      <c r="A347" s="0" t="s">
        <v>172</v>
      </c>
      <c r="B347" s="0" t="s">
        <v>136</v>
      </c>
      <c r="C347" s="0" t="s">
        <v>173</v>
      </c>
      <c r="D347" s="0" t="s">
        <v>508</v>
      </c>
      <c r="E347" s="0" t="s">
        <v>395</v>
      </c>
      <c r="F347" s="0" t="n">
        <v>0.5</v>
      </c>
      <c r="G347" s="0" t="n">
        <v>4.9</v>
      </c>
      <c r="H347" s="0" t="n">
        <v>2.45</v>
      </c>
      <c r="I347" s="0" t="n">
        <f aca="false">IF(ABS(ROUND(F347*G347,2)-H347)&lt;=0.01,1,0)</f>
        <v>1</v>
      </c>
      <c r="J347" s="0" t="n">
        <v>1</v>
      </c>
    </row>
    <row r="348" customFormat="false" ht="15" hidden="false" customHeight="false" outlineLevel="0" collapsed="false">
      <c r="A348" s="0" t="s">
        <v>172</v>
      </c>
      <c r="B348" s="0" t="s">
        <v>136</v>
      </c>
      <c r="C348" s="0" t="s">
        <v>173</v>
      </c>
      <c r="D348" s="0" t="s">
        <v>508</v>
      </c>
      <c r="E348" s="0" t="s">
        <v>344</v>
      </c>
      <c r="F348" s="0" t="n">
        <v>0.5</v>
      </c>
      <c r="G348" s="0" t="n">
        <v>7.8</v>
      </c>
      <c r="H348" s="0" t="n">
        <v>3.9</v>
      </c>
      <c r="I348" s="0" t="n">
        <f aca="false">IF(ABS(ROUND(F348*G348,2)-H348)&lt;=0.01,1,0)</f>
        <v>1</v>
      </c>
      <c r="J348" s="0" t="n">
        <v>0</v>
      </c>
    </row>
    <row r="349" customFormat="false" ht="15" hidden="false" customHeight="false" outlineLevel="0" collapsed="false">
      <c r="A349" s="0" t="s">
        <v>172</v>
      </c>
      <c r="B349" s="0" t="s">
        <v>136</v>
      </c>
      <c r="C349" s="0" t="s">
        <v>173</v>
      </c>
      <c r="D349" s="0" t="s">
        <v>508</v>
      </c>
      <c r="E349" s="0" t="s">
        <v>590</v>
      </c>
      <c r="F349" s="0" t="n">
        <v>0.5</v>
      </c>
      <c r="G349" s="0" t="n">
        <v>7.9</v>
      </c>
      <c r="H349" s="0" t="n">
        <v>3.95</v>
      </c>
      <c r="I349" s="0" t="n">
        <f aca="false">IF(ABS(ROUND(F349*G349,2)-H349)&lt;=0.01,1,0)</f>
        <v>1</v>
      </c>
      <c r="J349" s="0" t="n">
        <v>0</v>
      </c>
    </row>
    <row r="350" customFormat="false" ht="15" hidden="false" customHeight="false" outlineLevel="0" collapsed="false">
      <c r="A350" s="0" t="s">
        <v>172</v>
      </c>
      <c r="B350" s="0" t="s">
        <v>136</v>
      </c>
      <c r="C350" s="0" t="s">
        <v>173</v>
      </c>
      <c r="D350" s="0" t="s">
        <v>508</v>
      </c>
      <c r="E350" s="0" t="s">
        <v>593</v>
      </c>
      <c r="F350" s="0" t="n">
        <v>1</v>
      </c>
      <c r="G350" s="0" t="n">
        <v>3.9</v>
      </c>
      <c r="H350" s="0" t="n">
        <v>3.9</v>
      </c>
      <c r="I350" s="0" t="n">
        <f aca="false">IF(ABS(ROUND(F350*G350,2)-H350)&lt;=0.01,1,0)</f>
        <v>1</v>
      </c>
      <c r="J350" s="0" t="n">
        <v>0</v>
      </c>
    </row>
    <row r="351" customFormat="false" ht="15" hidden="false" customHeight="false" outlineLevel="0" collapsed="false">
      <c r="A351" s="0" t="s">
        <v>172</v>
      </c>
      <c r="B351" s="0" t="s">
        <v>136</v>
      </c>
      <c r="C351" s="0" t="s">
        <v>173</v>
      </c>
      <c r="D351" s="0" t="s">
        <v>508</v>
      </c>
      <c r="E351" s="0" t="s">
        <v>641</v>
      </c>
      <c r="F351" s="0" t="n">
        <v>0.5</v>
      </c>
      <c r="G351" s="0" t="n">
        <v>3.9</v>
      </c>
      <c r="H351" s="0" t="n">
        <v>1.95</v>
      </c>
      <c r="I351" s="0" t="n">
        <f aca="false">IF(ABS(ROUND(F351*G351,2)-H351)&lt;=0.01,1,0)</f>
        <v>1</v>
      </c>
      <c r="J351" s="0" t="n">
        <v>0</v>
      </c>
    </row>
    <row r="352" customFormat="false" ht="15" hidden="false" customHeight="false" outlineLevel="0" collapsed="false">
      <c r="A352" s="0" t="s">
        <v>172</v>
      </c>
      <c r="B352" s="0" t="s">
        <v>136</v>
      </c>
      <c r="C352" s="0" t="s">
        <v>173</v>
      </c>
      <c r="D352" s="0" t="s">
        <v>508</v>
      </c>
      <c r="E352" s="0" t="s">
        <v>636</v>
      </c>
      <c r="F352" s="0" t="n">
        <v>1</v>
      </c>
      <c r="G352" s="0" t="n">
        <v>19</v>
      </c>
      <c r="H352" s="0" t="n">
        <v>19</v>
      </c>
      <c r="I352" s="0" t="n">
        <f aca="false">IF(ABS(ROUND(F352*G352,2)-H352)&lt;=0.01,1,0)</f>
        <v>1</v>
      </c>
      <c r="J352" s="0" t="n">
        <v>0</v>
      </c>
    </row>
    <row r="353" customFormat="false" ht="15" hidden="false" customHeight="false" outlineLevel="0" collapsed="false">
      <c r="A353" s="0" t="s">
        <v>172</v>
      </c>
      <c r="B353" s="0" t="s">
        <v>136</v>
      </c>
      <c r="C353" s="0" t="s">
        <v>173</v>
      </c>
      <c r="D353" s="0" t="s">
        <v>508</v>
      </c>
      <c r="E353" s="0" t="s">
        <v>618</v>
      </c>
      <c r="F353" s="0" t="n">
        <v>3</v>
      </c>
      <c r="G353" s="0" t="n">
        <v>16.9</v>
      </c>
      <c r="H353" s="0" t="n">
        <v>50.7</v>
      </c>
      <c r="I353" s="0" t="n">
        <f aca="false">IF(ABS(ROUND(F353*G353,2)-H353)&lt;=0.01,1,0)</f>
        <v>1</v>
      </c>
      <c r="J353" s="0" t="n">
        <v>0</v>
      </c>
    </row>
    <row r="354" customFormat="false" ht="15" hidden="false" customHeight="false" outlineLevel="0" collapsed="false">
      <c r="A354" s="0" t="s">
        <v>172</v>
      </c>
      <c r="B354" s="0" t="s">
        <v>136</v>
      </c>
      <c r="C354" s="0" t="s">
        <v>173</v>
      </c>
      <c r="D354" s="0" t="s">
        <v>508</v>
      </c>
      <c r="E354" s="0" t="s">
        <v>432</v>
      </c>
      <c r="F354" s="0" t="n">
        <v>1</v>
      </c>
      <c r="G354" s="0" t="n">
        <v>5.9</v>
      </c>
      <c r="H354" s="0" t="n">
        <v>5.9</v>
      </c>
      <c r="I354" s="0" t="n">
        <f aca="false">IF(ABS(ROUND(F354*G354,2)-H354)&lt;=0.01,1,0)</f>
        <v>1</v>
      </c>
      <c r="J354" s="0" t="n">
        <v>0</v>
      </c>
    </row>
    <row r="355" customFormat="false" ht="15" hidden="false" customHeight="false" outlineLevel="0" collapsed="false">
      <c r="A355" s="0" t="s">
        <v>172</v>
      </c>
      <c r="B355" s="0" t="s">
        <v>136</v>
      </c>
      <c r="C355" s="0" t="s">
        <v>173</v>
      </c>
      <c r="D355" s="0" t="s">
        <v>508</v>
      </c>
      <c r="E355" s="0" t="s">
        <v>615</v>
      </c>
      <c r="F355" s="0" t="n">
        <v>0.5</v>
      </c>
      <c r="G355" s="0" t="n">
        <v>3.9</v>
      </c>
      <c r="H355" s="0" t="n">
        <v>1.95</v>
      </c>
      <c r="I355" s="0" t="n">
        <f aca="false">IF(ABS(ROUND(F355*G355,2)-H355)&lt;=0.01,1,0)</f>
        <v>1</v>
      </c>
      <c r="J355" s="0" t="n">
        <v>0</v>
      </c>
    </row>
    <row r="356" customFormat="false" ht="15" hidden="false" customHeight="false" outlineLevel="0" collapsed="false">
      <c r="A356" s="0" t="s">
        <v>172</v>
      </c>
      <c r="B356" s="0" t="s">
        <v>136</v>
      </c>
      <c r="C356" s="0" t="s">
        <v>173</v>
      </c>
      <c r="D356" s="0" t="s">
        <v>508</v>
      </c>
      <c r="E356" s="0" t="s">
        <v>642</v>
      </c>
      <c r="F356" s="0" t="n">
        <v>1</v>
      </c>
      <c r="G356" s="0" t="n">
        <v>4.7</v>
      </c>
      <c r="H356" s="0" t="n">
        <v>4.7</v>
      </c>
      <c r="I356" s="0" t="n">
        <f aca="false">IF(ABS(ROUND(F356*G356,2)-H356)&lt;=0.01,1,0)</f>
        <v>1</v>
      </c>
      <c r="J356" s="0" t="n">
        <v>0</v>
      </c>
    </row>
    <row r="357" customFormat="false" ht="15" hidden="false" customHeight="false" outlineLevel="0" collapsed="false">
      <c r="A357" s="0" t="s">
        <v>172</v>
      </c>
      <c r="B357" s="0" t="s">
        <v>136</v>
      </c>
      <c r="C357" s="0" t="s">
        <v>173</v>
      </c>
      <c r="D357" s="0" t="s">
        <v>508</v>
      </c>
      <c r="E357" s="0" t="s">
        <v>628</v>
      </c>
      <c r="F357" s="0" t="n">
        <v>0.5</v>
      </c>
      <c r="G357" s="0" t="n">
        <v>8.3</v>
      </c>
      <c r="H357" s="0" t="n">
        <v>4.15</v>
      </c>
      <c r="I357" s="0" t="n">
        <f aca="false">IF(ABS(ROUND(F357*G357,2)-H357)&lt;=0.01,1,0)</f>
        <v>1</v>
      </c>
      <c r="J357" s="0" t="n">
        <v>0</v>
      </c>
    </row>
    <row r="358" customFormat="false" ht="15" hidden="false" customHeight="false" outlineLevel="0" collapsed="false">
      <c r="A358" s="0" t="s">
        <v>172</v>
      </c>
      <c r="B358" s="0" t="s">
        <v>136</v>
      </c>
      <c r="C358" s="0" t="s">
        <v>173</v>
      </c>
      <c r="D358" s="0" t="s">
        <v>508</v>
      </c>
      <c r="E358" s="0" t="s">
        <v>643</v>
      </c>
      <c r="F358" s="0" t="n">
        <v>0.5</v>
      </c>
      <c r="G358" s="0" t="n">
        <v>5.8</v>
      </c>
      <c r="H358" s="0" t="n">
        <v>2.9</v>
      </c>
      <c r="I358" s="0" t="n">
        <f aca="false">IF(ABS(ROUND(F358*G358,2)-H358)&lt;=0.01,1,0)</f>
        <v>1</v>
      </c>
      <c r="J358" s="0" t="n">
        <v>1</v>
      </c>
    </row>
    <row r="359" customFormat="false" ht="15" hidden="false" customHeight="false" outlineLevel="0" collapsed="false">
      <c r="A359" s="0" t="s">
        <v>172</v>
      </c>
      <c r="B359" s="0" t="s">
        <v>136</v>
      </c>
      <c r="C359" s="0" t="s">
        <v>173</v>
      </c>
      <c r="D359" s="0" t="s">
        <v>508</v>
      </c>
      <c r="E359" s="0" t="s">
        <v>345</v>
      </c>
      <c r="F359" s="0" t="n">
        <v>0.5</v>
      </c>
      <c r="G359" s="0" t="n">
        <v>8.7</v>
      </c>
      <c r="H359" s="0" t="n">
        <v>4.35</v>
      </c>
      <c r="I359" s="0" t="n">
        <f aca="false">IF(ABS(ROUND(F359*G359,2)-H359)&lt;=0.01,1,0)</f>
        <v>1</v>
      </c>
      <c r="J359" s="0" t="n">
        <v>0</v>
      </c>
    </row>
    <row r="360" customFormat="false" ht="15" hidden="false" customHeight="false" outlineLevel="0" collapsed="false">
      <c r="A360" s="0" t="s">
        <v>172</v>
      </c>
      <c r="B360" s="0" t="s">
        <v>136</v>
      </c>
      <c r="C360" s="0" t="s">
        <v>173</v>
      </c>
      <c r="D360" s="0" t="s">
        <v>508</v>
      </c>
      <c r="E360" s="0" t="s">
        <v>637</v>
      </c>
      <c r="F360" s="0" t="n">
        <v>0.5</v>
      </c>
      <c r="G360" s="0" t="n">
        <v>5.8</v>
      </c>
      <c r="H360" s="0" t="n">
        <v>2.9</v>
      </c>
      <c r="I360" s="0" t="n">
        <f aca="false">IF(ABS(ROUND(F360*G360,2)-H360)&lt;=0.01,1,0)</f>
        <v>1</v>
      </c>
      <c r="J360" s="0" t="n">
        <v>1</v>
      </c>
    </row>
    <row r="361" customFormat="false" ht="15" hidden="false" customHeight="false" outlineLevel="0" collapsed="false">
      <c r="A361" s="0" t="s">
        <v>172</v>
      </c>
      <c r="B361" s="0" t="s">
        <v>136</v>
      </c>
      <c r="C361" s="0" t="s">
        <v>173</v>
      </c>
      <c r="D361" s="0" t="s">
        <v>508</v>
      </c>
      <c r="E361" s="0" t="s">
        <v>358</v>
      </c>
      <c r="F361" s="0" t="n">
        <v>0.5</v>
      </c>
      <c r="G361" s="0" t="n">
        <v>1.8</v>
      </c>
      <c r="H361" s="0" t="n">
        <v>0.9</v>
      </c>
      <c r="I361" s="0" t="n">
        <f aca="false">IF(ABS(ROUND(F361*G361,2)-H361)&lt;=0.01,1,0)</f>
        <v>1</v>
      </c>
      <c r="J361" s="0" t="n">
        <v>1</v>
      </c>
    </row>
    <row r="362" customFormat="false" ht="15" hidden="false" customHeight="false" outlineLevel="0" collapsed="false">
      <c r="A362" s="0" t="s">
        <v>175</v>
      </c>
      <c r="B362" s="0" t="s">
        <v>136</v>
      </c>
      <c r="C362" s="0" t="s">
        <v>176</v>
      </c>
      <c r="D362" s="0" t="s">
        <v>495</v>
      </c>
      <c r="E362" s="0" t="s">
        <v>593</v>
      </c>
      <c r="F362" s="0" t="n">
        <v>1</v>
      </c>
      <c r="G362" s="0" t="n">
        <v>3.9</v>
      </c>
      <c r="H362" s="0" t="n">
        <v>3.9</v>
      </c>
      <c r="I362" s="0" t="n">
        <f aca="false">IF(ABS(ROUND(F362*G362,2)-H362)&lt;=0.01,1,0)</f>
        <v>1</v>
      </c>
      <c r="J362" s="0" t="n">
        <v>0</v>
      </c>
    </row>
    <row r="363" customFormat="false" ht="15" hidden="false" customHeight="false" outlineLevel="0" collapsed="false">
      <c r="A363" s="0" t="s">
        <v>175</v>
      </c>
      <c r="B363" s="0" t="s">
        <v>136</v>
      </c>
      <c r="C363" s="0" t="s">
        <v>176</v>
      </c>
      <c r="D363" s="0" t="s">
        <v>495</v>
      </c>
      <c r="E363" s="0" t="s">
        <v>644</v>
      </c>
      <c r="F363" s="0" t="n">
        <v>0.5</v>
      </c>
      <c r="G363" s="0" t="n">
        <v>4.2</v>
      </c>
      <c r="H363" s="0" t="n">
        <v>2.1</v>
      </c>
      <c r="I363" s="0" t="n">
        <f aca="false">IF(ABS(ROUND(F363*G363,2)-H363)&lt;=0.01,1,0)</f>
        <v>1</v>
      </c>
      <c r="J363" s="0" t="n">
        <v>1</v>
      </c>
    </row>
    <row r="364" customFormat="false" ht="15" hidden="false" customHeight="false" outlineLevel="0" collapsed="false">
      <c r="A364" s="0" t="s">
        <v>175</v>
      </c>
      <c r="B364" s="0" t="s">
        <v>136</v>
      </c>
      <c r="C364" s="0" t="s">
        <v>176</v>
      </c>
      <c r="D364" s="0" t="s">
        <v>495</v>
      </c>
      <c r="E364" s="0" t="s">
        <v>415</v>
      </c>
      <c r="F364" s="0" t="n">
        <v>0.5</v>
      </c>
      <c r="G364" s="0" t="n">
        <v>4.2</v>
      </c>
      <c r="H364" s="0" t="n">
        <v>2.1</v>
      </c>
      <c r="I364" s="0" t="n">
        <f aca="false">IF(ABS(ROUND(F364*G364,2)-H364)&lt;=0.01,1,0)</f>
        <v>1</v>
      </c>
      <c r="J364" s="0" t="n">
        <v>1</v>
      </c>
    </row>
    <row r="365" customFormat="false" ht="15" hidden="false" customHeight="false" outlineLevel="0" collapsed="false">
      <c r="A365" s="0" t="s">
        <v>175</v>
      </c>
      <c r="B365" s="0" t="s">
        <v>136</v>
      </c>
      <c r="C365" s="0" t="s">
        <v>176</v>
      </c>
      <c r="D365" s="0" t="s">
        <v>495</v>
      </c>
      <c r="E365" s="0" t="s">
        <v>645</v>
      </c>
      <c r="F365" s="0" t="n">
        <v>0.5</v>
      </c>
      <c r="G365" s="0" t="n">
        <v>9.9</v>
      </c>
      <c r="H365" s="0" t="n">
        <v>4.95</v>
      </c>
      <c r="I365" s="0" t="n">
        <f aca="false">IF(ABS(ROUND(F365*G365,2)-H365)&lt;=0.01,1,0)</f>
        <v>1</v>
      </c>
      <c r="J365" s="0" t="n">
        <v>0</v>
      </c>
    </row>
    <row r="366" customFormat="false" ht="15" hidden="false" customHeight="false" outlineLevel="0" collapsed="false">
      <c r="A366" s="0" t="s">
        <v>175</v>
      </c>
      <c r="B366" s="0" t="s">
        <v>136</v>
      </c>
      <c r="C366" s="0" t="s">
        <v>176</v>
      </c>
      <c r="D366" s="0" t="s">
        <v>495</v>
      </c>
      <c r="E366" s="0" t="s">
        <v>400</v>
      </c>
      <c r="F366" s="0" t="n">
        <v>0.5</v>
      </c>
      <c r="G366" s="0" t="n">
        <v>19.5</v>
      </c>
      <c r="H366" s="0" t="n">
        <v>9.75</v>
      </c>
      <c r="I366" s="0" t="n">
        <f aca="false">IF(ABS(ROUND(F366*G366,2)-H366)&lt;=0.01,1,0)</f>
        <v>1</v>
      </c>
      <c r="J366" s="0" t="n">
        <v>1</v>
      </c>
    </row>
    <row r="367" customFormat="false" ht="15" hidden="false" customHeight="false" outlineLevel="0" collapsed="false">
      <c r="A367" s="0" t="s">
        <v>175</v>
      </c>
      <c r="B367" s="0" t="s">
        <v>136</v>
      </c>
      <c r="C367" s="0" t="s">
        <v>176</v>
      </c>
      <c r="D367" s="0" t="s">
        <v>495</v>
      </c>
      <c r="E367" s="0" t="s">
        <v>463</v>
      </c>
      <c r="F367" s="0" t="n">
        <v>0.5</v>
      </c>
      <c r="G367" s="0" t="n">
        <v>7.9</v>
      </c>
      <c r="H367" s="0" t="n">
        <v>3.95</v>
      </c>
      <c r="I367" s="0" t="n">
        <f aca="false">IF(ABS(ROUND(F367*G367,2)-H367)&lt;=0.01,1,0)</f>
        <v>1</v>
      </c>
      <c r="J367" s="0" t="n">
        <v>0</v>
      </c>
    </row>
    <row r="368" customFormat="false" ht="15" hidden="false" customHeight="false" outlineLevel="0" collapsed="false">
      <c r="A368" s="0" t="s">
        <v>175</v>
      </c>
      <c r="B368" s="0" t="s">
        <v>136</v>
      </c>
      <c r="C368" s="0" t="s">
        <v>176</v>
      </c>
      <c r="D368" s="0" t="s">
        <v>495</v>
      </c>
      <c r="E368" s="0" t="s">
        <v>646</v>
      </c>
      <c r="F368" s="0" t="n">
        <v>0.5</v>
      </c>
      <c r="G368" s="0" t="n">
        <v>3.3</v>
      </c>
      <c r="H368" s="0" t="n">
        <v>1.65</v>
      </c>
      <c r="I368" s="0" t="n">
        <f aca="false">IF(ABS(ROUND(F368*G368,2)-H368)&lt;=0.01,1,0)</f>
        <v>1</v>
      </c>
      <c r="J368" s="0" t="n">
        <v>0</v>
      </c>
    </row>
    <row r="369" customFormat="false" ht="15" hidden="false" customHeight="false" outlineLevel="0" collapsed="false">
      <c r="A369" s="0" t="s">
        <v>175</v>
      </c>
      <c r="B369" s="0" t="s">
        <v>136</v>
      </c>
      <c r="C369" s="0" t="s">
        <v>176</v>
      </c>
      <c r="D369" s="0" t="s">
        <v>495</v>
      </c>
      <c r="E369" s="0" t="s">
        <v>647</v>
      </c>
      <c r="F369" s="0" t="n">
        <v>0.5</v>
      </c>
      <c r="G369" s="0" t="n">
        <v>17.9</v>
      </c>
      <c r="H369" s="0" t="n">
        <v>8.95</v>
      </c>
      <c r="I369" s="0" t="n">
        <f aca="false">IF(ABS(ROUND(F369*G369,2)-H369)&lt;=0.01,1,0)</f>
        <v>1</v>
      </c>
      <c r="J369" s="0" t="n">
        <v>0</v>
      </c>
    </row>
    <row r="370" customFormat="false" ht="15" hidden="false" customHeight="false" outlineLevel="0" collapsed="false">
      <c r="A370" s="0" t="s">
        <v>175</v>
      </c>
      <c r="B370" s="0" t="s">
        <v>136</v>
      </c>
      <c r="C370" s="0" t="s">
        <v>176</v>
      </c>
      <c r="D370" s="0" t="s">
        <v>495</v>
      </c>
      <c r="E370" s="0" t="s">
        <v>591</v>
      </c>
      <c r="F370" s="0" t="n">
        <v>1</v>
      </c>
      <c r="G370" s="0" t="n">
        <v>3.9</v>
      </c>
      <c r="H370" s="0" t="n">
        <v>3.9</v>
      </c>
      <c r="I370" s="0" t="n">
        <f aca="false">IF(ABS(ROUND(F370*G370,2)-H370)&lt;=0.01,1,0)</f>
        <v>1</v>
      </c>
      <c r="J370" s="0" t="n">
        <v>0</v>
      </c>
    </row>
    <row r="371" customFormat="false" ht="15" hidden="false" customHeight="false" outlineLevel="0" collapsed="false">
      <c r="A371" s="0" t="s">
        <v>175</v>
      </c>
      <c r="B371" s="0" t="s">
        <v>136</v>
      </c>
      <c r="C371" s="0" t="s">
        <v>176</v>
      </c>
      <c r="D371" s="0" t="s">
        <v>495</v>
      </c>
      <c r="E371" s="0" t="s">
        <v>353</v>
      </c>
      <c r="F371" s="0" t="n">
        <v>0.5</v>
      </c>
      <c r="G371" s="0" t="n">
        <v>3.8</v>
      </c>
      <c r="H371" s="0" t="n">
        <v>1.9</v>
      </c>
      <c r="I371" s="0" t="n">
        <f aca="false">IF(ABS(ROUND(F371*G371,2)-H371)&lt;=0.01,1,0)</f>
        <v>1</v>
      </c>
      <c r="J371" s="0" t="n">
        <v>0</v>
      </c>
    </row>
    <row r="372" customFormat="false" ht="15" hidden="false" customHeight="false" outlineLevel="0" collapsed="false">
      <c r="A372" s="0" t="s">
        <v>175</v>
      </c>
      <c r="B372" s="0" t="s">
        <v>136</v>
      </c>
      <c r="C372" s="0" t="s">
        <v>176</v>
      </c>
      <c r="D372" s="0" t="s">
        <v>495</v>
      </c>
      <c r="E372" s="0" t="s">
        <v>626</v>
      </c>
      <c r="F372" s="0" t="n">
        <v>0.5</v>
      </c>
      <c r="G372" s="0" t="n">
        <v>3.9</v>
      </c>
      <c r="H372" s="0" t="n">
        <v>1.95</v>
      </c>
      <c r="I372" s="0" t="n">
        <f aca="false">IF(ABS(ROUND(F372*G372,2)-H372)&lt;=0.01,1,0)</f>
        <v>1</v>
      </c>
      <c r="J372" s="0" t="n">
        <v>0</v>
      </c>
    </row>
    <row r="373" customFormat="false" ht="15" hidden="false" customHeight="false" outlineLevel="0" collapsed="false">
      <c r="A373" s="0" t="s">
        <v>175</v>
      </c>
      <c r="B373" s="0" t="s">
        <v>136</v>
      </c>
      <c r="C373" s="0" t="s">
        <v>176</v>
      </c>
      <c r="D373" s="0" t="s">
        <v>495</v>
      </c>
      <c r="E373" s="0" t="s">
        <v>648</v>
      </c>
      <c r="F373" s="0" t="n">
        <v>0.5</v>
      </c>
      <c r="G373" s="0" t="n">
        <v>8.6</v>
      </c>
      <c r="H373" s="0" t="n">
        <v>4.3</v>
      </c>
      <c r="I373" s="0" t="n">
        <f aca="false">IF(ABS(ROUND(F373*G373,2)-H373)&lt;=0.01,1,0)</f>
        <v>1</v>
      </c>
      <c r="J373" s="0" t="n">
        <v>0</v>
      </c>
    </row>
    <row r="374" customFormat="false" ht="15" hidden="false" customHeight="false" outlineLevel="0" collapsed="false">
      <c r="A374" s="0" t="s">
        <v>175</v>
      </c>
      <c r="B374" s="0" t="s">
        <v>136</v>
      </c>
      <c r="C374" s="0" t="s">
        <v>176</v>
      </c>
      <c r="D374" s="0" t="s">
        <v>532</v>
      </c>
      <c r="E374" s="0" t="s">
        <v>593</v>
      </c>
      <c r="F374" s="0" t="n">
        <v>1</v>
      </c>
      <c r="G374" s="0" t="n">
        <v>3.9</v>
      </c>
      <c r="H374" s="0" t="n">
        <v>3.9</v>
      </c>
      <c r="I374" s="0" t="n">
        <f aca="false">IF(ABS(ROUND(F374*G374,2)-H374)&lt;=0.01,1,0)</f>
        <v>1</v>
      </c>
      <c r="J374" s="0" t="n">
        <v>0</v>
      </c>
    </row>
    <row r="375" customFormat="false" ht="15" hidden="false" customHeight="false" outlineLevel="0" collapsed="false">
      <c r="A375" s="0" t="s">
        <v>175</v>
      </c>
      <c r="B375" s="0" t="s">
        <v>136</v>
      </c>
      <c r="C375" s="0" t="s">
        <v>176</v>
      </c>
      <c r="D375" s="0" t="s">
        <v>532</v>
      </c>
      <c r="E375" s="0" t="s">
        <v>644</v>
      </c>
      <c r="F375" s="0" t="n">
        <v>0.5</v>
      </c>
      <c r="G375" s="0" t="n">
        <v>4.2</v>
      </c>
      <c r="H375" s="0" t="n">
        <v>2.1</v>
      </c>
      <c r="I375" s="0" t="n">
        <f aca="false">IF(ABS(ROUND(F375*G375,2)-H375)&lt;=0.01,1,0)</f>
        <v>1</v>
      </c>
      <c r="J375" s="0" t="n">
        <v>1</v>
      </c>
    </row>
    <row r="376" customFormat="false" ht="15" hidden="false" customHeight="false" outlineLevel="0" collapsed="false">
      <c r="A376" s="0" t="s">
        <v>175</v>
      </c>
      <c r="B376" s="0" t="s">
        <v>136</v>
      </c>
      <c r="C376" s="0" t="s">
        <v>176</v>
      </c>
      <c r="D376" s="0" t="s">
        <v>532</v>
      </c>
      <c r="E376" s="0" t="s">
        <v>415</v>
      </c>
      <c r="F376" s="0" t="n">
        <v>0.5</v>
      </c>
      <c r="G376" s="0" t="n">
        <v>4.2</v>
      </c>
      <c r="H376" s="0" t="n">
        <v>2.1</v>
      </c>
      <c r="I376" s="0" t="n">
        <f aca="false">IF(ABS(ROUND(F376*G376,2)-H376)&lt;=0.01,1,0)</f>
        <v>1</v>
      </c>
      <c r="J376" s="0" t="n">
        <v>1</v>
      </c>
    </row>
    <row r="377" customFormat="false" ht="15" hidden="false" customHeight="false" outlineLevel="0" collapsed="false">
      <c r="A377" s="0" t="s">
        <v>175</v>
      </c>
      <c r="B377" s="0" t="s">
        <v>136</v>
      </c>
      <c r="C377" s="0" t="s">
        <v>176</v>
      </c>
      <c r="D377" s="0" t="s">
        <v>532</v>
      </c>
      <c r="E377" s="0" t="s">
        <v>645</v>
      </c>
      <c r="F377" s="0" t="n">
        <v>0.5</v>
      </c>
      <c r="G377" s="0" t="n">
        <v>9.9</v>
      </c>
      <c r="H377" s="0" t="n">
        <v>4.95</v>
      </c>
      <c r="I377" s="0" t="n">
        <f aca="false">IF(ABS(ROUND(F377*G377,2)-H377)&lt;=0.01,1,0)</f>
        <v>1</v>
      </c>
      <c r="J377" s="0" t="n">
        <v>0</v>
      </c>
    </row>
    <row r="378" customFormat="false" ht="15" hidden="false" customHeight="false" outlineLevel="0" collapsed="false">
      <c r="A378" s="0" t="s">
        <v>175</v>
      </c>
      <c r="B378" s="0" t="s">
        <v>136</v>
      </c>
      <c r="C378" s="0" t="s">
        <v>176</v>
      </c>
      <c r="D378" s="0" t="s">
        <v>532</v>
      </c>
      <c r="E378" s="0" t="s">
        <v>400</v>
      </c>
      <c r="F378" s="0" t="n">
        <v>0.5</v>
      </c>
      <c r="G378" s="0" t="n">
        <v>19.5</v>
      </c>
      <c r="H378" s="0" t="n">
        <v>9.75</v>
      </c>
      <c r="I378" s="0" t="n">
        <f aca="false">IF(ABS(ROUND(F378*G378,2)-H378)&lt;=0.01,1,0)</f>
        <v>1</v>
      </c>
      <c r="J378" s="0" t="n">
        <v>1</v>
      </c>
    </row>
    <row r="379" customFormat="false" ht="15" hidden="false" customHeight="false" outlineLevel="0" collapsed="false">
      <c r="A379" s="0" t="s">
        <v>175</v>
      </c>
      <c r="B379" s="0" t="s">
        <v>136</v>
      </c>
      <c r="C379" s="0" t="s">
        <v>176</v>
      </c>
      <c r="D379" s="0" t="s">
        <v>532</v>
      </c>
      <c r="E379" s="0" t="s">
        <v>463</v>
      </c>
      <c r="F379" s="0" t="n">
        <v>0.5</v>
      </c>
      <c r="G379" s="0" t="n">
        <v>7.9</v>
      </c>
      <c r="H379" s="0" t="n">
        <v>3.95</v>
      </c>
      <c r="I379" s="0" t="n">
        <f aca="false">IF(ABS(ROUND(F379*G379,2)-H379)&lt;=0.01,1,0)</f>
        <v>1</v>
      </c>
      <c r="J379" s="0" t="n">
        <v>0</v>
      </c>
    </row>
    <row r="380" customFormat="false" ht="15" hidden="false" customHeight="false" outlineLevel="0" collapsed="false">
      <c r="A380" s="0" t="s">
        <v>175</v>
      </c>
      <c r="B380" s="0" t="s">
        <v>136</v>
      </c>
      <c r="C380" s="0" t="s">
        <v>176</v>
      </c>
      <c r="D380" s="0" t="s">
        <v>532</v>
      </c>
      <c r="E380" s="0" t="s">
        <v>646</v>
      </c>
      <c r="F380" s="0" t="n">
        <v>0.5</v>
      </c>
      <c r="G380" s="0" t="n">
        <v>3.3</v>
      </c>
      <c r="H380" s="0" t="n">
        <v>1.65</v>
      </c>
      <c r="I380" s="0" t="n">
        <f aca="false">IF(ABS(ROUND(F380*G380,2)-H380)&lt;=0.01,1,0)</f>
        <v>1</v>
      </c>
      <c r="J380" s="0" t="n">
        <v>0</v>
      </c>
    </row>
    <row r="381" customFormat="false" ht="15" hidden="false" customHeight="false" outlineLevel="0" collapsed="false">
      <c r="A381" s="0" t="s">
        <v>175</v>
      </c>
      <c r="B381" s="0" t="s">
        <v>136</v>
      </c>
      <c r="C381" s="0" t="s">
        <v>176</v>
      </c>
      <c r="D381" s="0" t="s">
        <v>532</v>
      </c>
      <c r="E381" s="0" t="s">
        <v>647</v>
      </c>
      <c r="F381" s="0" t="n">
        <v>0.5</v>
      </c>
      <c r="G381" s="0" t="n">
        <v>17.9</v>
      </c>
      <c r="H381" s="0" t="n">
        <v>8.95</v>
      </c>
      <c r="I381" s="0" t="n">
        <f aca="false">IF(ABS(ROUND(F381*G381,2)-H381)&lt;=0.01,1,0)</f>
        <v>1</v>
      </c>
      <c r="J381" s="0" t="n">
        <v>0</v>
      </c>
    </row>
    <row r="382" customFormat="false" ht="15" hidden="false" customHeight="false" outlineLevel="0" collapsed="false">
      <c r="A382" s="0" t="s">
        <v>175</v>
      </c>
      <c r="B382" s="0" t="s">
        <v>136</v>
      </c>
      <c r="C382" s="0" t="s">
        <v>176</v>
      </c>
      <c r="D382" s="0" t="s">
        <v>532</v>
      </c>
      <c r="E382" s="0" t="s">
        <v>591</v>
      </c>
      <c r="F382" s="0" t="n">
        <v>1</v>
      </c>
      <c r="G382" s="0" t="n">
        <v>3.9</v>
      </c>
      <c r="H382" s="0" t="n">
        <v>3.9</v>
      </c>
      <c r="I382" s="0" t="n">
        <f aca="false">IF(ABS(ROUND(F382*G382,2)-H382)&lt;=0.01,1,0)</f>
        <v>1</v>
      </c>
      <c r="J382" s="0" t="n">
        <v>0</v>
      </c>
    </row>
    <row r="383" customFormat="false" ht="15" hidden="false" customHeight="false" outlineLevel="0" collapsed="false">
      <c r="A383" s="0" t="s">
        <v>175</v>
      </c>
      <c r="B383" s="0" t="s">
        <v>136</v>
      </c>
      <c r="C383" s="0" t="s">
        <v>176</v>
      </c>
      <c r="D383" s="0" t="s">
        <v>532</v>
      </c>
      <c r="E383" s="0" t="s">
        <v>353</v>
      </c>
      <c r="F383" s="0" t="n">
        <v>0.5</v>
      </c>
      <c r="G383" s="0" t="n">
        <v>3.8</v>
      </c>
      <c r="H383" s="0" t="n">
        <v>1.9</v>
      </c>
      <c r="I383" s="0" t="n">
        <f aca="false">IF(ABS(ROUND(F383*G383,2)-H383)&lt;=0.01,1,0)</f>
        <v>1</v>
      </c>
      <c r="J383" s="0" t="n">
        <v>0</v>
      </c>
    </row>
    <row r="384" customFormat="false" ht="15" hidden="false" customHeight="false" outlineLevel="0" collapsed="false">
      <c r="A384" s="0" t="s">
        <v>175</v>
      </c>
      <c r="B384" s="0" t="s">
        <v>136</v>
      </c>
      <c r="C384" s="0" t="s">
        <v>176</v>
      </c>
      <c r="D384" s="0" t="s">
        <v>532</v>
      </c>
      <c r="E384" s="0" t="s">
        <v>626</v>
      </c>
      <c r="F384" s="0" t="n">
        <v>0.5</v>
      </c>
      <c r="G384" s="0" t="n">
        <v>3.9</v>
      </c>
      <c r="H384" s="0" t="n">
        <v>1.95</v>
      </c>
      <c r="I384" s="0" t="n">
        <f aca="false">IF(ABS(ROUND(F384*G384,2)-H384)&lt;=0.01,1,0)</f>
        <v>1</v>
      </c>
      <c r="J384" s="0" t="n">
        <v>0</v>
      </c>
    </row>
    <row r="385" customFormat="false" ht="15" hidden="false" customHeight="false" outlineLevel="0" collapsed="false">
      <c r="A385" s="0" t="s">
        <v>175</v>
      </c>
      <c r="B385" s="0" t="s">
        <v>136</v>
      </c>
      <c r="C385" s="0" t="s">
        <v>176</v>
      </c>
      <c r="D385" s="0" t="s">
        <v>532</v>
      </c>
      <c r="E385" s="0" t="s">
        <v>648</v>
      </c>
      <c r="F385" s="0" t="n">
        <v>0.5</v>
      </c>
      <c r="G385" s="0" t="n">
        <v>8.6</v>
      </c>
      <c r="H385" s="0" t="n">
        <v>4.3</v>
      </c>
      <c r="I385" s="0" t="n">
        <f aca="false">IF(ABS(ROUND(F385*G385,2)-H385)&lt;=0.01,1,0)</f>
        <v>1</v>
      </c>
      <c r="J385" s="0" t="n">
        <v>0</v>
      </c>
    </row>
    <row r="386" customFormat="false" ht="15" hidden="false" customHeight="false" outlineLevel="0" collapsed="false">
      <c r="A386" s="0" t="s">
        <v>178</v>
      </c>
      <c r="B386" s="0" t="s">
        <v>136</v>
      </c>
      <c r="C386" s="0" t="s">
        <v>179</v>
      </c>
      <c r="D386" s="0" t="s">
        <v>485</v>
      </c>
      <c r="E386" s="0" t="s">
        <v>395</v>
      </c>
      <c r="F386" s="0" t="n">
        <v>0.5</v>
      </c>
      <c r="G386" s="0" t="n">
        <v>5.9</v>
      </c>
      <c r="H386" s="0" t="n">
        <v>2.95</v>
      </c>
      <c r="I386" s="0" t="n">
        <f aca="false">IF(ABS(ROUND(F386*G386,2)-H386)&lt;=0.01,1,0)</f>
        <v>1</v>
      </c>
      <c r="J386" s="0" t="n">
        <v>1</v>
      </c>
    </row>
    <row r="387" customFormat="false" ht="15" hidden="false" customHeight="false" outlineLevel="0" collapsed="false">
      <c r="A387" s="0" t="s">
        <v>178</v>
      </c>
      <c r="B387" s="0" t="s">
        <v>136</v>
      </c>
      <c r="C387" s="0" t="s">
        <v>179</v>
      </c>
      <c r="D387" s="0" t="s">
        <v>485</v>
      </c>
      <c r="E387" s="0" t="s">
        <v>402</v>
      </c>
      <c r="F387" s="0" t="n">
        <v>0.5</v>
      </c>
      <c r="G387" s="0" t="n">
        <v>3.9</v>
      </c>
      <c r="H387" s="0" t="n">
        <v>1.95</v>
      </c>
      <c r="I387" s="0" t="n">
        <f aca="false">IF(ABS(ROUND(F387*G387,2)-H387)&lt;=0.01,1,0)</f>
        <v>1</v>
      </c>
      <c r="J387" s="0" t="n">
        <v>1</v>
      </c>
    </row>
    <row r="388" customFormat="false" ht="15" hidden="false" customHeight="false" outlineLevel="0" collapsed="false">
      <c r="A388" s="0" t="s">
        <v>178</v>
      </c>
      <c r="B388" s="0" t="s">
        <v>136</v>
      </c>
      <c r="C388" s="0" t="s">
        <v>179</v>
      </c>
      <c r="D388" s="0" t="s">
        <v>485</v>
      </c>
      <c r="E388" s="0" t="s">
        <v>649</v>
      </c>
      <c r="F388" s="0" t="n">
        <v>0.5</v>
      </c>
      <c r="G388" s="0" t="n">
        <v>34.8</v>
      </c>
      <c r="H388" s="0" t="n">
        <v>17.4</v>
      </c>
      <c r="I388" s="0" t="n">
        <f aca="false">IF(ABS(ROUND(F388*G388,2)-H388)&lt;=0.01,1,0)</f>
        <v>1</v>
      </c>
      <c r="J388" s="0" t="n">
        <v>0</v>
      </c>
    </row>
    <row r="389" customFormat="false" ht="15" hidden="false" customHeight="false" outlineLevel="0" collapsed="false">
      <c r="A389" s="0" t="s">
        <v>178</v>
      </c>
      <c r="B389" s="0" t="s">
        <v>136</v>
      </c>
      <c r="C389" s="0" t="s">
        <v>179</v>
      </c>
      <c r="D389" s="0" t="s">
        <v>485</v>
      </c>
      <c r="E389" s="0" t="s">
        <v>650</v>
      </c>
      <c r="F389" s="0" t="n">
        <v>0.5</v>
      </c>
      <c r="G389" s="0" t="n">
        <v>19.9</v>
      </c>
      <c r="H389" s="0" t="n">
        <v>9.95</v>
      </c>
      <c r="I389" s="0" t="n">
        <f aca="false">IF(ABS(ROUND(F389*G389,2)-H389)&lt;=0.01,1,0)</f>
        <v>1</v>
      </c>
      <c r="J389" s="0" t="n">
        <v>0</v>
      </c>
    </row>
    <row r="390" customFormat="false" ht="15" hidden="false" customHeight="false" outlineLevel="0" collapsed="false">
      <c r="A390" s="0" t="s">
        <v>178</v>
      </c>
      <c r="B390" s="0" t="s">
        <v>136</v>
      </c>
      <c r="C390" s="0" t="s">
        <v>179</v>
      </c>
      <c r="D390" s="0" t="s">
        <v>485</v>
      </c>
      <c r="E390" s="0" t="s">
        <v>651</v>
      </c>
      <c r="F390" s="0" t="n">
        <v>0.5</v>
      </c>
      <c r="G390" s="0" t="n">
        <v>28</v>
      </c>
      <c r="H390" s="0" t="n">
        <v>14</v>
      </c>
      <c r="I390" s="0" t="n">
        <f aca="false">IF(ABS(ROUND(F390*G390,2)-H390)&lt;=0.01,1,0)</f>
        <v>1</v>
      </c>
      <c r="J390" s="0" t="n">
        <v>0</v>
      </c>
    </row>
    <row r="391" customFormat="false" ht="15" hidden="false" customHeight="false" outlineLevel="0" collapsed="false">
      <c r="A391" s="0" t="s">
        <v>178</v>
      </c>
      <c r="B391" s="0" t="s">
        <v>136</v>
      </c>
      <c r="C391" s="0" t="s">
        <v>179</v>
      </c>
      <c r="D391" s="0" t="s">
        <v>509</v>
      </c>
      <c r="E391" s="0" t="s">
        <v>395</v>
      </c>
      <c r="F391" s="0" t="n">
        <v>0.5</v>
      </c>
      <c r="G391" s="0" t="n">
        <v>5.9</v>
      </c>
      <c r="H391" s="0" t="n">
        <v>2.95</v>
      </c>
      <c r="I391" s="0" t="n">
        <f aca="false">IF(ABS(ROUND(F391*G391,2)-H391)&lt;=0.01,1,0)</f>
        <v>1</v>
      </c>
      <c r="J391" s="0" t="n">
        <v>1</v>
      </c>
    </row>
    <row r="392" customFormat="false" ht="15" hidden="false" customHeight="false" outlineLevel="0" collapsed="false">
      <c r="A392" s="0" t="s">
        <v>178</v>
      </c>
      <c r="B392" s="0" t="s">
        <v>136</v>
      </c>
      <c r="C392" s="0" t="s">
        <v>179</v>
      </c>
      <c r="D392" s="0" t="s">
        <v>509</v>
      </c>
      <c r="E392" s="0" t="s">
        <v>402</v>
      </c>
      <c r="F392" s="0" t="n">
        <v>0.5</v>
      </c>
      <c r="G392" s="0" t="n">
        <v>3.9</v>
      </c>
      <c r="H392" s="0" t="n">
        <v>1.95</v>
      </c>
      <c r="I392" s="0" t="n">
        <f aca="false">IF(ABS(ROUND(F392*G392,2)-H392)&lt;=0.01,1,0)</f>
        <v>1</v>
      </c>
      <c r="J392" s="0" t="n">
        <v>1</v>
      </c>
    </row>
    <row r="393" customFormat="false" ht="15" hidden="false" customHeight="false" outlineLevel="0" collapsed="false">
      <c r="A393" s="0" t="s">
        <v>178</v>
      </c>
      <c r="B393" s="0" t="s">
        <v>136</v>
      </c>
      <c r="C393" s="0" t="s">
        <v>179</v>
      </c>
      <c r="D393" s="0" t="s">
        <v>509</v>
      </c>
      <c r="E393" s="0" t="s">
        <v>649</v>
      </c>
      <c r="F393" s="0" t="n">
        <v>0.5</v>
      </c>
      <c r="G393" s="0" t="n">
        <v>34.8</v>
      </c>
      <c r="H393" s="0" t="n">
        <v>17.4</v>
      </c>
      <c r="I393" s="0" t="n">
        <f aca="false">IF(ABS(ROUND(F393*G393,2)-H393)&lt;=0.01,1,0)</f>
        <v>1</v>
      </c>
      <c r="J393" s="0" t="n">
        <v>0</v>
      </c>
    </row>
    <row r="394" customFormat="false" ht="15" hidden="false" customHeight="false" outlineLevel="0" collapsed="false">
      <c r="A394" s="0" t="s">
        <v>178</v>
      </c>
      <c r="B394" s="0" t="s">
        <v>136</v>
      </c>
      <c r="C394" s="0" t="s">
        <v>179</v>
      </c>
      <c r="D394" s="0" t="s">
        <v>509</v>
      </c>
      <c r="E394" s="0" t="s">
        <v>650</v>
      </c>
      <c r="F394" s="0" t="n">
        <v>0.5</v>
      </c>
      <c r="G394" s="0" t="n">
        <v>19.9</v>
      </c>
      <c r="H394" s="0" t="n">
        <v>9.95</v>
      </c>
      <c r="I394" s="0" t="n">
        <f aca="false">IF(ABS(ROUND(F394*G394,2)-H394)&lt;=0.01,1,0)</f>
        <v>1</v>
      </c>
      <c r="J394" s="0" t="n">
        <v>0</v>
      </c>
    </row>
    <row r="395" customFormat="false" ht="15" hidden="false" customHeight="false" outlineLevel="0" collapsed="false">
      <c r="A395" s="0" t="s">
        <v>178</v>
      </c>
      <c r="B395" s="0" t="s">
        <v>136</v>
      </c>
      <c r="C395" s="0" t="s">
        <v>179</v>
      </c>
      <c r="D395" s="0" t="s">
        <v>509</v>
      </c>
      <c r="E395" s="0" t="s">
        <v>651</v>
      </c>
      <c r="F395" s="0" t="n">
        <v>0.5</v>
      </c>
      <c r="G395" s="0" t="n">
        <v>28</v>
      </c>
      <c r="H395" s="0" t="n">
        <v>14</v>
      </c>
      <c r="I395" s="0" t="n">
        <f aca="false">IF(ABS(ROUND(F395*G395,2)-H395)&lt;=0.01,1,0)</f>
        <v>1</v>
      </c>
      <c r="J395" s="0" t="n">
        <v>0</v>
      </c>
    </row>
    <row r="396" customFormat="false" ht="15" hidden="false" customHeight="false" outlineLevel="0" collapsed="false">
      <c r="A396" s="0" t="s">
        <v>181</v>
      </c>
      <c r="B396" s="0" t="s">
        <v>136</v>
      </c>
      <c r="C396" s="0" t="s">
        <v>182</v>
      </c>
      <c r="D396" s="0" t="s">
        <v>493</v>
      </c>
      <c r="E396" s="0" t="s">
        <v>644</v>
      </c>
      <c r="F396" s="0" t="n">
        <v>1</v>
      </c>
      <c r="G396" s="0" t="n">
        <v>4.2</v>
      </c>
      <c r="H396" s="0" t="n">
        <v>4.2</v>
      </c>
      <c r="I396" s="0" t="n">
        <f aca="false">IF(ABS(ROUND(F396*G396,2)-H396)&lt;=0.01,1,0)</f>
        <v>1</v>
      </c>
      <c r="J396" s="0" t="n">
        <v>0</v>
      </c>
    </row>
    <row r="397" customFormat="false" ht="15" hidden="false" customHeight="false" outlineLevel="0" collapsed="false">
      <c r="A397" s="0" t="s">
        <v>181</v>
      </c>
      <c r="B397" s="0" t="s">
        <v>136</v>
      </c>
      <c r="C397" s="0" t="s">
        <v>182</v>
      </c>
      <c r="D397" s="0" t="s">
        <v>493</v>
      </c>
      <c r="E397" s="0" t="s">
        <v>364</v>
      </c>
      <c r="F397" s="0" t="n">
        <v>0.5</v>
      </c>
      <c r="G397" s="0" t="n">
        <v>6.5</v>
      </c>
      <c r="H397" s="0" t="n">
        <v>3.25</v>
      </c>
      <c r="I397" s="0" t="n">
        <f aca="false">IF(ABS(ROUND(F397*G397,2)-H397)&lt;=0.01,1,0)</f>
        <v>1</v>
      </c>
      <c r="J397" s="0" t="n">
        <v>0</v>
      </c>
    </row>
    <row r="398" customFormat="false" ht="15" hidden="false" customHeight="false" outlineLevel="0" collapsed="false">
      <c r="A398" s="0" t="s">
        <v>181</v>
      </c>
      <c r="B398" s="0" t="s">
        <v>136</v>
      </c>
      <c r="C398" s="0" t="s">
        <v>182</v>
      </c>
      <c r="D398" s="0" t="s">
        <v>493</v>
      </c>
      <c r="E398" s="0" t="s">
        <v>405</v>
      </c>
      <c r="F398" s="0" t="n">
        <v>0.5</v>
      </c>
      <c r="G398" s="0" t="n">
        <v>5.9</v>
      </c>
      <c r="H398" s="0" t="n">
        <v>2.95</v>
      </c>
      <c r="I398" s="0" t="n">
        <f aca="false">IF(ABS(ROUND(F398*G398,2)-H398)&lt;=0.01,1,0)</f>
        <v>1</v>
      </c>
      <c r="J398" s="0" t="n">
        <v>1</v>
      </c>
    </row>
    <row r="399" customFormat="false" ht="15" hidden="false" customHeight="false" outlineLevel="0" collapsed="false">
      <c r="A399" s="0" t="s">
        <v>181</v>
      </c>
      <c r="B399" s="0" t="s">
        <v>136</v>
      </c>
      <c r="C399" s="0" t="s">
        <v>182</v>
      </c>
      <c r="D399" s="0" t="s">
        <v>493</v>
      </c>
      <c r="E399" s="0" t="s">
        <v>652</v>
      </c>
      <c r="F399" s="0" t="n">
        <v>0.5</v>
      </c>
      <c r="G399" s="0" t="n">
        <v>10.5</v>
      </c>
      <c r="H399" s="0" t="n">
        <v>5.25</v>
      </c>
      <c r="I399" s="0" t="n">
        <f aca="false">IF(ABS(ROUND(F399*G399,2)-H399)&lt;=0.01,1,0)</f>
        <v>1</v>
      </c>
      <c r="J399" s="0" t="n">
        <v>0</v>
      </c>
    </row>
    <row r="400" customFormat="false" ht="15" hidden="false" customHeight="false" outlineLevel="0" collapsed="false">
      <c r="A400" s="0" t="s">
        <v>181</v>
      </c>
      <c r="B400" s="0" t="s">
        <v>136</v>
      </c>
      <c r="C400" s="0" t="s">
        <v>182</v>
      </c>
      <c r="D400" s="0" t="s">
        <v>493</v>
      </c>
      <c r="E400" s="0" t="s">
        <v>636</v>
      </c>
      <c r="F400" s="0" t="n">
        <v>0.5</v>
      </c>
      <c r="G400" s="0" t="n">
        <v>19</v>
      </c>
      <c r="H400" s="0" t="n">
        <v>9.5</v>
      </c>
      <c r="I400" s="0" t="n">
        <f aca="false">IF(ABS(ROUND(F400*G400,2)-H400)&lt;=0.01,1,0)</f>
        <v>1</v>
      </c>
      <c r="J400" s="0" t="n">
        <v>0</v>
      </c>
    </row>
    <row r="401" customFormat="false" ht="15" hidden="false" customHeight="false" outlineLevel="0" collapsed="false">
      <c r="A401" s="0" t="s">
        <v>181</v>
      </c>
      <c r="B401" s="0" t="s">
        <v>136</v>
      </c>
      <c r="C401" s="0" t="s">
        <v>182</v>
      </c>
      <c r="D401" s="0" t="s">
        <v>493</v>
      </c>
      <c r="E401" s="0" t="s">
        <v>589</v>
      </c>
      <c r="F401" s="0" t="n">
        <v>0.5</v>
      </c>
      <c r="G401" s="0" t="n">
        <v>17.4</v>
      </c>
      <c r="H401" s="0" t="n">
        <v>8.7</v>
      </c>
      <c r="I401" s="0" t="n">
        <f aca="false">IF(ABS(ROUND(F401*G401,2)-H401)&lt;=0.01,1,0)</f>
        <v>1</v>
      </c>
      <c r="J401" s="0" t="n">
        <v>0</v>
      </c>
    </row>
    <row r="402" customFormat="false" ht="15" hidden="false" customHeight="false" outlineLevel="0" collapsed="false">
      <c r="A402" s="0" t="s">
        <v>181</v>
      </c>
      <c r="B402" s="0" t="s">
        <v>136</v>
      </c>
      <c r="C402" s="0" t="s">
        <v>182</v>
      </c>
      <c r="D402" s="0" t="s">
        <v>493</v>
      </c>
      <c r="E402" s="0" t="s">
        <v>653</v>
      </c>
      <c r="F402" s="0" t="n">
        <v>0.5</v>
      </c>
      <c r="G402" s="0" t="n">
        <v>28.6</v>
      </c>
      <c r="H402" s="0" t="n">
        <v>14.3</v>
      </c>
      <c r="I402" s="0" t="n">
        <f aca="false">IF(ABS(ROUND(F402*G402,2)-H402)&lt;=0.01,1,0)</f>
        <v>1</v>
      </c>
      <c r="J402" s="0" t="n">
        <v>0</v>
      </c>
    </row>
    <row r="403" customFormat="false" ht="15" hidden="false" customHeight="false" outlineLevel="0" collapsed="false">
      <c r="A403" s="0" t="s">
        <v>181</v>
      </c>
      <c r="B403" s="0" t="s">
        <v>136</v>
      </c>
      <c r="C403" s="0" t="s">
        <v>182</v>
      </c>
      <c r="D403" s="0" t="s">
        <v>493</v>
      </c>
      <c r="E403" s="0" t="s">
        <v>406</v>
      </c>
      <c r="F403" s="0" t="n">
        <v>0.5</v>
      </c>
      <c r="G403" s="0" t="n">
        <v>18.6</v>
      </c>
      <c r="H403" s="0" t="n">
        <v>9.3</v>
      </c>
      <c r="I403" s="0" t="n">
        <f aca="false">IF(ABS(ROUND(F403*G403,2)-H403)&lt;=0.01,1,0)</f>
        <v>1</v>
      </c>
      <c r="J403" s="0" t="n">
        <v>1</v>
      </c>
    </row>
    <row r="404" customFormat="false" ht="15" hidden="false" customHeight="false" outlineLevel="0" collapsed="false">
      <c r="A404" s="0" t="s">
        <v>181</v>
      </c>
      <c r="B404" s="0" t="s">
        <v>136</v>
      </c>
      <c r="C404" s="0" t="s">
        <v>182</v>
      </c>
      <c r="D404" s="0" t="s">
        <v>493</v>
      </c>
      <c r="E404" s="0" t="s">
        <v>429</v>
      </c>
      <c r="F404" s="0" t="n">
        <v>1</v>
      </c>
      <c r="G404" s="0" t="n">
        <v>8.9</v>
      </c>
      <c r="H404" s="0" t="n">
        <v>8.9</v>
      </c>
      <c r="I404" s="0" t="n">
        <f aca="false">IF(ABS(ROUND(F404*G404,2)-H404)&lt;=0.01,1,0)</f>
        <v>1</v>
      </c>
      <c r="J404" s="0" t="n">
        <v>0</v>
      </c>
    </row>
    <row r="405" customFormat="false" ht="15" hidden="false" customHeight="false" outlineLevel="0" collapsed="false">
      <c r="A405" s="0" t="s">
        <v>181</v>
      </c>
      <c r="B405" s="0" t="s">
        <v>136</v>
      </c>
      <c r="C405" s="0" t="s">
        <v>182</v>
      </c>
      <c r="D405" s="0" t="s">
        <v>493</v>
      </c>
      <c r="E405" s="0" t="s">
        <v>654</v>
      </c>
      <c r="F405" s="0" t="n">
        <v>1</v>
      </c>
      <c r="G405" s="0" t="n">
        <v>9.3</v>
      </c>
      <c r="H405" s="0" t="n">
        <v>9.3</v>
      </c>
      <c r="I405" s="0" t="n">
        <f aca="false">IF(ABS(ROUND(F405*G405,2)-H405)&lt;=0.01,1,0)</f>
        <v>1</v>
      </c>
      <c r="J405" s="0" t="n">
        <v>0</v>
      </c>
    </row>
    <row r="406" customFormat="false" ht="15" hidden="false" customHeight="false" outlineLevel="0" collapsed="false">
      <c r="A406" s="0" t="s">
        <v>181</v>
      </c>
      <c r="B406" s="0" t="s">
        <v>136</v>
      </c>
      <c r="C406" s="0" t="s">
        <v>182</v>
      </c>
      <c r="D406" s="0" t="s">
        <v>493</v>
      </c>
      <c r="E406" s="0" t="s">
        <v>366</v>
      </c>
      <c r="F406" s="0" t="n">
        <v>1</v>
      </c>
      <c r="G406" s="0" t="n">
        <v>2.2</v>
      </c>
      <c r="H406" s="0" t="n">
        <v>2.2</v>
      </c>
      <c r="I406" s="0" t="n">
        <f aca="false">IF(ABS(ROUND(F406*G406,2)-H406)&lt;=0.01,1,0)</f>
        <v>1</v>
      </c>
      <c r="J406" s="0" t="n">
        <v>0</v>
      </c>
    </row>
    <row r="407" customFormat="false" ht="15" hidden="false" customHeight="false" outlineLevel="0" collapsed="false">
      <c r="A407" s="0" t="s">
        <v>181</v>
      </c>
      <c r="B407" s="0" t="s">
        <v>136</v>
      </c>
      <c r="C407" s="0" t="s">
        <v>182</v>
      </c>
      <c r="D407" s="0" t="s">
        <v>503</v>
      </c>
      <c r="E407" s="0" t="s">
        <v>644</v>
      </c>
      <c r="F407" s="0" t="n">
        <v>1</v>
      </c>
      <c r="G407" s="0" t="n">
        <v>4.2</v>
      </c>
      <c r="H407" s="0" t="n">
        <v>4.2</v>
      </c>
      <c r="I407" s="0" t="n">
        <f aca="false">IF(ABS(ROUND(F407*G407,2)-H407)&lt;=0.01,1,0)</f>
        <v>1</v>
      </c>
      <c r="J407" s="0" t="n">
        <v>0</v>
      </c>
    </row>
    <row r="408" customFormat="false" ht="15" hidden="false" customHeight="false" outlineLevel="0" collapsed="false">
      <c r="A408" s="0" t="s">
        <v>181</v>
      </c>
      <c r="B408" s="0" t="s">
        <v>136</v>
      </c>
      <c r="C408" s="0" t="s">
        <v>182</v>
      </c>
      <c r="D408" s="0" t="s">
        <v>503</v>
      </c>
      <c r="E408" s="0" t="s">
        <v>364</v>
      </c>
      <c r="F408" s="0" t="n">
        <v>0.5</v>
      </c>
      <c r="G408" s="0" t="n">
        <v>6.5</v>
      </c>
      <c r="H408" s="0" t="n">
        <v>3.25</v>
      </c>
      <c r="I408" s="0" t="n">
        <f aca="false">IF(ABS(ROUND(F408*G408,2)-H408)&lt;=0.01,1,0)</f>
        <v>1</v>
      </c>
      <c r="J408" s="0" t="n">
        <v>0</v>
      </c>
    </row>
    <row r="409" customFormat="false" ht="15" hidden="false" customHeight="false" outlineLevel="0" collapsed="false">
      <c r="A409" s="0" t="s">
        <v>181</v>
      </c>
      <c r="B409" s="0" t="s">
        <v>136</v>
      </c>
      <c r="C409" s="0" t="s">
        <v>182</v>
      </c>
      <c r="D409" s="0" t="s">
        <v>503</v>
      </c>
      <c r="E409" s="0" t="s">
        <v>405</v>
      </c>
      <c r="F409" s="0" t="n">
        <v>0.5</v>
      </c>
      <c r="G409" s="0" t="n">
        <v>5.9</v>
      </c>
      <c r="H409" s="0" t="n">
        <v>2.95</v>
      </c>
      <c r="I409" s="0" t="n">
        <f aca="false">IF(ABS(ROUND(F409*G409,2)-H409)&lt;=0.01,1,0)</f>
        <v>1</v>
      </c>
      <c r="J409" s="0" t="n">
        <v>1</v>
      </c>
    </row>
    <row r="410" customFormat="false" ht="15" hidden="false" customHeight="false" outlineLevel="0" collapsed="false">
      <c r="A410" s="0" t="s">
        <v>181</v>
      </c>
      <c r="B410" s="0" t="s">
        <v>136</v>
      </c>
      <c r="C410" s="0" t="s">
        <v>182</v>
      </c>
      <c r="D410" s="0" t="s">
        <v>503</v>
      </c>
      <c r="E410" s="0" t="s">
        <v>652</v>
      </c>
      <c r="F410" s="0" t="n">
        <v>0.5</v>
      </c>
      <c r="G410" s="0" t="n">
        <v>10.5</v>
      </c>
      <c r="H410" s="0" t="n">
        <v>5.25</v>
      </c>
      <c r="I410" s="0" t="n">
        <f aca="false">IF(ABS(ROUND(F410*G410,2)-H410)&lt;=0.01,1,0)</f>
        <v>1</v>
      </c>
      <c r="J410" s="0" t="n">
        <v>0</v>
      </c>
    </row>
    <row r="411" customFormat="false" ht="15" hidden="false" customHeight="false" outlineLevel="0" collapsed="false">
      <c r="A411" s="0" t="s">
        <v>181</v>
      </c>
      <c r="B411" s="0" t="s">
        <v>136</v>
      </c>
      <c r="C411" s="0" t="s">
        <v>182</v>
      </c>
      <c r="D411" s="0" t="s">
        <v>503</v>
      </c>
      <c r="E411" s="0" t="s">
        <v>636</v>
      </c>
      <c r="F411" s="0" t="n">
        <v>0.5</v>
      </c>
      <c r="G411" s="0" t="n">
        <v>19</v>
      </c>
      <c r="H411" s="0" t="n">
        <v>9.5</v>
      </c>
      <c r="I411" s="0" t="n">
        <f aca="false">IF(ABS(ROUND(F411*G411,2)-H411)&lt;=0.01,1,0)</f>
        <v>1</v>
      </c>
      <c r="J411" s="0" t="n">
        <v>0</v>
      </c>
    </row>
    <row r="412" customFormat="false" ht="15" hidden="false" customHeight="false" outlineLevel="0" collapsed="false">
      <c r="A412" s="0" t="s">
        <v>181</v>
      </c>
      <c r="B412" s="0" t="s">
        <v>136</v>
      </c>
      <c r="C412" s="0" t="s">
        <v>182</v>
      </c>
      <c r="D412" s="0" t="s">
        <v>503</v>
      </c>
      <c r="E412" s="0" t="s">
        <v>589</v>
      </c>
      <c r="F412" s="0" t="n">
        <v>0.5</v>
      </c>
      <c r="G412" s="0" t="n">
        <v>17.4</v>
      </c>
      <c r="H412" s="0" t="n">
        <v>8.7</v>
      </c>
      <c r="I412" s="0" t="n">
        <f aca="false">IF(ABS(ROUND(F412*G412,2)-H412)&lt;=0.01,1,0)</f>
        <v>1</v>
      </c>
      <c r="J412" s="0" t="n">
        <v>0</v>
      </c>
    </row>
    <row r="413" customFormat="false" ht="15" hidden="false" customHeight="false" outlineLevel="0" collapsed="false">
      <c r="A413" s="0" t="s">
        <v>181</v>
      </c>
      <c r="B413" s="0" t="s">
        <v>136</v>
      </c>
      <c r="C413" s="0" t="s">
        <v>182</v>
      </c>
      <c r="D413" s="0" t="s">
        <v>503</v>
      </c>
      <c r="E413" s="0" t="s">
        <v>653</v>
      </c>
      <c r="F413" s="0" t="n">
        <v>0.5</v>
      </c>
      <c r="G413" s="0" t="n">
        <v>28.6</v>
      </c>
      <c r="H413" s="0" t="n">
        <v>14.3</v>
      </c>
      <c r="I413" s="0" t="n">
        <f aca="false">IF(ABS(ROUND(F413*G413,2)-H413)&lt;=0.01,1,0)</f>
        <v>1</v>
      </c>
      <c r="J413" s="0" t="n">
        <v>0</v>
      </c>
    </row>
    <row r="414" customFormat="false" ht="15" hidden="false" customHeight="false" outlineLevel="0" collapsed="false">
      <c r="A414" s="0" t="s">
        <v>181</v>
      </c>
      <c r="B414" s="0" t="s">
        <v>136</v>
      </c>
      <c r="C414" s="0" t="s">
        <v>182</v>
      </c>
      <c r="D414" s="0" t="s">
        <v>503</v>
      </c>
      <c r="E414" s="0" t="s">
        <v>406</v>
      </c>
      <c r="F414" s="0" t="n">
        <v>0.5</v>
      </c>
      <c r="G414" s="0" t="n">
        <v>18.6</v>
      </c>
      <c r="H414" s="0" t="n">
        <v>9.3</v>
      </c>
      <c r="I414" s="0" t="n">
        <f aca="false">IF(ABS(ROUND(F414*G414,2)-H414)&lt;=0.01,1,0)</f>
        <v>1</v>
      </c>
      <c r="J414" s="0" t="n">
        <v>1</v>
      </c>
    </row>
    <row r="415" customFormat="false" ht="15" hidden="false" customHeight="false" outlineLevel="0" collapsed="false">
      <c r="A415" s="0" t="s">
        <v>181</v>
      </c>
      <c r="B415" s="0" t="s">
        <v>136</v>
      </c>
      <c r="C415" s="0" t="s">
        <v>182</v>
      </c>
      <c r="D415" s="0" t="s">
        <v>503</v>
      </c>
      <c r="E415" s="0" t="s">
        <v>429</v>
      </c>
      <c r="F415" s="0" t="n">
        <v>1</v>
      </c>
      <c r="G415" s="0" t="n">
        <v>8.9</v>
      </c>
      <c r="H415" s="0" t="n">
        <v>8.9</v>
      </c>
      <c r="I415" s="0" t="n">
        <f aca="false">IF(ABS(ROUND(F415*G415,2)-H415)&lt;=0.01,1,0)</f>
        <v>1</v>
      </c>
      <c r="J415" s="0" t="n">
        <v>0</v>
      </c>
    </row>
    <row r="416" customFormat="false" ht="15" hidden="false" customHeight="false" outlineLevel="0" collapsed="false">
      <c r="A416" s="0" t="s">
        <v>181</v>
      </c>
      <c r="B416" s="0" t="s">
        <v>136</v>
      </c>
      <c r="C416" s="0" t="s">
        <v>182</v>
      </c>
      <c r="D416" s="0" t="s">
        <v>503</v>
      </c>
      <c r="E416" s="0" t="s">
        <v>654</v>
      </c>
      <c r="F416" s="0" t="n">
        <v>1</v>
      </c>
      <c r="G416" s="0" t="n">
        <v>9.3</v>
      </c>
      <c r="H416" s="0" t="n">
        <v>9.3</v>
      </c>
      <c r="I416" s="0" t="n">
        <f aca="false">IF(ABS(ROUND(F416*G416,2)-H416)&lt;=0.01,1,0)</f>
        <v>1</v>
      </c>
      <c r="J416" s="0" t="n">
        <v>0</v>
      </c>
    </row>
    <row r="417" customFormat="false" ht="15" hidden="false" customHeight="false" outlineLevel="0" collapsed="false">
      <c r="A417" s="0" t="s">
        <v>181</v>
      </c>
      <c r="B417" s="0" t="s">
        <v>136</v>
      </c>
      <c r="C417" s="0" t="s">
        <v>182</v>
      </c>
      <c r="D417" s="0" t="s">
        <v>503</v>
      </c>
      <c r="E417" s="0" t="s">
        <v>366</v>
      </c>
      <c r="F417" s="0" t="n">
        <v>1</v>
      </c>
      <c r="G417" s="0" t="n">
        <v>2.2</v>
      </c>
      <c r="H417" s="0" t="n">
        <v>2.2</v>
      </c>
      <c r="I417" s="0" t="n">
        <f aca="false">IF(ABS(ROUND(F417*G417,2)-H417)&lt;=0.01,1,0)</f>
        <v>1</v>
      </c>
      <c r="J417" s="0" t="n">
        <v>0</v>
      </c>
    </row>
    <row r="418" customFormat="false" ht="15" hidden="false" customHeight="false" outlineLevel="0" collapsed="false">
      <c r="A418" s="0" t="s">
        <v>184</v>
      </c>
      <c r="B418" s="0" t="s">
        <v>136</v>
      </c>
      <c r="C418" s="0" t="s">
        <v>185</v>
      </c>
      <c r="D418" s="0" t="s">
        <v>496</v>
      </c>
      <c r="E418" s="0" t="s">
        <v>587</v>
      </c>
      <c r="F418" s="0" t="n">
        <v>1</v>
      </c>
      <c r="G418" s="0" t="n">
        <v>6</v>
      </c>
      <c r="H418" s="0" t="n">
        <v>6</v>
      </c>
      <c r="I418" s="0" t="n">
        <f aca="false">IF(ABS(ROUND(F418*G418,2)-H418)&lt;=0.01,1,0)</f>
        <v>1</v>
      </c>
      <c r="J418" s="0" t="n">
        <v>0</v>
      </c>
    </row>
    <row r="419" customFormat="false" ht="15" hidden="false" customHeight="false" outlineLevel="0" collapsed="false">
      <c r="A419" s="0" t="s">
        <v>184</v>
      </c>
      <c r="B419" s="0" t="s">
        <v>136</v>
      </c>
      <c r="C419" s="0" t="s">
        <v>185</v>
      </c>
      <c r="D419" s="0" t="s">
        <v>496</v>
      </c>
      <c r="E419" s="0" t="s">
        <v>400</v>
      </c>
      <c r="F419" s="0" t="n">
        <v>1</v>
      </c>
      <c r="G419" s="0" t="n">
        <v>19.5</v>
      </c>
      <c r="H419" s="0" t="n">
        <v>19.5</v>
      </c>
      <c r="I419" s="0" t="n">
        <f aca="false">IF(ABS(ROUND(F419*G419,2)-H419)&lt;=0.01,1,0)</f>
        <v>1</v>
      </c>
      <c r="J419" s="0" t="n">
        <v>0</v>
      </c>
    </row>
    <row r="420" customFormat="false" ht="15" hidden="false" customHeight="false" outlineLevel="0" collapsed="false">
      <c r="A420" s="0" t="s">
        <v>184</v>
      </c>
      <c r="B420" s="0" t="s">
        <v>136</v>
      </c>
      <c r="C420" s="0" t="s">
        <v>185</v>
      </c>
      <c r="D420" s="0" t="s">
        <v>496</v>
      </c>
      <c r="E420" s="0" t="s">
        <v>366</v>
      </c>
      <c r="F420" s="0" t="n">
        <v>0.5</v>
      </c>
      <c r="G420" s="0" t="n">
        <v>2.2</v>
      </c>
      <c r="H420" s="0" t="n">
        <v>1.1</v>
      </c>
      <c r="I420" s="0" t="n">
        <f aca="false">IF(ABS(ROUND(F420*G420,2)-H420)&lt;=0.01,1,0)</f>
        <v>1</v>
      </c>
      <c r="J420" s="0" t="n">
        <v>1</v>
      </c>
    </row>
    <row r="421" customFormat="false" ht="15" hidden="false" customHeight="false" outlineLevel="0" collapsed="false">
      <c r="A421" s="0" t="s">
        <v>184</v>
      </c>
      <c r="B421" s="0" t="s">
        <v>136</v>
      </c>
      <c r="C421" s="0" t="s">
        <v>185</v>
      </c>
      <c r="D421" s="0" t="s">
        <v>487</v>
      </c>
      <c r="E421" s="0" t="s">
        <v>587</v>
      </c>
      <c r="F421" s="0" t="n">
        <v>1</v>
      </c>
      <c r="G421" s="0" t="n">
        <v>6</v>
      </c>
      <c r="H421" s="0" t="n">
        <v>6</v>
      </c>
      <c r="I421" s="0" t="n">
        <f aca="false">IF(ABS(ROUND(F421*G421,2)-H421)&lt;=0.01,1,0)</f>
        <v>1</v>
      </c>
      <c r="J421" s="0" t="n">
        <v>0</v>
      </c>
    </row>
    <row r="422" customFormat="false" ht="15" hidden="false" customHeight="false" outlineLevel="0" collapsed="false">
      <c r="A422" s="0" t="s">
        <v>184</v>
      </c>
      <c r="B422" s="0" t="s">
        <v>136</v>
      </c>
      <c r="C422" s="0" t="s">
        <v>185</v>
      </c>
      <c r="D422" s="0" t="s">
        <v>487</v>
      </c>
      <c r="E422" s="0" t="s">
        <v>400</v>
      </c>
      <c r="F422" s="0" t="n">
        <v>1</v>
      </c>
      <c r="G422" s="0" t="n">
        <v>19.5</v>
      </c>
      <c r="H422" s="0" t="n">
        <v>19.5</v>
      </c>
      <c r="I422" s="0" t="n">
        <f aca="false">IF(ABS(ROUND(F422*G422,2)-H422)&lt;=0.01,1,0)</f>
        <v>1</v>
      </c>
      <c r="J422" s="0" t="n">
        <v>0</v>
      </c>
    </row>
    <row r="423" customFormat="false" ht="15" hidden="false" customHeight="false" outlineLevel="0" collapsed="false">
      <c r="A423" s="0" t="s">
        <v>184</v>
      </c>
      <c r="B423" s="0" t="s">
        <v>136</v>
      </c>
      <c r="C423" s="0" t="s">
        <v>185</v>
      </c>
      <c r="D423" s="0" t="s">
        <v>487</v>
      </c>
      <c r="E423" s="0" t="s">
        <v>366</v>
      </c>
      <c r="F423" s="0" t="n">
        <v>0.5</v>
      </c>
      <c r="G423" s="0" t="n">
        <v>2.2</v>
      </c>
      <c r="H423" s="0" t="n">
        <v>1.1</v>
      </c>
      <c r="I423" s="0" t="n">
        <f aca="false">IF(ABS(ROUND(F423*G423,2)-H423)&lt;=0.01,1,0)</f>
        <v>1</v>
      </c>
      <c r="J423" s="0" t="n">
        <v>1</v>
      </c>
    </row>
    <row r="424" customFormat="false" ht="15" hidden="false" customHeight="false" outlineLevel="0" collapsed="false">
      <c r="A424" s="0" t="s">
        <v>184</v>
      </c>
      <c r="B424" s="0" t="s">
        <v>136</v>
      </c>
      <c r="C424" s="0" t="s">
        <v>185</v>
      </c>
      <c r="D424" s="0" t="s">
        <v>508</v>
      </c>
      <c r="E424" s="0" t="s">
        <v>598</v>
      </c>
      <c r="F424" s="0" t="n">
        <v>1</v>
      </c>
      <c r="G424" s="0" t="n">
        <v>4.2</v>
      </c>
      <c r="H424" s="0" t="n">
        <v>4.2</v>
      </c>
      <c r="I424" s="0" t="n">
        <f aca="false">IF(ABS(ROUND(F424*G424,2)-H424)&lt;=0.01,1,0)</f>
        <v>1</v>
      </c>
      <c r="J424" s="0" t="n">
        <v>0</v>
      </c>
    </row>
    <row r="425" customFormat="false" ht="15" hidden="false" customHeight="false" outlineLevel="0" collapsed="false">
      <c r="A425" s="0" t="s">
        <v>184</v>
      </c>
      <c r="B425" s="0" t="s">
        <v>136</v>
      </c>
      <c r="C425" s="0" t="s">
        <v>185</v>
      </c>
      <c r="D425" s="0" t="s">
        <v>508</v>
      </c>
      <c r="E425" s="0" t="s">
        <v>641</v>
      </c>
      <c r="F425" s="0" t="n">
        <v>0.5</v>
      </c>
      <c r="G425" s="0" t="n">
        <v>3.9</v>
      </c>
      <c r="H425" s="0" t="n">
        <v>1.95</v>
      </c>
      <c r="I425" s="0" t="n">
        <f aca="false">IF(ABS(ROUND(F425*G425,2)-H425)&lt;=0.01,1,0)</f>
        <v>1</v>
      </c>
      <c r="J425" s="0" t="n">
        <v>0</v>
      </c>
    </row>
    <row r="426" customFormat="false" ht="15" hidden="false" customHeight="false" outlineLevel="0" collapsed="false">
      <c r="A426" s="0" t="s">
        <v>184</v>
      </c>
      <c r="B426" s="0" t="s">
        <v>136</v>
      </c>
      <c r="C426" s="0" t="s">
        <v>185</v>
      </c>
      <c r="D426" s="0" t="s">
        <v>508</v>
      </c>
      <c r="E426" s="0" t="s">
        <v>421</v>
      </c>
      <c r="F426" s="0" t="n">
        <v>0.5</v>
      </c>
      <c r="G426" s="0" t="n">
        <v>9</v>
      </c>
      <c r="H426" s="0" t="n">
        <v>4.5</v>
      </c>
      <c r="I426" s="0" t="n">
        <f aca="false">IF(ABS(ROUND(F426*G426,2)-H426)&lt;=0.01,1,0)</f>
        <v>1</v>
      </c>
      <c r="J426" s="0" t="n">
        <v>0</v>
      </c>
    </row>
    <row r="427" customFormat="false" ht="15" hidden="false" customHeight="false" outlineLevel="0" collapsed="false">
      <c r="A427" s="0" t="s">
        <v>184</v>
      </c>
      <c r="B427" s="0" t="s">
        <v>136</v>
      </c>
      <c r="C427" s="0" t="s">
        <v>185</v>
      </c>
      <c r="D427" s="0" t="s">
        <v>508</v>
      </c>
      <c r="E427" s="0" t="s">
        <v>587</v>
      </c>
      <c r="F427" s="0" t="n">
        <v>0.5</v>
      </c>
      <c r="G427" s="0" t="n">
        <v>6</v>
      </c>
      <c r="H427" s="0" t="n">
        <v>3</v>
      </c>
      <c r="I427" s="0" t="n">
        <f aca="false">IF(ABS(ROUND(F427*G427,2)-H427)&lt;=0.01,1,0)</f>
        <v>1</v>
      </c>
      <c r="J427" s="0" t="n">
        <v>0</v>
      </c>
    </row>
    <row r="428" customFormat="false" ht="15" hidden="false" customHeight="false" outlineLevel="0" collapsed="false">
      <c r="A428" s="0" t="s">
        <v>184</v>
      </c>
      <c r="B428" s="0" t="s">
        <v>136</v>
      </c>
      <c r="C428" s="0" t="s">
        <v>185</v>
      </c>
      <c r="D428" s="0" t="s">
        <v>508</v>
      </c>
      <c r="E428" s="0" t="s">
        <v>409</v>
      </c>
      <c r="F428" s="0" t="n">
        <v>0.5</v>
      </c>
      <c r="G428" s="0" t="n">
        <v>34</v>
      </c>
      <c r="H428" s="0" t="n">
        <v>17</v>
      </c>
      <c r="I428" s="0" t="n">
        <f aca="false">IF(ABS(ROUND(F428*G428,2)-H428)&lt;=0.01,1,0)</f>
        <v>1</v>
      </c>
      <c r="J428" s="0" t="n">
        <v>1</v>
      </c>
    </row>
    <row r="429" customFormat="false" ht="15" hidden="false" customHeight="false" outlineLevel="0" collapsed="false">
      <c r="A429" s="0" t="s">
        <v>184</v>
      </c>
      <c r="B429" s="0" t="s">
        <v>136</v>
      </c>
      <c r="C429" s="0" t="s">
        <v>185</v>
      </c>
      <c r="D429" s="0" t="s">
        <v>508</v>
      </c>
      <c r="E429" s="0" t="s">
        <v>351</v>
      </c>
      <c r="F429" s="0" t="n">
        <v>1</v>
      </c>
      <c r="G429" s="0" t="n">
        <v>18.6</v>
      </c>
      <c r="H429" s="0" t="n">
        <v>18.6</v>
      </c>
      <c r="I429" s="0" t="n">
        <f aca="false">IF(ABS(ROUND(F429*G429,2)-H429)&lt;=0.01,1,0)</f>
        <v>1</v>
      </c>
      <c r="J429" s="0" t="n">
        <v>0</v>
      </c>
    </row>
    <row r="430" customFormat="false" ht="15" hidden="false" customHeight="false" outlineLevel="0" collapsed="false">
      <c r="A430" s="0" t="s">
        <v>184</v>
      </c>
      <c r="B430" s="0" t="s">
        <v>136</v>
      </c>
      <c r="C430" s="0" t="s">
        <v>185</v>
      </c>
      <c r="D430" s="0" t="s">
        <v>508</v>
      </c>
      <c r="E430" s="0" t="s">
        <v>406</v>
      </c>
      <c r="F430" s="0" t="n">
        <v>0.5</v>
      </c>
      <c r="G430" s="0" t="n">
        <v>18.6</v>
      </c>
      <c r="H430" s="0" t="n">
        <v>9.3</v>
      </c>
      <c r="I430" s="0" t="n">
        <f aca="false">IF(ABS(ROUND(F430*G430,2)-H430)&lt;=0.01,1,0)</f>
        <v>1</v>
      </c>
      <c r="J430" s="0" t="n">
        <v>0</v>
      </c>
    </row>
    <row r="431" customFormat="false" ht="15" hidden="false" customHeight="false" outlineLevel="0" collapsed="false">
      <c r="A431" s="0" t="s">
        <v>184</v>
      </c>
      <c r="B431" s="0" t="s">
        <v>136</v>
      </c>
      <c r="C431" s="0" t="s">
        <v>185</v>
      </c>
      <c r="D431" s="0" t="s">
        <v>508</v>
      </c>
      <c r="E431" s="0" t="s">
        <v>636</v>
      </c>
      <c r="F431" s="0" t="n">
        <v>0.5</v>
      </c>
      <c r="G431" s="0" t="n">
        <v>19</v>
      </c>
      <c r="H431" s="0" t="n">
        <v>9.5</v>
      </c>
      <c r="I431" s="0" t="n">
        <f aca="false">IF(ABS(ROUND(F431*G431,2)-H431)&lt;=0.01,1,0)</f>
        <v>1</v>
      </c>
      <c r="J431" s="0" t="n">
        <v>0</v>
      </c>
    </row>
    <row r="432" customFormat="false" ht="15" hidden="false" customHeight="false" outlineLevel="0" collapsed="false">
      <c r="A432" s="0" t="s">
        <v>184</v>
      </c>
      <c r="B432" s="0" t="s">
        <v>136</v>
      </c>
      <c r="C432" s="0" t="s">
        <v>185</v>
      </c>
      <c r="D432" s="0" t="s">
        <v>508</v>
      </c>
      <c r="E432" s="0" t="s">
        <v>642</v>
      </c>
      <c r="F432" s="0" t="n">
        <v>0.5</v>
      </c>
      <c r="G432" s="0" t="n">
        <v>4.9</v>
      </c>
      <c r="H432" s="0" t="n">
        <v>2.45</v>
      </c>
      <c r="I432" s="0" t="n">
        <f aca="false">IF(ABS(ROUND(F432*G432,2)-H432)&lt;=0.01,1,0)</f>
        <v>1</v>
      </c>
      <c r="J432" s="0" t="n">
        <v>0</v>
      </c>
    </row>
    <row r="433" customFormat="false" ht="15" hidden="false" customHeight="false" outlineLevel="0" collapsed="false">
      <c r="A433" s="0" t="s">
        <v>184</v>
      </c>
      <c r="B433" s="0" t="s">
        <v>136</v>
      </c>
      <c r="C433" s="0" t="s">
        <v>185</v>
      </c>
      <c r="D433" s="0" t="s">
        <v>508</v>
      </c>
      <c r="E433" s="0" t="s">
        <v>366</v>
      </c>
      <c r="F433" s="0" t="n">
        <v>0.5</v>
      </c>
      <c r="G433" s="0" t="n">
        <v>2.2</v>
      </c>
      <c r="H433" s="0" t="n">
        <v>1.1</v>
      </c>
      <c r="I433" s="0" t="n">
        <f aca="false">IF(ABS(ROUND(F433*G433,2)-H433)&lt;=0.01,1,0)</f>
        <v>1</v>
      </c>
      <c r="J433" s="0" t="n">
        <v>1</v>
      </c>
    </row>
    <row r="434" customFormat="false" ht="15" hidden="false" customHeight="false" outlineLevel="0" collapsed="false">
      <c r="A434" s="0" t="s">
        <v>184</v>
      </c>
      <c r="B434" s="0" t="s">
        <v>136</v>
      </c>
      <c r="C434" s="0" t="s">
        <v>185</v>
      </c>
      <c r="D434" s="0" t="s">
        <v>499</v>
      </c>
      <c r="E434" s="0" t="s">
        <v>598</v>
      </c>
      <c r="F434" s="0" t="n">
        <v>1</v>
      </c>
      <c r="G434" s="0" t="n">
        <v>4.2</v>
      </c>
      <c r="H434" s="0" t="n">
        <v>4.2</v>
      </c>
      <c r="I434" s="0" t="n">
        <f aca="false">IF(ABS(ROUND(F434*G434,2)-H434)&lt;=0.01,1,0)</f>
        <v>1</v>
      </c>
      <c r="J434" s="0" t="n">
        <v>0</v>
      </c>
    </row>
    <row r="435" customFormat="false" ht="15" hidden="false" customHeight="false" outlineLevel="0" collapsed="false">
      <c r="A435" s="0" t="s">
        <v>184</v>
      </c>
      <c r="B435" s="0" t="s">
        <v>136</v>
      </c>
      <c r="C435" s="0" t="s">
        <v>185</v>
      </c>
      <c r="D435" s="0" t="s">
        <v>499</v>
      </c>
      <c r="E435" s="0" t="s">
        <v>641</v>
      </c>
      <c r="F435" s="0" t="n">
        <v>0.5</v>
      </c>
      <c r="G435" s="0" t="n">
        <v>3.9</v>
      </c>
      <c r="H435" s="0" t="n">
        <v>1.95</v>
      </c>
      <c r="I435" s="0" t="n">
        <f aca="false">IF(ABS(ROUND(F435*G435,2)-H435)&lt;=0.01,1,0)</f>
        <v>1</v>
      </c>
      <c r="J435" s="0" t="n">
        <v>0</v>
      </c>
    </row>
    <row r="436" customFormat="false" ht="15" hidden="false" customHeight="false" outlineLevel="0" collapsed="false">
      <c r="A436" s="0" t="s">
        <v>184</v>
      </c>
      <c r="B436" s="0" t="s">
        <v>136</v>
      </c>
      <c r="C436" s="0" t="s">
        <v>185</v>
      </c>
      <c r="D436" s="0" t="s">
        <v>499</v>
      </c>
      <c r="E436" s="0" t="s">
        <v>421</v>
      </c>
      <c r="F436" s="0" t="n">
        <v>0.5</v>
      </c>
      <c r="G436" s="0" t="n">
        <v>9</v>
      </c>
      <c r="H436" s="0" t="n">
        <v>4.5</v>
      </c>
      <c r="I436" s="0" t="n">
        <f aca="false">IF(ABS(ROUND(F436*G436,2)-H436)&lt;=0.01,1,0)</f>
        <v>1</v>
      </c>
      <c r="J436" s="0" t="n">
        <v>0</v>
      </c>
    </row>
    <row r="437" customFormat="false" ht="15" hidden="false" customHeight="false" outlineLevel="0" collapsed="false">
      <c r="A437" s="0" t="s">
        <v>184</v>
      </c>
      <c r="B437" s="0" t="s">
        <v>136</v>
      </c>
      <c r="C437" s="0" t="s">
        <v>185</v>
      </c>
      <c r="D437" s="0" t="s">
        <v>499</v>
      </c>
      <c r="E437" s="0" t="s">
        <v>587</v>
      </c>
      <c r="F437" s="0" t="n">
        <v>0.5</v>
      </c>
      <c r="G437" s="0" t="n">
        <v>6</v>
      </c>
      <c r="H437" s="0" t="n">
        <v>3</v>
      </c>
      <c r="I437" s="0" t="n">
        <f aca="false">IF(ABS(ROUND(F437*G437,2)-H437)&lt;=0.01,1,0)</f>
        <v>1</v>
      </c>
      <c r="J437" s="0" t="n">
        <v>0</v>
      </c>
    </row>
    <row r="438" customFormat="false" ht="15" hidden="false" customHeight="false" outlineLevel="0" collapsed="false">
      <c r="A438" s="0" t="s">
        <v>184</v>
      </c>
      <c r="B438" s="0" t="s">
        <v>136</v>
      </c>
      <c r="C438" s="0" t="s">
        <v>185</v>
      </c>
      <c r="D438" s="0" t="s">
        <v>499</v>
      </c>
      <c r="E438" s="0" t="s">
        <v>409</v>
      </c>
      <c r="F438" s="0" t="n">
        <v>0.5</v>
      </c>
      <c r="G438" s="0" t="n">
        <v>34</v>
      </c>
      <c r="H438" s="0" t="n">
        <v>17</v>
      </c>
      <c r="I438" s="0" t="n">
        <f aca="false">IF(ABS(ROUND(F438*G438,2)-H438)&lt;=0.01,1,0)</f>
        <v>1</v>
      </c>
      <c r="J438" s="0" t="n">
        <v>1</v>
      </c>
    </row>
    <row r="439" customFormat="false" ht="15" hidden="false" customHeight="false" outlineLevel="0" collapsed="false">
      <c r="A439" s="0" t="s">
        <v>184</v>
      </c>
      <c r="B439" s="0" t="s">
        <v>136</v>
      </c>
      <c r="C439" s="0" t="s">
        <v>185</v>
      </c>
      <c r="D439" s="0" t="s">
        <v>499</v>
      </c>
      <c r="E439" s="0" t="s">
        <v>351</v>
      </c>
      <c r="F439" s="0" t="n">
        <v>1</v>
      </c>
      <c r="G439" s="0" t="n">
        <v>18.6</v>
      </c>
      <c r="H439" s="0" t="n">
        <v>18.6</v>
      </c>
      <c r="I439" s="0" t="n">
        <f aca="false">IF(ABS(ROUND(F439*G439,2)-H439)&lt;=0.01,1,0)</f>
        <v>1</v>
      </c>
      <c r="J439" s="0" t="n">
        <v>0</v>
      </c>
    </row>
    <row r="440" customFormat="false" ht="15" hidden="false" customHeight="false" outlineLevel="0" collapsed="false">
      <c r="A440" s="0" t="s">
        <v>184</v>
      </c>
      <c r="B440" s="0" t="s">
        <v>136</v>
      </c>
      <c r="C440" s="0" t="s">
        <v>185</v>
      </c>
      <c r="D440" s="0" t="s">
        <v>499</v>
      </c>
      <c r="E440" s="0" t="s">
        <v>406</v>
      </c>
      <c r="F440" s="0" t="n">
        <v>0.5</v>
      </c>
      <c r="G440" s="0" t="n">
        <v>18.6</v>
      </c>
      <c r="H440" s="0" t="n">
        <v>9.3</v>
      </c>
      <c r="I440" s="0" t="n">
        <f aca="false">IF(ABS(ROUND(F440*G440,2)-H440)&lt;=0.01,1,0)</f>
        <v>1</v>
      </c>
      <c r="J440" s="0" t="n">
        <v>0</v>
      </c>
    </row>
    <row r="441" customFormat="false" ht="15" hidden="false" customHeight="false" outlineLevel="0" collapsed="false">
      <c r="A441" s="0" t="s">
        <v>184</v>
      </c>
      <c r="B441" s="0" t="s">
        <v>136</v>
      </c>
      <c r="C441" s="0" t="s">
        <v>185</v>
      </c>
      <c r="D441" s="0" t="s">
        <v>499</v>
      </c>
      <c r="E441" s="0" t="s">
        <v>636</v>
      </c>
      <c r="F441" s="0" t="n">
        <v>0.5</v>
      </c>
      <c r="G441" s="0" t="n">
        <v>19</v>
      </c>
      <c r="H441" s="0" t="n">
        <v>9.5</v>
      </c>
      <c r="I441" s="0" t="n">
        <f aca="false">IF(ABS(ROUND(F441*G441,2)-H441)&lt;=0.01,1,0)</f>
        <v>1</v>
      </c>
      <c r="J441" s="0" t="n">
        <v>0</v>
      </c>
    </row>
    <row r="442" customFormat="false" ht="15" hidden="false" customHeight="false" outlineLevel="0" collapsed="false">
      <c r="A442" s="0" t="s">
        <v>184</v>
      </c>
      <c r="B442" s="0" t="s">
        <v>136</v>
      </c>
      <c r="C442" s="0" t="s">
        <v>185</v>
      </c>
      <c r="D442" s="0" t="s">
        <v>499</v>
      </c>
      <c r="E442" s="0" t="s">
        <v>642</v>
      </c>
      <c r="F442" s="0" t="n">
        <v>0.5</v>
      </c>
      <c r="G442" s="0" t="n">
        <v>4.9</v>
      </c>
      <c r="H442" s="0" t="n">
        <v>2.45</v>
      </c>
      <c r="I442" s="0" t="n">
        <f aca="false">IF(ABS(ROUND(F442*G442,2)-H442)&lt;=0.01,1,0)</f>
        <v>1</v>
      </c>
      <c r="J442" s="0" t="n">
        <v>0</v>
      </c>
    </row>
    <row r="443" customFormat="false" ht="15" hidden="false" customHeight="false" outlineLevel="0" collapsed="false">
      <c r="A443" s="0" t="s">
        <v>184</v>
      </c>
      <c r="B443" s="0" t="s">
        <v>136</v>
      </c>
      <c r="C443" s="0" t="s">
        <v>185</v>
      </c>
      <c r="D443" s="0" t="s">
        <v>499</v>
      </c>
      <c r="E443" s="0" t="s">
        <v>366</v>
      </c>
      <c r="F443" s="0" t="n">
        <v>0.5</v>
      </c>
      <c r="G443" s="0" t="n">
        <v>2.2</v>
      </c>
      <c r="H443" s="0" t="n">
        <v>1.1</v>
      </c>
      <c r="I443" s="0" t="n">
        <f aca="false">IF(ABS(ROUND(F443*G443,2)-H443)&lt;=0.01,1,0)</f>
        <v>1</v>
      </c>
      <c r="J443" s="0" t="n">
        <v>1</v>
      </c>
    </row>
    <row r="444" customFormat="false" ht="15" hidden="false" customHeight="false" outlineLevel="0" collapsed="false">
      <c r="A444" s="0" t="s">
        <v>187</v>
      </c>
      <c r="B444" s="0" t="s">
        <v>136</v>
      </c>
      <c r="C444" s="0" t="s">
        <v>188</v>
      </c>
      <c r="D444" s="0" t="s">
        <v>541</v>
      </c>
      <c r="E444" s="0" t="s">
        <v>621</v>
      </c>
      <c r="F444" s="0" t="n">
        <v>0.5</v>
      </c>
      <c r="G444" s="0" t="n">
        <v>6.9</v>
      </c>
      <c r="H444" s="0" t="n">
        <v>3.45</v>
      </c>
      <c r="I444" s="0" t="n">
        <f aca="false">IF(ABS(ROUND(F444*G444,2)-H444)&lt;=0.01,1,0)</f>
        <v>1</v>
      </c>
      <c r="J444" s="0" t="n">
        <v>0</v>
      </c>
    </row>
    <row r="445" customFormat="false" ht="15" hidden="false" customHeight="false" outlineLevel="0" collapsed="false">
      <c r="A445" s="0" t="s">
        <v>187</v>
      </c>
      <c r="B445" s="0" t="s">
        <v>136</v>
      </c>
      <c r="C445" s="0" t="s">
        <v>188</v>
      </c>
      <c r="D445" s="0" t="s">
        <v>541</v>
      </c>
      <c r="E445" s="0" t="s">
        <v>415</v>
      </c>
      <c r="F445" s="0" t="n">
        <v>0.5</v>
      </c>
      <c r="G445" s="0" t="n">
        <v>4.2</v>
      </c>
      <c r="H445" s="0" t="n">
        <v>2.1</v>
      </c>
      <c r="I445" s="0" t="n">
        <f aca="false">IF(ABS(ROUND(F445*G445,2)-H445)&lt;=0.01,1,0)</f>
        <v>1</v>
      </c>
      <c r="J445" s="0" t="n">
        <v>1</v>
      </c>
    </row>
    <row r="446" customFormat="false" ht="15" hidden="false" customHeight="false" outlineLevel="0" collapsed="false">
      <c r="A446" s="0" t="s">
        <v>187</v>
      </c>
      <c r="B446" s="0" t="s">
        <v>136</v>
      </c>
      <c r="C446" s="0" t="s">
        <v>188</v>
      </c>
      <c r="D446" s="0" t="s">
        <v>541</v>
      </c>
      <c r="E446" s="0" t="s">
        <v>586</v>
      </c>
      <c r="F446" s="0" t="n">
        <v>0.5</v>
      </c>
      <c r="G446" s="0" t="n">
        <v>6.9</v>
      </c>
      <c r="H446" s="0" t="n">
        <v>3.45</v>
      </c>
      <c r="I446" s="0" t="n">
        <f aca="false">IF(ABS(ROUND(F446*G446,2)-H446)&lt;=0.01,1,0)</f>
        <v>1</v>
      </c>
      <c r="J446" s="0" t="n">
        <v>0</v>
      </c>
    </row>
    <row r="447" customFormat="false" ht="15" hidden="false" customHeight="false" outlineLevel="0" collapsed="false">
      <c r="A447" s="0" t="s">
        <v>187</v>
      </c>
      <c r="B447" s="0" t="s">
        <v>136</v>
      </c>
      <c r="C447" s="0" t="s">
        <v>188</v>
      </c>
      <c r="D447" s="0" t="s">
        <v>541</v>
      </c>
      <c r="E447" s="0" t="s">
        <v>655</v>
      </c>
      <c r="F447" s="0" t="n">
        <v>0.5</v>
      </c>
      <c r="G447" s="0" t="n">
        <v>4.9</v>
      </c>
      <c r="H447" s="0" t="n">
        <v>2.45</v>
      </c>
      <c r="I447" s="0" t="n">
        <f aca="false">IF(ABS(ROUND(F447*G447,2)-H447)&lt;=0.01,1,0)</f>
        <v>1</v>
      </c>
      <c r="J447" s="0" t="n">
        <v>0</v>
      </c>
    </row>
    <row r="448" customFormat="false" ht="15" hidden="false" customHeight="false" outlineLevel="0" collapsed="false">
      <c r="A448" s="0" t="s">
        <v>187</v>
      </c>
      <c r="B448" s="0" t="s">
        <v>136</v>
      </c>
      <c r="C448" s="0" t="s">
        <v>188</v>
      </c>
      <c r="D448" s="0" t="s">
        <v>541</v>
      </c>
      <c r="E448" s="0" t="s">
        <v>605</v>
      </c>
      <c r="F448" s="0" t="n">
        <v>0.5</v>
      </c>
      <c r="G448" s="0" t="n">
        <v>18.6</v>
      </c>
      <c r="H448" s="0" t="n">
        <v>9.3</v>
      </c>
      <c r="I448" s="0" t="n">
        <f aca="false">IF(ABS(ROUND(F448*G448,2)-H448)&lt;=0.01,1,0)</f>
        <v>1</v>
      </c>
      <c r="J448" s="0" t="n">
        <v>0</v>
      </c>
    </row>
    <row r="449" customFormat="false" ht="15" hidden="false" customHeight="false" outlineLevel="0" collapsed="false">
      <c r="A449" s="0" t="s">
        <v>187</v>
      </c>
      <c r="B449" s="0" t="s">
        <v>136</v>
      </c>
      <c r="C449" s="0" t="s">
        <v>188</v>
      </c>
      <c r="D449" s="0" t="s">
        <v>541</v>
      </c>
      <c r="E449" s="0" t="s">
        <v>441</v>
      </c>
      <c r="F449" s="0" t="n">
        <v>0.5</v>
      </c>
      <c r="G449" s="0" t="n">
        <v>19.9</v>
      </c>
      <c r="H449" s="0" t="n">
        <v>9.95</v>
      </c>
      <c r="I449" s="0" t="n">
        <f aca="false">IF(ABS(ROUND(F449*G449,2)-H449)&lt;=0.01,1,0)</f>
        <v>1</v>
      </c>
      <c r="J449" s="0" t="n">
        <v>0</v>
      </c>
    </row>
    <row r="450" customFormat="false" ht="15" hidden="false" customHeight="false" outlineLevel="0" collapsed="false">
      <c r="A450" s="0" t="s">
        <v>187</v>
      </c>
      <c r="B450" s="0" t="s">
        <v>136</v>
      </c>
      <c r="C450" s="0" t="s">
        <v>188</v>
      </c>
      <c r="D450" s="0" t="s">
        <v>541</v>
      </c>
      <c r="E450" s="0" t="s">
        <v>353</v>
      </c>
      <c r="F450" s="0" t="n">
        <v>0.5</v>
      </c>
      <c r="G450" s="0" t="n">
        <v>3.8</v>
      </c>
      <c r="H450" s="0" t="n">
        <v>1.9</v>
      </c>
      <c r="I450" s="0" t="n">
        <f aca="false">IF(ABS(ROUND(F450*G450,2)-H450)&lt;=0.01,1,0)</f>
        <v>1</v>
      </c>
      <c r="J450" s="0" t="n">
        <v>0</v>
      </c>
    </row>
    <row r="451" customFormat="false" ht="15" hidden="false" customHeight="false" outlineLevel="0" collapsed="false">
      <c r="A451" s="0" t="s">
        <v>187</v>
      </c>
      <c r="B451" s="0" t="s">
        <v>136</v>
      </c>
      <c r="C451" s="0" t="s">
        <v>188</v>
      </c>
      <c r="D451" s="0" t="s">
        <v>541</v>
      </c>
      <c r="E451" s="0" t="s">
        <v>656</v>
      </c>
      <c r="F451" s="0" t="n">
        <v>0.5</v>
      </c>
      <c r="G451" s="0" t="n">
        <v>0.9</v>
      </c>
      <c r="H451" s="0" t="n">
        <v>0.45</v>
      </c>
      <c r="I451" s="0" t="n">
        <f aca="false">IF(ABS(ROUND(F451*G451,2)-H451)&lt;=0.01,1,0)</f>
        <v>1</v>
      </c>
      <c r="J451" s="0" t="n">
        <v>0</v>
      </c>
    </row>
    <row r="452" customFormat="false" ht="15" hidden="false" customHeight="false" outlineLevel="0" collapsed="false">
      <c r="A452" s="0" t="s">
        <v>187</v>
      </c>
      <c r="B452" s="0" t="s">
        <v>136</v>
      </c>
      <c r="C452" s="0" t="s">
        <v>188</v>
      </c>
      <c r="D452" s="0" t="s">
        <v>541</v>
      </c>
      <c r="E452" s="0" t="s">
        <v>591</v>
      </c>
      <c r="F452" s="0" t="n">
        <v>1</v>
      </c>
      <c r="G452" s="0" t="n">
        <v>3.9</v>
      </c>
      <c r="H452" s="0" t="n">
        <v>3.9</v>
      </c>
      <c r="I452" s="0" t="n">
        <f aca="false">IF(ABS(ROUND(F452*G452,2)-H452)&lt;=0.01,1,0)</f>
        <v>1</v>
      </c>
      <c r="J452" s="0" t="n">
        <v>0</v>
      </c>
    </row>
    <row r="453" customFormat="false" ht="15" hidden="false" customHeight="false" outlineLevel="0" collapsed="false">
      <c r="A453" s="0" t="s">
        <v>187</v>
      </c>
      <c r="B453" s="0" t="s">
        <v>136</v>
      </c>
      <c r="C453" s="0" t="s">
        <v>188</v>
      </c>
      <c r="D453" s="0" t="s">
        <v>541</v>
      </c>
      <c r="E453" s="0" t="s">
        <v>413</v>
      </c>
      <c r="F453" s="0" t="n">
        <v>1</v>
      </c>
      <c r="G453" s="0" t="n">
        <v>4</v>
      </c>
      <c r="H453" s="0" t="n">
        <v>4</v>
      </c>
      <c r="I453" s="0" t="n">
        <f aca="false">IF(ABS(ROUND(F453*G453,2)-H453)&lt;=0.01,1,0)</f>
        <v>1</v>
      </c>
      <c r="J453" s="0" t="n">
        <v>0</v>
      </c>
    </row>
    <row r="454" customFormat="false" ht="15" hidden="false" customHeight="false" outlineLevel="0" collapsed="false">
      <c r="A454" s="0" t="s">
        <v>187</v>
      </c>
      <c r="B454" s="0" t="s">
        <v>136</v>
      </c>
      <c r="C454" s="0" t="s">
        <v>188</v>
      </c>
      <c r="D454" s="0" t="s">
        <v>541</v>
      </c>
      <c r="E454" s="0" t="s">
        <v>463</v>
      </c>
      <c r="F454" s="0" t="n">
        <v>0.5</v>
      </c>
      <c r="G454" s="0" t="n">
        <v>7.9</v>
      </c>
      <c r="H454" s="0" t="n">
        <v>3.95</v>
      </c>
      <c r="I454" s="0" t="n">
        <f aca="false">IF(ABS(ROUND(F454*G454,2)-H454)&lt;=0.01,1,0)</f>
        <v>1</v>
      </c>
      <c r="J454" s="0" t="n">
        <v>0</v>
      </c>
    </row>
    <row r="455" customFormat="false" ht="15" hidden="false" customHeight="false" outlineLevel="0" collapsed="false">
      <c r="A455" s="0" t="s">
        <v>187</v>
      </c>
      <c r="B455" s="0" t="s">
        <v>136</v>
      </c>
      <c r="C455" s="0" t="s">
        <v>188</v>
      </c>
      <c r="D455" s="0" t="s">
        <v>541</v>
      </c>
      <c r="E455" s="0" t="s">
        <v>657</v>
      </c>
      <c r="F455" s="0" t="n">
        <v>1</v>
      </c>
      <c r="G455" s="0" t="n">
        <v>1.4</v>
      </c>
      <c r="H455" s="0" t="n">
        <v>1.4</v>
      </c>
      <c r="I455" s="0" t="n">
        <f aca="false">IF(ABS(ROUND(F455*G455,2)-H455)&lt;=0.01,1,0)</f>
        <v>1</v>
      </c>
      <c r="J455" s="0" t="n">
        <v>0</v>
      </c>
    </row>
    <row r="456" customFormat="false" ht="15" hidden="false" customHeight="false" outlineLevel="0" collapsed="false">
      <c r="A456" s="0" t="s">
        <v>187</v>
      </c>
      <c r="B456" s="0" t="s">
        <v>136</v>
      </c>
      <c r="C456" s="0" t="s">
        <v>188</v>
      </c>
      <c r="D456" s="0" t="s">
        <v>541</v>
      </c>
      <c r="E456" s="0" t="s">
        <v>432</v>
      </c>
      <c r="F456" s="0" t="n">
        <v>0.5</v>
      </c>
      <c r="G456" s="0" t="n">
        <v>2.9</v>
      </c>
      <c r="H456" s="0" t="n">
        <v>1.45</v>
      </c>
      <c r="I456" s="0" t="n">
        <f aca="false">IF(ABS(ROUND(F456*G456,2)-H456)&lt;=0.01,1,0)</f>
        <v>1</v>
      </c>
      <c r="J456" s="0" t="n">
        <v>0</v>
      </c>
    </row>
    <row r="457" customFormat="false" ht="15" hidden="false" customHeight="false" outlineLevel="0" collapsed="false">
      <c r="A457" s="0" t="s">
        <v>187</v>
      </c>
      <c r="B457" s="0" t="s">
        <v>136</v>
      </c>
      <c r="C457" s="0" t="s">
        <v>188</v>
      </c>
      <c r="D457" s="0" t="s">
        <v>541</v>
      </c>
      <c r="E457" s="0" t="s">
        <v>658</v>
      </c>
      <c r="F457" s="0" t="n">
        <v>0.5</v>
      </c>
      <c r="G457" s="0" t="n">
        <v>3.9</v>
      </c>
      <c r="H457" s="0" t="n">
        <v>1.95</v>
      </c>
      <c r="I457" s="0" t="n">
        <f aca="false">IF(ABS(ROUND(F457*G457,2)-H457)&lt;=0.01,1,0)</f>
        <v>1</v>
      </c>
      <c r="J457" s="0" t="n">
        <v>1</v>
      </c>
    </row>
    <row r="458" customFormat="false" ht="15" hidden="false" customHeight="false" outlineLevel="0" collapsed="false">
      <c r="A458" s="0" t="s">
        <v>187</v>
      </c>
      <c r="B458" s="0" t="s">
        <v>136</v>
      </c>
      <c r="C458" s="0" t="s">
        <v>188</v>
      </c>
      <c r="D458" s="0" t="s">
        <v>541</v>
      </c>
      <c r="E458" s="0" t="s">
        <v>374</v>
      </c>
      <c r="F458" s="0" t="n">
        <v>1</v>
      </c>
      <c r="G458" s="0" t="n">
        <v>3.5</v>
      </c>
      <c r="H458" s="0" t="n">
        <v>3.5</v>
      </c>
      <c r="I458" s="0" t="n">
        <f aca="false">IF(ABS(ROUND(F458*G458,2)-H458)&lt;=0.01,1,0)</f>
        <v>1</v>
      </c>
      <c r="J458" s="0" t="n">
        <v>0</v>
      </c>
    </row>
    <row r="459" customFormat="false" ht="15" hidden="false" customHeight="false" outlineLevel="0" collapsed="false">
      <c r="A459" s="0" t="s">
        <v>187</v>
      </c>
      <c r="B459" s="0" t="s">
        <v>136</v>
      </c>
      <c r="C459" s="0" t="s">
        <v>188</v>
      </c>
      <c r="D459" s="0" t="s">
        <v>542</v>
      </c>
      <c r="E459" s="0" t="s">
        <v>621</v>
      </c>
      <c r="F459" s="0" t="n">
        <v>0.25</v>
      </c>
      <c r="G459" s="0" t="n">
        <v>6.9</v>
      </c>
      <c r="H459" s="0" t="n">
        <v>1.73</v>
      </c>
      <c r="I459" s="0" t="n">
        <f aca="false">IF(ABS(ROUND(F459*G459,2)-H459)&lt;=0.01,1,0)</f>
        <v>1</v>
      </c>
      <c r="J459" s="0" t="n">
        <v>0</v>
      </c>
    </row>
    <row r="460" customFormat="false" ht="15" hidden="false" customHeight="false" outlineLevel="0" collapsed="false">
      <c r="A460" s="0" t="s">
        <v>187</v>
      </c>
      <c r="B460" s="0" t="s">
        <v>136</v>
      </c>
      <c r="C460" s="0" t="s">
        <v>188</v>
      </c>
      <c r="D460" s="0" t="s">
        <v>542</v>
      </c>
      <c r="E460" s="0" t="s">
        <v>415</v>
      </c>
      <c r="F460" s="0" t="n">
        <v>0.25</v>
      </c>
      <c r="G460" s="0" t="n">
        <v>4.2</v>
      </c>
      <c r="H460" s="0" t="n">
        <v>1.05</v>
      </c>
      <c r="I460" s="0" t="n">
        <f aca="false">IF(ABS(ROUND(F460*G460,2)-H460)&lt;=0.01,1,0)</f>
        <v>1</v>
      </c>
      <c r="J460" s="0" t="n">
        <v>1</v>
      </c>
    </row>
    <row r="461" customFormat="false" ht="15" hidden="false" customHeight="false" outlineLevel="0" collapsed="false">
      <c r="A461" s="0" t="s">
        <v>187</v>
      </c>
      <c r="B461" s="0" t="s">
        <v>136</v>
      </c>
      <c r="C461" s="0" t="s">
        <v>188</v>
      </c>
      <c r="D461" s="0" t="s">
        <v>542</v>
      </c>
      <c r="E461" s="0" t="s">
        <v>586</v>
      </c>
      <c r="F461" s="0" t="n">
        <v>0.25</v>
      </c>
      <c r="G461" s="0" t="n">
        <v>6.9</v>
      </c>
      <c r="H461" s="0" t="n">
        <v>1.73</v>
      </c>
      <c r="I461" s="0" t="n">
        <f aca="false">IF(ABS(ROUND(F461*G461,2)-H461)&lt;=0.01,1,0)</f>
        <v>1</v>
      </c>
      <c r="J461" s="0" t="n">
        <v>0</v>
      </c>
    </row>
    <row r="462" customFormat="false" ht="15" hidden="false" customHeight="false" outlineLevel="0" collapsed="false">
      <c r="A462" s="0" t="s">
        <v>187</v>
      </c>
      <c r="B462" s="0" t="s">
        <v>136</v>
      </c>
      <c r="C462" s="0" t="s">
        <v>188</v>
      </c>
      <c r="D462" s="0" t="s">
        <v>542</v>
      </c>
      <c r="E462" s="0" t="s">
        <v>655</v>
      </c>
      <c r="F462" s="0" t="n">
        <v>0.25</v>
      </c>
      <c r="G462" s="0" t="n">
        <v>4.9</v>
      </c>
      <c r="H462" s="0" t="n">
        <v>1.23</v>
      </c>
      <c r="I462" s="0" t="n">
        <f aca="false">IF(ABS(ROUND(F462*G462,2)-H462)&lt;=0.01,1,0)</f>
        <v>1</v>
      </c>
      <c r="J462" s="0" t="n">
        <v>0</v>
      </c>
    </row>
    <row r="463" customFormat="false" ht="15" hidden="false" customHeight="false" outlineLevel="0" collapsed="false">
      <c r="A463" s="0" t="s">
        <v>187</v>
      </c>
      <c r="B463" s="0" t="s">
        <v>136</v>
      </c>
      <c r="C463" s="0" t="s">
        <v>188</v>
      </c>
      <c r="D463" s="0" t="s">
        <v>542</v>
      </c>
      <c r="E463" s="0" t="s">
        <v>605</v>
      </c>
      <c r="F463" s="0" t="n">
        <v>0.25</v>
      </c>
      <c r="G463" s="0" t="n">
        <v>18.6</v>
      </c>
      <c r="H463" s="0" t="n">
        <v>4.65</v>
      </c>
      <c r="I463" s="0" t="n">
        <f aca="false">IF(ABS(ROUND(F463*G463,2)-H463)&lt;=0.01,1,0)</f>
        <v>1</v>
      </c>
      <c r="J463" s="0" t="n">
        <v>0</v>
      </c>
    </row>
    <row r="464" customFormat="false" ht="15" hidden="false" customHeight="false" outlineLevel="0" collapsed="false">
      <c r="A464" s="0" t="s">
        <v>187</v>
      </c>
      <c r="B464" s="0" t="s">
        <v>136</v>
      </c>
      <c r="C464" s="0" t="s">
        <v>188</v>
      </c>
      <c r="D464" s="0" t="s">
        <v>542</v>
      </c>
      <c r="E464" s="0" t="s">
        <v>441</v>
      </c>
      <c r="F464" s="0" t="n">
        <v>0.25</v>
      </c>
      <c r="G464" s="0" t="n">
        <v>19.9</v>
      </c>
      <c r="H464" s="0" t="n">
        <v>4.97</v>
      </c>
      <c r="I464" s="0" t="n">
        <f aca="false">IF(ABS(ROUND(F464*G464,2)-H464)&lt;=0.01,1,0)</f>
        <v>0</v>
      </c>
      <c r="J464" s="0" t="n">
        <v>0</v>
      </c>
    </row>
    <row r="465" customFormat="false" ht="15" hidden="false" customHeight="false" outlineLevel="0" collapsed="false">
      <c r="A465" s="0" t="s">
        <v>187</v>
      </c>
      <c r="B465" s="0" t="s">
        <v>136</v>
      </c>
      <c r="C465" s="0" t="s">
        <v>188</v>
      </c>
      <c r="D465" s="0" t="s">
        <v>542</v>
      </c>
      <c r="E465" s="0" t="s">
        <v>353</v>
      </c>
      <c r="F465" s="0" t="n">
        <v>0.25</v>
      </c>
      <c r="G465" s="0" t="n">
        <v>3.8</v>
      </c>
      <c r="H465" s="0" t="n">
        <v>0.95</v>
      </c>
      <c r="I465" s="0" t="n">
        <f aca="false">IF(ABS(ROUND(F465*G465,2)-H465)&lt;=0.01,1,0)</f>
        <v>1</v>
      </c>
      <c r="J465" s="0" t="n">
        <v>0</v>
      </c>
    </row>
    <row r="466" customFormat="false" ht="15" hidden="false" customHeight="false" outlineLevel="0" collapsed="false">
      <c r="A466" s="0" t="s">
        <v>187</v>
      </c>
      <c r="B466" s="0" t="s">
        <v>136</v>
      </c>
      <c r="C466" s="0" t="s">
        <v>188</v>
      </c>
      <c r="D466" s="0" t="s">
        <v>542</v>
      </c>
      <c r="E466" s="0" t="s">
        <v>656</v>
      </c>
      <c r="F466" s="0" t="n">
        <v>0.25</v>
      </c>
      <c r="G466" s="0" t="n">
        <v>0.9</v>
      </c>
      <c r="H466" s="0" t="n">
        <v>0.23</v>
      </c>
      <c r="I466" s="0" t="n">
        <f aca="false">IF(ABS(ROUND(F466*G466,2)-H466)&lt;=0.01,1,0)</f>
        <v>1</v>
      </c>
      <c r="J466" s="0" t="n">
        <v>0</v>
      </c>
    </row>
    <row r="467" customFormat="false" ht="15" hidden="false" customHeight="false" outlineLevel="0" collapsed="false">
      <c r="A467" s="0" t="s">
        <v>187</v>
      </c>
      <c r="B467" s="0" t="s">
        <v>136</v>
      </c>
      <c r="C467" s="0" t="s">
        <v>188</v>
      </c>
      <c r="D467" s="0" t="s">
        <v>542</v>
      </c>
      <c r="E467" s="0" t="s">
        <v>591</v>
      </c>
      <c r="F467" s="0" t="n">
        <v>0.5</v>
      </c>
      <c r="G467" s="0" t="n">
        <v>3.9</v>
      </c>
      <c r="H467" s="0" t="n">
        <v>1.95</v>
      </c>
      <c r="I467" s="0" t="n">
        <f aca="false">IF(ABS(ROUND(F467*G467,2)-H467)&lt;=0.01,1,0)</f>
        <v>1</v>
      </c>
      <c r="J467" s="0" t="n">
        <v>1</v>
      </c>
    </row>
    <row r="468" customFormat="false" ht="15" hidden="false" customHeight="false" outlineLevel="0" collapsed="false">
      <c r="A468" s="0" t="s">
        <v>187</v>
      </c>
      <c r="B468" s="0" t="s">
        <v>136</v>
      </c>
      <c r="C468" s="0" t="s">
        <v>188</v>
      </c>
      <c r="D468" s="0" t="s">
        <v>542</v>
      </c>
      <c r="E468" s="0" t="s">
        <v>413</v>
      </c>
      <c r="F468" s="0" t="n">
        <v>0.5</v>
      </c>
      <c r="G468" s="0" t="n">
        <v>4</v>
      </c>
      <c r="H468" s="0" t="n">
        <v>2</v>
      </c>
      <c r="I468" s="0" t="n">
        <f aca="false">IF(ABS(ROUND(F468*G468,2)-H468)&lt;=0.01,1,0)</f>
        <v>1</v>
      </c>
      <c r="J468" s="0" t="n">
        <v>1</v>
      </c>
    </row>
    <row r="469" customFormat="false" ht="15" hidden="false" customHeight="false" outlineLevel="0" collapsed="false">
      <c r="A469" s="0" t="s">
        <v>187</v>
      </c>
      <c r="B469" s="0" t="s">
        <v>136</v>
      </c>
      <c r="C469" s="0" t="s">
        <v>188</v>
      </c>
      <c r="D469" s="0" t="s">
        <v>542</v>
      </c>
      <c r="E469" s="0" t="s">
        <v>463</v>
      </c>
      <c r="F469" s="0" t="n">
        <v>0.25</v>
      </c>
      <c r="G469" s="0" t="n">
        <v>7.9</v>
      </c>
      <c r="H469" s="0" t="n">
        <v>1.98</v>
      </c>
      <c r="I469" s="0" t="n">
        <f aca="false">IF(ABS(ROUND(F469*G469,2)-H469)&lt;=0.01,1,0)</f>
        <v>1</v>
      </c>
      <c r="J469" s="0" t="n">
        <v>0</v>
      </c>
    </row>
    <row r="470" customFormat="false" ht="15" hidden="false" customHeight="false" outlineLevel="0" collapsed="false">
      <c r="A470" s="0" t="s">
        <v>187</v>
      </c>
      <c r="B470" s="0" t="s">
        <v>136</v>
      </c>
      <c r="C470" s="0" t="s">
        <v>188</v>
      </c>
      <c r="D470" s="0" t="s">
        <v>542</v>
      </c>
      <c r="E470" s="0" t="s">
        <v>657</v>
      </c>
      <c r="F470" s="0" t="n">
        <v>0.5</v>
      </c>
      <c r="G470" s="0" t="n">
        <v>1.4</v>
      </c>
      <c r="H470" s="0" t="n">
        <v>0.7</v>
      </c>
      <c r="I470" s="0" t="n">
        <f aca="false">IF(ABS(ROUND(F470*G470,2)-H470)&lt;=0.01,1,0)</f>
        <v>1</v>
      </c>
      <c r="J470" s="0" t="n">
        <v>0</v>
      </c>
    </row>
    <row r="471" customFormat="false" ht="15" hidden="false" customHeight="false" outlineLevel="0" collapsed="false">
      <c r="A471" s="0" t="s">
        <v>187</v>
      </c>
      <c r="B471" s="0" t="s">
        <v>136</v>
      </c>
      <c r="C471" s="0" t="s">
        <v>188</v>
      </c>
      <c r="D471" s="0" t="s">
        <v>542</v>
      </c>
      <c r="E471" s="0" t="s">
        <v>432</v>
      </c>
      <c r="F471" s="0" t="n">
        <v>0.25</v>
      </c>
      <c r="G471" s="0" t="n">
        <v>2.9</v>
      </c>
      <c r="H471" s="0" t="n">
        <v>0.72</v>
      </c>
      <c r="I471" s="0" t="n">
        <f aca="false">IF(ABS(ROUND(F471*G471,2)-H471)&lt;=0.01,1,0)</f>
        <v>1</v>
      </c>
      <c r="J471" s="0" t="n">
        <v>0</v>
      </c>
    </row>
    <row r="472" customFormat="false" ht="15" hidden="false" customHeight="false" outlineLevel="0" collapsed="false">
      <c r="A472" s="0" t="s">
        <v>187</v>
      </c>
      <c r="B472" s="0" t="s">
        <v>136</v>
      </c>
      <c r="C472" s="0" t="s">
        <v>188</v>
      </c>
      <c r="D472" s="0" t="s">
        <v>542</v>
      </c>
      <c r="E472" s="0" t="s">
        <v>658</v>
      </c>
      <c r="F472" s="0" t="n">
        <v>0.25</v>
      </c>
      <c r="G472" s="0" t="n">
        <v>3.9</v>
      </c>
      <c r="H472" s="0" t="n">
        <v>0.97</v>
      </c>
      <c r="I472" s="0" t="n">
        <f aca="false">IF(ABS(ROUND(F472*G472,2)-H472)&lt;=0.01,1,0)</f>
        <v>1</v>
      </c>
      <c r="J472" s="0" t="n">
        <v>1</v>
      </c>
    </row>
    <row r="473" customFormat="false" ht="15" hidden="false" customHeight="false" outlineLevel="0" collapsed="false">
      <c r="A473" s="0" t="s">
        <v>187</v>
      </c>
      <c r="B473" s="0" t="s">
        <v>136</v>
      </c>
      <c r="C473" s="0" t="s">
        <v>188</v>
      </c>
      <c r="D473" s="0" t="s">
        <v>542</v>
      </c>
      <c r="E473" s="0" t="s">
        <v>374</v>
      </c>
      <c r="F473" s="0" t="n">
        <v>0.5</v>
      </c>
      <c r="G473" s="0" t="n">
        <v>3.5</v>
      </c>
      <c r="H473" s="0" t="n">
        <v>1.75</v>
      </c>
      <c r="I473" s="0" t="n">
        <f aca="false">IF(ABS(ROUND(F473*G473,2)-H473)&lt;=0.01,1,0)</f>
        <v>1</v>
      </c>
      <c r="J473" s="0" t="n">
        <v>0</v>
      </c>
    </row>
    <row r="474" customFormat="false" ht="15" hidden="false" customHeight="false" outlineLevel="0" collapsed="false">
      <c r="A474" s="0" t="s">
        <v>187</v>
      </c>
      <c r="B474" s="0" t="s">
        <v>136</v>
      </c>
      <c r="C474" s="0" t="s">
        <v>188</v>
      </c>
      <c r="D474" s="0" t="s">
        <v>544</v>
      </c>
      <c r="E474" s="0" t="s">
        <v>621</v>
      </c>
      <c r="F474" s="0" t="n">
        <v>0.25</v>
      </c>
      <c r="G474" s="0" t="n">
        <v>6.9</v>
      </c>
      <c r="H474" s="0" t="n">
        <v>1.73</v>
      </c>
      <c r="I474" s="0" t="n">
        <f aca="false">IF(ABS(ROUND(F474*G474,2)-H474)&lt;=0.01,1,0)</f>
        <v>1</v>
      </c>
      <c r="J474" s="0" t="n">
        <v>0</v>
      </c>
    </row>
    <row r="475" customFormat="false" ht="15" hidden="false" customHeight="false" outlineLevel="0" collapsed="false">
      <c r="A475" s="0" t="s">
        <v>187</v>
      </c>
      <c r="B475" s="0" t="s">
        <v>136</v>
      </c>
      <c r="C475" s="0" t="s">
        <v>188</v>
      </c>
      <c r="D475" s="0" t="s">
        <v>544</v>
      </c>
      <c r="E475" s="0" t="s">
        <v>415</v>
      </c>
      <c r="F475" s="0" t="n">
        <v>0.25</v>
      </c>
      <c r="G475" s="0" t="n">
        <v>4.2</v>
      </c>
      <c r="H475" s="0" t="n">
        <v>1.05</v>
      </c>
      <c r="I475" s="0" t="n">
        <f aca="false">IF(ABS(ROUND(F475*G475,2)-H475)&lt;=0.01,1,0)</f>
        <v>1</v>
      </c>
      <c r="J475" s="0" t="n">
        <v>1</v>
      </c>
    </row>
    <row r="476" customFormat="false" ht="15" hidden="false" customHeight="false" outlineLevel="0" collapsed="false">
      <c r="A476" s="0" t="s">
        <v>187</v>
      </c>
      <c r="B476" s="0" t="s">
        <v>136</v>
      </c>
      <c r="C476" s="0" t="s">
        <v>188</v>
      </c>
      <c r="D476" s="0" t="s">
        <v>544</v>
      </c>
      <c r="E476" s="0" t="s">
        <v>586</v>
      </c>
      <c r="F476" s="0" t="n">
        <v>0.25</v>
      </c>
      <c r="G476" s="0" t="n">
        <v>6.9</v>
      </c>
      <c r="H476" s="0" t="n">
        <v>1.73</v>
      </c>
      <c r="I476" s="0" t="n">
        <f aca="false">IF(ABS(ROUND(F476*G476,2)-H476)&lt;=0.01,1,0)</f>
        <v>1</v>
      </c>
      <c r="J476" s="0" t="n">
        <v>0</v>
      </c>
    </row>
    <row r="477" customFormat="false" ht="15" hidden="false" customHeight="false" outlineLevel="0" collapsed="false">
      <c r="A477" s="0" t="s">
        <v>187</v>
      </c>
      <c r="B477" s="0" t="s">
        <v>136</v>
      </c>
      <c r="C477" s="0" t="s">
        <v>188</v>
      </c>
      <c r="D477" s="0" t="s">
        <v>544</v>
      </c>
      <c r="E477" s="0" t="s">
        <v>655</v>
      </c>
      <c r="F477" s="0" t="n">
        <v>0.25</v>
      </c>
      <c r="G477" s="0" t="n">
        <v>4.9</v>
      </c>
      <c r="H477" s="0" t="n">
        <v>1.23</v>
      </c>
      <c r="I477" s="0" t="n">
        <f aca="false">IF(ABS(ROUND(F477*G477,2)-H477)&lt;=0.01,1,0)</f>
        <v>1</v>
      </c>
      <c r="J477" s="0" t="n">
        <v>0</v>
      </c>
    </row>
    <row r="478" customFormat="false" ht="15" hidden="false" customHeight="false" outlineLevel="0" collapsed="false">
      <c r="A478" s="0" t="s">
        <v>187</v>
      </c>
      <c r="B478" s="0" t="s">
        <v>136</v>
      </c>
      <c r="C478" s="0" t="s">
        <v>188</v>
      </c>
      <c r="D478" s="0" t="s">
        <v>544</v>
      </c>
      <c r="E478" s="0" t="s">
        <v>605</v>
      </c>
      <c r="F478" s="0" t="n">
        <v>0.25</v>
      </c>
      <c r="G478" s="0" t="n">
        <v>18.6</v>
      </c>
      <c r="H478" s="0" t="n">
        <v>4.65</v>
      </c>
      <c r="I478" s="0" t="n">
        <f aca="false">IF(ABS(ROUND(F478*G478,2)-H478)&lt;=0.01,1,0)</f>
        <v>1</v>
      </c>
      <c r="J478" s="0" t="n">
        <v>0</v>
      </c>
    </row>
    <row r="479" customFormat="false" ht="15" hidden="false" customHeight="false" outlineLevel="0" collapsed="false">
      <c r="A479" s="0" t="s">
        <v>187</v>
      </c>
      <c r="B479" s="0" t="s">
        <v>136</v>
      </c>
      <c r="C479" s="0" t="s">
        <v>188</v>
      </c>
      <c r="D479" s="0" t="s">
        <v>544</v>
      </c>
      <c r="E479" s="0" t="s">
        <v>441</v>
      </c>
      <c r="F479" s="0" t="n">
        <v>0.25</v>
      </c>
      <c r="G479" s="0" t="n">
        <v>19.9</v>
      </c>
      <c r="H479" s="0" t="n">
        <v>4.97</v>
      </c>
      <c r="I479" s="0" t="n">
        <f aca="false">IF(ABS(ROUND(F479*G479,2)-H479)&lt;=0.01,1,0)</f>
        <v>0</v>
      </c>
      <c r="J479" s="0" t="n">
        <v>0</v>
      </c>
    </row>
    <row r="480" customFormat="false" ht="15" hidden="false" customHeight="false" outlineLevel="0" collapsed="false">
      <c r="A480" s="0" t="s">
        <v>187</v>
      </c>
      <c r="B480" s="0" t="s">
        <v>136</v>
      </c>
      <c r="C480" s="0" t="s">
        <v>188</v>
      </c>
      <c r="D480" s="0" t="s">
        <v>544</v>
      </c>
      <c r="E480" s="0" t="s">
        <v>353</v>
      </c>
      <c r="F480" s="0" t="n">
        <v>0.25</v>
      </c>
      <c r="G480" s="0" t="n">
        <v>3.8</v>
      </c>
      <c r="H480" s="0" t="n">
        <v>0.95</v>
      </c>
      <c r="I480" s="0" t="n">
        <f aca="false">IF(ABS(ROUND(F480*G480,2)-H480)&lt;=0.01,1,0)</f>
        <v>1</v>
      </c>
      <c r="J480" s="0" t="n">
        <v>0</v>
      </c>
    </row>
    <row r="481" customFormat="false" ht="15" hidden="false" customHeight="false" outlineLevel="0" collapsed="false">
      <c r="A481" s="0" t="s">
        <v>187</v>
      </c>
      <c r="B481" s="0" t="s">
        <v>136</v>
      </c>
      <c r="C481" s="0" t="s">
        <v>188</v>
      </c>
      <c r="D481" s="0" t="s">
        <v>544</v>
      </c>
      <c r="E481" s="0" t="s">
        <v>656</v>
      </c>
      <c r="F481" s="0" t="n">
        <v>0.25</v>
      </c>
      <c r="G481" s="0" t="n">
        <v>0.9</v>
      </c>
      <c r="H481" s="0" t="n">
        <v>0.23</v>
      </c>
      <c r="I481" s="0" t="n">
        <f aca="false">IF(ABS(ROUND(F481*G481,2)-H481)&lt;=0.01,1,0)</f>
        <v>1</v>
      </c>
      <c r="J481" s="0" t="n">
        <v>0</v>
      </c>
    </row>
    <row r="482" customFormat="false" ht="15" hidden="false" customHeight="false" outlineLevel="0" collapsed="false">
      <c r="A482" s="0" t="s">
        <v>187</v>
      </c>
      <c r="B482" s="0" t="s">
        <v>136</v>
      </c>
      <c r="C482" s="0" t="s">
        <v>188</v>
      </c>
      <c r="D482" s="0" t="s">
        <v>544</v>
      </c>
      <c r="E482" s="0" t="s">
        <v>591</v>
      </c>
      <c r="F482" s="0" t="n">
        <v>0.5</v>
      </c>
      <c r="G482" s="0" t="n">
        <v>3.9</v>
      </c>
      <c r="H482" s="0" t="n">
        <v>1.95</v>
      </c>
      <c r="I482" s="0" t="n">
        <f aca="false">IF(ABS(ROUND(F482*G482,2)-H482)&lt;=0.01,1,0)</f>
        <v>1</v>
      </c>
      <c r="J482" s="0" t="n">
        <v>1</v>
      </c>
    </row>
    <row r="483" customFormat="false" ht="15" hidden="false" customHeight="false" outlineLevel="0" collapsed="false">
      <c r="A483" s="0" t="s">
        <v>187</v>
      </c>
      <c r="B483" s="0" t="s">
        <v>136</v>
      </c>
      <c r="C483" s="0" t="s">
        <v>188</v>
      </c>
      <c r="D483" s="0" t="s">
        <v>544</v>
      </c>
      <c r="E483" s="0" t="s">
        <v>413</v>
      </c>
      <c r="F483" s="0" t="n">
        <v>0.5</v>
      </c>
      <c r="G483" s="0" t="n">
        <v>4</v>
      </c>
      <c r="H483" s="0" t="n">
        <v>2</v>
      </c>
      <c r="I483" s="0" t="n">
        <f aca="false">IF(ABS(ROUND(F483*G483,2)-H483)&lt;=0.01,1,0)</f>
        <v>1</v>
      </c>
      <c r="J483" s="0" t="n">
        <v>1</v>
      </c>
    </row>
    <row r="484" customFormat="false" ht="15" hidden="false" customHeight="false" outlineLevel="0" collapsed="false">
      <c r="A484" s="0" t="s">
        <v>187</v>
      </c>
      <c r="B484" s="0" t="s">
        <v>136</v>
      </c>
      <c r="C484" s="0" t="s">
        <v>188</v>
      </c>
      <c r="D484" s="0" t="s">
        <v>544</v>
      </c>
      <c r="E484" s="0" t="s">
        <v>463</v>
      </c>
      <c r="F484" s="0" t="n">
        <v>0.25</v>
      </c>
      <c r="G484" s="0" t="n">
        <v>7.9</v>
      </c>
      <c r="H484" s="0" t="n">
        <v>1.98</v>
      </c>
      <c r="I484" s="0" t="n">
        <f aca="false">IF(ABS(ROUND(F484*G484,2)-H484)&lt;=0.01,1,0)</f>
        <v>1</v>
      </c>
      <c r="J484" s="0" t="n">
        <v>0</v>
      </c>
    </row>
    <row r="485" customFormat="false" ht="15" hidden="false" customHeight="false" outlineLevel="0" collapsed="false">
      <c r="A485" s="0" t="s">
        <v>187</v>
      </c>
      <c r="B485" s="0" t="s">
        <v>136</v>
      </c>
      <c r="C485" s="0" t="s">
        <v>188</v>
      </c>
      <c r="D485" s="0" t="s">
        <v>544</v>
      </c>
      <c r="E485" s="0" t="s">
        <v>657</v>
      </c>
      <c r="F485" s="0" t="n">
        <v>0.5</v>
      </c>
      <c r="G485" s="0" t="n">
        <v>1.4</v>
      </c>
      <c r="H485" s="0" t="n">
        <v>0.7</v>
      </c>
      <c r="I485" s="0" t="n">
        <f aca="false">IF(ABS(ROUND(F485*G485,2)-H485)&lt;=0.01,1,0)</f>
        <v>1</v>
      </c>
      <c r="J485" s="0" t="n">
        <v>0</v>
      </c>
    </row>
    <row r="486" customFormat="false" ht="15" hidden="false" customHeight="false" outlineLevel="0" collapsed="false">
      <c r="A486" s="0" t="s">
        <v>187</v>
      </c>
      <c r="B486" s="0" t="s">
        <v>136</v>
      </c>
      <c r="C486" s="0" t="s">
        <v>188</v>
      </c>
      <c r="D486" s="0" t="s">
        <v>544</v>
      </c>
      <c r="E486" s="0" t="s">
        <v>432</v>
      </c>
      <c r="F486" s="0" t="n">
        <v>0.25</v>
      </c>
      <c r="G486" s="0" t="n">
        <v>2.9</v>
      </c>
      <c r="H486" s="0" t="n">
        <v>0.72</v>
      </c>
      <c r="I486" s="0" t="n">
        <f aca="false">IF(ABS(ROUND(F486*G486,2)-H486)&lt;=0.01,1,0)</f>
        <v>1</v>
      </c>
      <c r="J486" s="0" t="n">
        <v>0</v>
      </c>
    </row>
    <row r="487" customFormat="false" ht="15" hidden="false" customHeight="false" outlineLevel="0" collapsed="false">
      <c r="A487" s="0" t="s">
        <v>187</v>
      </c>
      <c r="B487" s="0" t="s">
        <v>136</v>
      </c>
      <c r="C487" s="0" t="s">
        <v>188</v>
      </c>
      <c r="D487" s="0" t="s">
        <v>544</v>
      </c>
      <c r="E487" s="0" t="s">
        <v>658</v>
      </c>
      <c r="F487" s="0" t="n">
        <v>0.25</v>
      </c>
      <c r="G487" s="0" t="n">
        <v>3.9</v>
      </c>
      <c r="H487" s="0" t="n">
        <v>0.97</v>
      </c>
      <c r="I487" s="0" t="n">
        <f aca="false">IF(ABS(ROUND(F487*G487,2)-H487)&lt;=0.01,1,0)</f>
        <v>1</v>
      </c>
      <c r="J487" s="0" t="n">
        <v>1</v>
      </c>
    </row>
    <row r="488" customFormat="false" ht="15" hidden="false" customHeight="false" outlineLevel="0" collapsed="false">
      <c r="A488" s="0" t="s">
        <v>187</v>
      </c>
      <c r="B488" s="0" t="s">
        <v>136</v>
      </c>
      <c r="C488" s="0" t="s">
        <v>188</v>
      </c>
      <c r="D488" s="0" t="s">
        <v>544</v>
      </c>
      <c r="E488" s="0" t="s">
        <v>374</v>
      </c>
      <c r="F488" s="0" t="n">
        <v>0.5</v>
      </c>
      <c r="G488" s="0" t="n">
        <v>3.5</v>
      </c>
      <c r="H488" s="0" t="n">
        <v>1.75</v>
      </c>
      <c r="I488" s="0" t="n">
        <f aca="false">IF(ABS(ROUND(F488*G488,2)-H488)&lt;=0.01,1,0)</f>
        <v>1</v>
      </c>
      <c r="J488" s="0" t="n">
        <v>0</v>
      </c>
    </row>
    <row r="489" customFormat="false" ht="15" hidden="false" customHeight="false" outlineLevel="0" collapsed="false">
      <c r="A489" s="0" t="s">
        <v>190</v>
      </c>
      <c r="B489" s="0" t="s">
        <v>136</v>
      </c>
      <c r="C489" s="0" t="s">
        <v>191</v>
      </c>
      <c r="D489" s="0" t="s">
        <v>545</v>
      </c>
      <c r="E489" s="0" t="s">
        <v>344</v>
      </c>
      <c r="F489" s="0" t="n">
        <v>1</v>
      </c>
      <c r="G489" s="0" t="n">
        <v>8</v>
      </c>
      <c r="H489" s="0" t="n">
        <v>8</v>
      </c>
      <c r="I489" s="0" t="n">
        <f aca="false">IF(ABS(ROUND(F489*G489,2)-H489)&lt;=0.01,1,0)</f>
        <v>1</v>
      </c>
      <c r="J489" s="0" t="n">
        <v>0</v>
      </c>
    </row>
    <row r="490" customFormat="false" ht="15" hidden="false" customHeight="false" outlineLevel="0" collapsed="false">
      <c r="A490" s="0" t="s">
        <v>190</v>
      </c>
      <c r="B490" s="0" t="s">
        <v>136</v>
      </c>
      <c r="C490" s="0" t="s">
        <v>191</v>
      </c>
      <c r="D490" s="0" t="s">
        <v>545</v>
      </c>
      <c r="E490" s="0" t="s">
        <v>364</v>
      </c>
      <c r="F490" s="0" t="n">
        <v>0.5</v>
      </c>
      <c r="G490" s="0" t="n">
        <v>6.5</v>
      </c>
      <c r="H490" s="0" t="n">
        <v>3.25</v>
      </c>
      <c r="I490" s="0" t="n">
        <f aca="false">IF(ABS(ROUND(F490*G490,2)-H490)&lt;=0.01,1,0)</f>
        <v>1</v>
      </c>
      <c r="J490" s="0" t="n">
        <v>0</v>
      </c>
    </row>
    <row r="491" customFormat="false" ht="15" hidden="false" customHeight="false" outlineLevel="0" collapsed="false">
      <c r="A491" s="0" t="s">
        <v>190</v>
      </c>
      <c r="B491" s="0" t="s">
        <v>136</v>
      </c>
      <c r="C491" s="0" t="s">
        <v>191</v>
      </c>
      <c r="D491" s="0" t="s">
        <v>545</v>
      </c>
      <c r="E491" s="0" t="s">
        <v>587</v>
      </c>
      <c r="F491" s="0" t="n">
        <v>0.5</v>
      </c>
      <c r="G491" s="0" t="n">
        <v>6</v>
      </c>
      <c r="H491" s="0" t="n">
        <v>3</v>
      </c>
      <c r="I491" s="0" t="n">
        <f aca="false">IF(ABS(ROUND(F491*G491,2)-H491)&lt;=0.01,1,0)</f>
        <v>1</v>
      </c>
      <c r="J491" s="0" t="n">
        <v>0</v>
      </c>
    </row>
    <row r="492" customFormat="false" ht="15" hidden="false" customHeight="false" outlineLevel="0" collapsed="false">
      <c r="A492" s="0" t="s">
        <v>190</v>
      </c>
      <c r="B492" s="0" t="s">
        <v>136</v>
      </c>
      <c r="C492" s="0" t="s">
        <v>191</v>
      </c>
      <c r="D492" s="0" t="s">
        <v>545</v>
      </c>
      <c r="E492" s="0" t="s">
        <v>392</v>
      </c>
      <c r="F492" s="0" t="n">
        <v>1</v>
      </c>
      <c r="G492" s="0" t="n">
        <v>18.6</v>
      </c>
      <c r="H492" s="0" t="n">
        <v>18.6</v>
      </c>
      <c r="I492" s="0" t="n">
        <f aca="false">IF(ABS(ROUND(F492*G492,2)-H492)&lt;=0.01,1,0)</f>
        <v>1</v>
      </c>
      <c r="J492" s="0" t="n">
        <v>0</v>
      </c>
    </row>
    <row r="493" customFormat="false" ht="15" hidden="false" customHeight="false" outlineLevel="0" collapsed="false">
      <c r="A493" s="0" t="s">
        <v>190</v>
      </c>
      <c r="B493" s="0" t="s">
        <v>136</v>
      </c>
      <c r="C493" s="0" t="s">
        <v>191</v>
      </c>
      <c r="D493" s="0" t="s">
        <v>545</v>
      </c>
      <c r="E493" s="0" t="s">
        <v>591</v>
      </c>
      <c r="F493" s="0" t="n">
        <v>1</v>
      </c>
      <c r="G493" s="0" t="n">
        <v>3.9</v>
      </c>
      <c r="H493" s="0" t="n">
        <v>3.9</v>
      </c>
      <c r="I493" s="0" t="n">
        <f aca="false">IF(ABS(ROUND(F493*G493,2)-H493)&lt;=0.01,1,0)</f>
        <v>1</v>
      </c>
      <c r="J493" s="0" t="n">
        <v>0</v>
      </c>
    </row>
    <row r="494" customFormat="false" ht="15" hidden="false" customHeight="false" outlineLevel="0" collapsed="false">
      <c r="A494" s="0" t="s">
        <v>190</v>
      </c>
      <c r="B494" s="0" t="s">
        <v>136</v>
      </c>
      <c r="C494" s="0" t="s">
        <v>191</v>
      </c>
      <c r="D494" s="0" t="s">
        <v>545</v>
      </c>
      <c r="E494" s="0" t="s">
        <v>413</v>
      </c>
      <c r="F494" s="0" t="n">
        <v>0.5</v>
      </c>
      <c r="G494" s="0" t="n">
        <v>4</v>
      </c>
      <c r="H494" s="0" t="n">
        <v>2</v>
      </c>
      <c r="I494" s="0" t="n">
        <f aca="false">IF(ABS(ROUND(F494*G494,2)-H494)&lt;=0.01,1,0)</f>
        <v>1</v>
      </c>
      <c r="J494" s="0" t="n">
        <v>0</v>
      </c>
    </row>
    <row r="495" customFormat="false" ht="15" hidden="false" customHeight="false" outlineLevel="0" collapsed="false">
      <c r="A495" s="0" t="s">
        <v>190</v>
      </c>
      <c r="B495" s="0" t="s">
        <v>136</v>
      </c>
      <c r="C495" s="0" t="s">
        <v>191</v>
      </c>
      <c r="D495" s="0" t="s">
        <v>545</v>
      </c>
      <c r="E495" s="0" t="s">
        <v>626</v>
      </c>
      <c r="F495" s="0" t="n">
        <v>0.5</v>
      </c>
      <c r="G495" s="0" t="n">
        <v>3.9</v>
      </c>
      <c r="H495" s="0" t="n">
        <v>1.95</v>
      </c>
      <c r="I495" s="0" t="n">
        <f aca="false">IF(ABS(ROUND(F495*G495,2)-H495)&lt;=0.01,1,0)</f>
        <v>1</v>
      </c>
      <c r="J495" s="0" t="n">
        <v>1</v>
      </c>
    </row>
    <row r="496" customFormat="false" ht="15" hidden="false" customHeight="false" outlineLevel="0" collapsed="false">
      <c r="A496" s="0" t="s">
        <v>190</v>
      </c>
      <c r="B496" s="0" t="s">
        <v>136</v>
      </c>
      <c r="C496" s="0" t="s">
        <v>191</v>
      </c>
      <c r="D496" s="0" t="s">
        <v>545</v>
      </c>
      <c r="E496" s="0" t="s">
        <v>659</v>
      </c>
      <c r="F496" s="0" t="n">
        <v>0.5</v>
      </c>
      <c r="G496" s="0" t="n">
        <v>1.4</v>
      </c>
      <c r="H496" s="0" t="n">
        <v>0.7</v>
      </c>
      <c r="I496" s="0" t="n">
        <f aca="false">IF(ABS(ROUND(F496*G496,2)-H496)&lt;=0.01,1,0)</f>
        <v>1</v>
      </c>
      <c r="J496" s="0" t="n">
        <v>0</v>
      </c>
    </row>
    <row r="497" customFormat="false" ht="15" hidden="false" customHeight="false" outlineLevel="0" collapsed="false">
      <c r="A497" s="0" t="s">
        <v>190</v>
      </c>
      <c r="B497" s="0" t="s">
        <v>136</v>
      </c>
      <c r="C497" s="0" t="s">
        <v>191</v>
      </c>
      <c r="D497" s="0" t="s">
        <v>545</v>
      </c>
      <c r="E497" s="0" t="s">
        <v>627</v>
      </c>
      <c r="F497" s="0" t="n">
        <v>0.5</v>
      </c>
      <c r="G497" s="0" t="n">
        <v>3.2</v>
      </c>
      <c r="H497" s="0" t="n">
        <v>1.6</v>
      </c>
      <c r="I497" s="0" t="n">
        <f aca="false">IF(ABS(ROUND(F497*G497,2)-H497)&lt;=0.01,1,0)</f>
        <v>1</v>
      </c>
      <c r="J497" s="0" t="n">
        <v>0</v>
      </c>
    </row>
    <row r="498" customFormat="false" ht="15" hidden="false" customHeight="false" outlineLevel="0" collapsed="false">
      <c r="A498" s="0" t="s">
        <v>190</v>
      </c>
      <c r="B498" s="0" t="s">
        <v>136</v>
      </c>
      <c r="C498" s="0" t="s">
        <v>191</v>
      </c>
      <c r="D498" s="0" t="s">
        <v>545</v>
      </c>
      <c r="E498" s="0" t="s">
        <v>660</v>
      </c>
      <c r="F498" s="0" t="n">
        <v>0.5</v>
      </c>
      <c r="G498" s="0" t="n">
        <v>6.1</v>
      </c>
      <c r="H498" s="0" t="n">
        <v>3.05</v>
      </c>
      <c r="I498" s="0" t="n">
        <f aca="false">IF(ABS(ROUND(F498*G498,2)-H498)&lt;=0.01,1,0)</f>
        <v>1</v>
      </c>
      <c r="J498" s="0" t="n">
        <v>0</v>
      </c>
    </row>
    <row r="499" customFormat="false" ht="15" hidden="false" customHeight="false" outlineLevel="0" collapsed="false">
      <c r="A499" s="0" t="s">
        <v>190</v>
      </c>
      <c r="B499" s="0" t="s">
        <v>136</v>
      </c>
      <c r="C499" s="0" t="s">
        <v>191</v>
      </c>
      <c r="D499" s="0" t="s">
        <v>545</v>
      </c>
      <c r="E499" s="0" t="s">
        <v>419</v>
      </c>
      <c r="F499" s="0" t="n">
        <v>0.5</v>
      </c>
      <c r="G499" s="0" t="n">
        <v>8.9</v>
      </c>
      <c r="H499" s="0" t="n">
        <v>4.45</v>
      </c>
      <c r="I499" s="0" t="n">
        <f aca="false">IF(ABS(ROUND(F499*G499,2)-H499)&lt;=0.01,1,0)</f>
        <v>1</v>
      </c>
      <c r="J499" s="0" t="n">
        <v>1</v>
      </c>
    </row>
    <row r="500" customFormat="false" ht="15" hidden="false" customHeight="false" outlineLevel="0" collapsed="false">
      <c r="A500" s="0" t="s">
        <v>190</v>
      </c>
      <c r="B500" s="0" t="s">
        <v>136</v>
      </c>
      <c r="C500" s="0" t="s">
        <v>191</v>
      </c>
      <c r="D500" s="0" t="s">
        <v>545</v>
      </c>
      <c r="E500" s="0" t="s">
        <v>642</v>
      </c>
      <c r="F500" s="0" t="n">
        <v>0.5</v>
      </c>
      <c r="G500" s="0" t="n">
        <v>4.9</v>
      </c>
      <c r="H500" s="0" t="n">
        <v>2.45</v>
      </c>
      <c r="I500" s="0" t="n">
        <f aca="false">IF(ABS(ROUND(F500*G500,2)-H500)&lt;=0.01,1,0)</f>
        <v>1</v>
      </c>
      <c r="J500" s="0" t="n">
        <v>0</v>
      </c>
    </row>
    <row r="501" customFormat="false" ht="15" hidden="false" customHeight="false" outlineLevel="0" collapsed="false">
      <c r="A501" s="0" t="s">
        <v>190</v>
      </c>
      <c r="B501" s="0" t="s">
        <v>136</v>
      </c>
      <c r="C501" s="0" t="s">
        <v>191</v>
      </c>
      <c r="D501" s="0" t="s">
        <v>545</v>
      </c>
      <c r="E501" s="0" t="s">
        <v>661</v>
      </c>
      <c r="F501" s="0" t="n">
        <v>0.5</v>
      </c>
      <c r="G501" s="0" t="n">
        <v>11.9</v>
      </c>
      <c r="H501" s="0" t="n">
        <v>5.95</v>
      </c>
      <c r="I501" s="0" t="n">
        <f aca="false">IF(ABS(ROUND(F501*G501,2)-H501)&lt;=0.01,1,0)</f>
        <v>1</v>
      </c>
      <c r="J501" s="0" t="n">
        <v>0</v>
      </c>
    </row>
    <row r="502" customFormat="false" ht="15" hidden="false" customHeight="false" outlineLevel="0" collapsed="false">
      <c r="A502" s="0" t="s">
        <v>190</v>
      </c>
      <c r="B502" s="0" t="s">
        <v>136</v>
      </c>
      <c r="C502" s="0" t="s">
        <v>191</v>
      </c>
      <c r="D502" s="0" t="s">
        <v>545</v>
      </c>
      <c r="E502" s="0" t="s">
        <v>658</v>
      </c>
      <c r="F502" s="0" t="n">
        <v>0.5</v>
      </c>
      <c r="G502" s="0" t="n">
        <v>3.9</v>
      </c>
      <c r="H502" s="0" t="n">
        <v>1.95</v>
      </c>
      <c r="I502" s="0" t="n">
        <f aca="false">IF(ABS(ROUND(F502*G502,2)-H502)&lt;=0.01,1,0)</f>
        <v>1</v>
      </c>
      <c r="J502" s="0" t="n">
        <v>1</v>
      </c>
    </row>
    <row r="503" customFormat="false" ht="15" hidden="false" customHeight="false" outlineLevel="0" collapsed="false">
      <c r="A503" s="0" t="s">
        <v>190</v>
      </c>
      <c r="B503" s="0" t="s">
        <v>136</v>
      </c>
      <c r="C503" s="0" t="s">
        <v>191</v>
      </c>
      <c r="D503" s="0" t="s">
        <v>545</v>
      </c>
      <c r="E503" s="0" t="s">
        <v>637</v>
      </c>
      <c r="F503" s="0" t="n">
        <v>0.5</v>
      </c>
      <c r="G503" s="0" t="n">
        <v>7.9</v>
      </c>
      <c r="H503" s="0" t="n">
        <v>3.95</v>
      </c>
      <c r="I503" s="0" t="n">
        <f aca="false">IF(ABS(ROUND(F503*G503,2)-H503)&lt;=0.01,1,0)</f>
        <v>1</v>
      </c>
      <c r="J503" s="0" t="n">
        <v>0</v>
      </c>
    </row>
    <row r="504" customFormat="false" ht="15" hidden="false" customHeight="false" outlineLevel="0" collapsed="false">
      <c r="A504" s="0" t="s">
        <v>190</v>
      </c>
      <c r="B504" s="0" t="s">
        <v>136</v>
      </c>
      <c r="C504" s="0" t="s">
        <v>191</v>
      </c>
      <c r="D504" s="0" t="s">
        <v>545</v>
      </c>
      <c r="E504" s="0" t="s">
        <v>662</v>
      </c>
      <c r="F504" s="0" t="n">
        <v>0.5</v>
      </c>
      <c r="G504" s="0" t="n">
        <v>9.8</v>
      </c>
      <c r="H504" s="0" t="n">
        <v>4.9</v>
      </c>
      <c r="I504" s="0" t="n">
        <f aca="false">IF(ABS(ROUND(F504*G504,2)-H504)&lt;=0.01,1,0)</f>
        <v>1</v>
      </c>
      <c r="J504" s="0" t="n">
        <v>0</v>
      </c>
    </row>
    <row r="505" customFormat="false" ht="15" hidden="false" customHeight="false" outlineLevel="0" collapsed="false">
      <c r="A505" s="0" t="s">
        <v>190</v>
      </c>
      <c r="B505" s="0" t="s">
        <v>136</v>
      </c>
      <c r="C505" s="0" t="s">
        <v>191</v>
      </c>
      <c r="D505" s="0" t="s">
        <v>546</v>
      </c>
      <c r="E505" s="0" t="s">
        <v>344</v>
      </c>
      <c r="F505" s="0" t="n">
        <v>1</v>
      </c>
      <c r="G505" s="0" t="n">
        <v>8</v>
      </c>
      <c r="H505" s="0" t="n">
        <v>8</v>
      </c>
      <c r="I505" s="0" t="n">
        <f aca="false">IF(ABS(ROUND(F505*G505,2)-H505)&lt;=0.01,1,0)</f>
        <v>1</v>
      </c>
      <c r="J505" s="0" t="n">
        <v>0</v>
      </c>
    </row>
    <row r="506" customFormat="false" ht="15" hidden="false" customHeight="false" outlineLevel="0" collapsed="false">
      <c r="A506" s="0" t="s">
        <v>190</v>
      </c>
      <c r="B506" s="0" t="s">
        <v>136</v>
      </c>
      <c r="C506" s="0" t="s">
        <v>191</v>
      </c>
      <c r="D506" s="0" t="s">
        <v>546</v>
      </c>
      <c r="E506" s="0" t="s">
        <v>364</v>
      </c>
      <c r="F506" s="0" t="n">
        <v>0.5</v>
      </c>
      <c r="G506" s="0" t="n">
        <v>6.5</v>
      </c>
      <c r="H506" s="0" t="n">
        <v>3.25</v>
      </c>
      <c r="I506" s="0" t="n">
        <f aca="false">IF(ABS(ROUND(F506*G506,2)-H506)&lt;=0.01,1,0)</f>
        <v>1</v>
      </c>
      <c r="J506" s="0" t="n">
        <v>0</v>
      </c>
    </row>
    <row r="507" customFormat="false" ht="15" hidden="false" customHeight="false" outlineLevel="0" collapsed="false">
      <c r="A507" s="0" t="s">
        <v>190</v>
      </c>
      <c r="B507" s="0" t="s">
        <v>136</v>
      </c>
      <c r="C507" s="0" t="s">
        <v>191</v>
      </c>
      <c r="D507" s="0" t="s">
        <v>546</v>
      </c>
      <c r="E507" s="0" t="s">
        <v>587</v>
      </c>
      <c r="F507" s="0" t="n">
        <v>0.5</v>
      </c>
      <c r="G507" s="0" t="n">
        <v>6</v>
      </c>
      <c r="H507" s="0" t="n">
        <v>3</v>
      </c>
      <c r="I507" s="0" t="n">
        <f aca="false">IF(ABS(ROUND(F507*G507,2)-H507)&lt;=0.01,1,0)</f>
        <v>1</v>
      </c>
      <c r="J507" s="0" t="n">
        <v>0</v>
      </c>
    </row>
    <row r="508" customFormat="false" ht="15" hidden="false" customHeight="false" outlineLevel="0" collapsed="false">
      <c r="A508" s="0" t="s">
        <v>190</v>
      </c>
      <c r="B508" s="0" t="s">
        <v>136</v>
      </c>
      <c r="C508" s="0" t="s">
        <v>191</v>
      </c>
      <c r="D508" s="0" t="s">
        <v>546</v>
      </c>
      <c r="E508" s="0" t="s">
        <v>392</v>
      </c>
      <c r="F508" s="0" t="n">
        <v>1</v>
      </c>
      <c r="G508" s="0" t="n">
        <v>18.6</v>
      </c>
      <c r="H508" s="0" t="n">
        <v>18.6</v>
      </c>
      <c r="I508" s="0" t="n">
        <f aca="false">IF(ABS(ROUND(F508*G508,2)-H508)&lt;=0.01,1,0)</f>
        <v>1</v>
      </c>
      <c r="J508" s="0" t="n">
        <v>0</v>
      </c>
    </row>
    <row r="509" customFormat="false" ht="15" hidden="false" customHeight="false" outlineLevel="0" collapsed="false">
      <c r="A509" s="0" t="s">
        <v>190</v>
      </c>
      <c r="B509" s="0" t="s">
        <v>136</v>
      </c>
      <c r="C509" s="0" t="s">
        <v>191</v>
      </c>
      <c r="D509" s="0" t="s">
        <v>546</v>
      </c>
      <c r="E509" s="0" t="s">
        <v>591</v>
      </c>
      <c r="F509" s="0" t="n">
        <v>1</v>
      </c>
      <c r="G509" s="0" t="n">
        <v>3.9</v>
      </c>
      <c r="H509" s="0" t="n">
        <v>3.9</v>
      </c>
      <c r="I509" s="0" t="n">
        <f aca="false">IF(ABS(ROUND(F509*G509,2)-H509)&lt;=0.01,1,0)</f>
        <v>1</v>
      </c>
      <c r="J509" s="0" t="n">
        <v>0</v>
      </c>
    </row>
    <row r="510" customFormat="false" ht="15" hidden="false" customHeight="false" outlineLevel="0" collapsed="false">
      <c r="A510" s="0" t="s">
        <v>190</v>
      </c>
      <c r="B510" s="0" t="s">
        <v>136</v>
      </c>
      <c r="C510" s="0" t="s">
        <v>191</v>
      </c>
      <c r="D510" s="0" t="s">
        <v>546</v>
      </c>
      <c r="E510" s="0" t="s">
        <v>413</v>
      </c>
      <c r="F510" s="0" t="n">
        <v>0.5</v>
      </c>
      <c r="G510" s="0" t="n">
        <v>4</v>
      </c>
      <c r="H510" s="0" t="n">
        <v>2</v>
      </c>
      <c r="I510" s="0" t="n">
        <f aca="false">IF(ABS(ROUND(F510*G510,2)-H510)&lt;=0.01,1,0)</f>
        <v>1</v>
      </c>
      <c r="J510" s="0" t="n">
        <v>0</v>
      </c>
    </row>
    <row r="511" customFormat="false" ht="15" hidden="false" customHeight="false" outlineLevel="0" collapsed="false">
      <c r="A511" s="0" t="s">
        <v>190</v>
      </c>
      <c r="B511" s="0" t="s">
        <v>136</v>
      </c>
      <c r="C511" s="0" t="s">
        <v>191</v>
      </c>
      <c r="D511" s="0" t="s">
        <v>546</v>
      </c>
      <c r="E511" s="0" t="s">
        <v>626</v>
      </c>
      <c r="F511" s="0" t="n">
        <v>0.5</v>
      </c>
      <c r="G511" s="0" t="n">
        <v>3.9</v>
      </c>
      <c r="H511" s="0" t="n">
        <v>1.95</v>
      </c>
      <c r="I511" s="0" t="n">
        <f aca="false">IF(ABS(ROUND(F511*G511,2)-H511)&lt;=0.01,1,0)</f>
        <v>1</v>
      </c>
      <c r="J511" s="0" t="n">
        <v>1</v>
      </c>
    </row>
    <row r="512" customFormat="false" ht="15" hidden="false" customHeight="false" outlineLevel="0" collapsed="false">
      <c r="A512" s="0" t="s">
        <v>190</v>
      </c>
      <c r="B512" s="0" t="s">
        <v>136</v>
      </c>
      <c r="C512" s="0" t="s">
        <v>191</v>
      </c>
      <c r="D512" s="0" t="s">
        <v>546</v>
      </c>
      <c r="E512" s="0" t="s">
        <v>659</v>
      </c>
      <c r="F512" s="0" t="n">
        <v>0.5</v>
      </c>
      <c r="G512" s="0" t="n">
        <v>1.4</v>
      </c>
      <c r="H512" s="0" t="n">
        <v>0.7</v>
      </c>
      <c r="I512" s="0" t="n">
        <f aca="false">IF(ABS(ROUND(F512*G512,2)-H512)&lt;=0.01,1,0)</f>
        <v>1</v>
      </c>
      <c r="J512" s="0" t="n">
        <v>0</v>
      </c>
    </row>
    <row r="513" customFormat="false" ht="15" hidden="false" customHeight="false" outlineLevel="0" collapsed="false">
      <c r="A513" s="0" t="s">
        <v>190</v>
      </c>
      <c r="B513" s="0" t="s">
        <v>136</v>
      </c>
      <c r="C513" s="0" t="s">
        <v>191</v>
      </c>
      <c r="D513" s="0" t="s">
        <v>546</v>
      </c>
      <c r="E513" s="0" t="s">
        <v>627</v>
      </c>
      <c r="F513" s="0" t="n">
        <v>0.5</v>
      </c>
      <c r="G513" s="0" t="n">
        <v>3.2</v>
      </c>
      <c r="H513" s="0" t="n">
        <v>1.6</v>
      </c>
      <c r="I513" s="0" t="n">
        <f aca="false">IF(ABS(ROUND(F513*G513,2)-H513)&lt;=0.01,1,0)</f>
        <v>1</v>
      </c>
      <c r="J513" s="0" t="n">
        <v>0</v>
      </c>
    </row>
    <row r="514" customFormat="false" ht="15" hidden="false" customHeight="false" outlineLevel="0" collapsed="false">
      <c r="A514" s="0" t="s">
        <v>190</v>
      </c>
      <c r="B514" s="0" t="s">
        <v>136</v>
      </c>
      <c r="C514" s="0" t="s">
        <v>191</v>
      </c>
      <c r="D514" s="0" t="s">
        <v>546</v>
      </c>
      <c r="E514" s="0" t="s">
        <v>660</v>
      </c>
      <c r="F514" s="0" t="n">
        <v>0.5</v>
      </c>
      <c r="G514" s="0" t="n">
        <v>6.1</v>
      </c>
      <c r="H514" s="0" t="n">
        <v>3.05</v>
      </c>
      <c r="I514" s="0" t="n">
        <f aca="false">IF(ABS(ROUND(F514*G514,2)-H514)&lt;=0.01,1,0)</f>
        <v>1</v>
      </c>
      <c r="J514" s="0" t="n">
        <v>0</v>
      </c>
    </row>
    <row r="515" customFormat="false" ht="15" hidden="false" customHeight="false" outlineLevel="0" collapsed="false">
      <c r="A515" s="0" t="s">
        <v>190</v>
      </c>
      <c r="B515" s="0" t="s">
        <v>136</v>
      </c>
      <c r="C515" s="0" t="s">
        <v>191</v>
      </c>
      <c r="D515" s="0" t="s">
        <v>546</v>
      </c>
      <c r="E515" s="0" t="s">
        <v>419</v>
      </c>
      <c r="F515" s="0" t="n">
        <v>0.5</v>
      </c>
      <c r="G515" s="0" t="n">
        <v>8.9</v>
      </c>
      <c r="H515" s="0" t="n">
        <v>4.45</v>
      </c>
      <c r="I515" s="0" t="n">
        <f aca="false">IF(ABS(ROUND(F515*G515,2)-H515)&lt;=0.01,1,0)</f>
        <v>1</v>
      </c>
      <c r="J515" s="0" t="n">
        <v>1</v>
      </c>
    </row>
    <row r="516" customFormat="false" ht="15" hidden="false" customHeight="false" outlineLevel="0" collapsed="false">
      <c r="A516" s="0" t="s">
        <v>190</v>
      </c>
      <c r="B516" s="0" t="s">
        <v>136</v>
      </c>
      <c r="C516" s="0" t="s">
        <v>191</v>
      </c>
      <c r="D516" s="0" t="s">
        <v>546</v>
      </c>
      <c r="E516" s="0" t="s">
        <v>642</v>
      </c>
      <c r="F516" s="0" t="n">
        <v>0.5</v>
      </c>
      <c r="G516" s="0" t="n">
        <v>4.9</v>
      </c>
      <c r="H516" s="0" t="n">
        <v>2.45</v>
      </c>
      <c r="I516" s="0" t="n">
        <f aca="false">IF(ABS(ROUND(F516*G516,2)-H516)&lt;=0.01,1,0)</f>
        <v>1</v>
      </c>
      <c r="J516" s="0" t="n">
        <v>0</v>
      </c>
    </row>
    <row r="517" customFormat="false" ht="15" hidden="false" customHeight="false" outlineLevel="0" collapsed="false">
      <c r="A517" s="0" t="s">
        <v>190</v>
      </c>
      <c r="B517" s="0" t="s">
        <v>136</v>
      </c>
      <c r="C517" s="0" t="s">
        <v>191</v>
      </c>
      <c r="D517" s="0" t="s">
        <v>546</v>
      </c>
      <c r="E517" s="0" t="s">
        <v>661</v>
      </c>
      <c r="F517" s="0" t="n">
        <v>0.5</v>
      </c>
      <c r="G517" s="0" t="n">
        <v>11.9</v>
      </c>
      <c r="H517" s="0" t="n">
        <v>5.95</v>
      </c>
      <c r="I517" s="0" t="n">
        <f aca="false">IF(ABS(ROUND(F517*G517,2)-H517)&lt;=0.01,1,0)</f>
        <v>1</v>
      </c>
      <c r="J517" s="0" t="n">
        <v>0</v>
      </c>
    </row>
    <row r="518" customFormat="false" ht="15" hidden="false" customHeight="false" outlineLevel="0" collapsed="false">
      <c r="A518" s="0" t="s">
        <v>190</v>
      </c>
      <c r="B518" s="0" t="s">
        <v>136</v>
      </c>
      <c r="C518" s="0" t="s">
        <v>191</v>
      </c>
      <c r="D518" s="0" t="s">
        <v>546</v>
      </c>
      <c r="E518" s="0" t="s">
        <v>658</v>
      </c>
      <c r="F518" s="0" t="n">
        <v>0.5</v>
      </c>
      <c r="G518" s="0" t="n">
        <v>3.9</v>
      </c>
      <c r="H518" s="0" t="n">
        <v>1.95</v>
      </c>
      <c r="I518" s="0" t="n">
        <f aca="false">IF(ABS(ROUND(F518*G518,2)-H518)&lt;=0.01,1,0)</f>
        <v>1</v>
      </c>
      <c r="J518" s="0" t="n">
        <v>1</v>
      </c>
    </row>
    <row r="519" customFormat="false" ht="15" hidden="false" customHeight="false" outlineLevel="0" collapsed="false">
      <c r="A519" s="0" t="s">
        <v>190</v>
      </c>
      <c r="B519" s="0" t="s">
        <v>136</v>
      </c>
      <c r="C519" s="0" t="s">
        <v>191</v>
      </c>
      <c r="D519" s="0" t="s">
        <v>546</v>
      </c>
      <c r="E519" s="0" t="s">
        <v>637</v>
      </c>
      <c r="F519" s="0" t="n">
        <v>0.5</v>
      </c>
      <c r="G519" s="0" t="n">
        <v>7.9</v>
      </c>
      <c r="H519" s="0" t="n">
        <v>3.95</v>
      </c>
      <c r="I519" s="0" t="n">
        <f aca="false">IF(ABS(ROUND(F519*G519,2)-H519)&lt;=0.01,1,0)</f>
        <v>1</v>
      </c>
      <c r="J519" s="0" t="n">
        <v>0</v>
      </c>
    </row>
    <row r="520" customFormat="false" ht="15" hidden="false" customHeight="false" outlineLevel="0" collapsed="false">
      <c r="A520" s="0" t="s">
        <v>190</v>
      </c>
      <c r="B520" s="0" t="s">
        <v>136</v>
      </c>
      <c r="C520" s="0" t="s">
        <v>191</v>
      </c>
      <c r="D520" s="0" t="s">
        <v>546</v>
      </c>
      <c r="E520" s="0" t="s">
        <v>662</v>
      </c>
      <c r="F520" s="0" t="n">
        <v>0.5</v>
      </c>
      <c r="G520" s="0" t="n">
        <v>9.8</v>
      </c>
      <c r="H520" s="0" t="n">
        <v>4.9</v>
      </c>
      <c r="I520" s="0" t="n">
        <f aca="false">IF(ABS(ROUND(F520*G520,2)-H520)&lt;=0.01,1,0)</f>
        <v>1</v>
      </c>
      <c r="J520" s="0" t="n">
        <v>0</v>
      </c>
    </row>
    <row r="521" customFormat="false" ht="15" hidden="false" customHeight="false" outlineLevel="0" collapsed="false">
      <c r="A521" s="0" t="s">
        <v>193</v>
      </c>
      <c r="B521" s="0" t="s">
        <v>136</v>
      </c>
      <c r="C521" s="0" t="s">
        <v>93</v>
      </c>
      <c r="D521" s="0" t="s">
        <v>521</v>
      </c>
      <c r="E521" s="0" t="s">
        <v>421</v>
      </c>
      <c r="F521" s="0" t="n">
        <v>0.5</v>
      </c>
      <c r="G521" s="0" t="n">
        <v>9</v>
      </c>
      <c r="H521" s="0" t="n">
        <v>4.5</v>
      </c>
      <c r="I521" s="0" t="n">
        <f aca="false">IF(ABS(ROUND(F521*G521,2)-H521)&lt;=0.01,1,0)</f>
        <v>1</v>
      </c>
      <c r="J521" s="0" t="n">
        <v>1</v>
      </c>
    </row>
    <row r="522" customFormat="false" ht="15" hidden="false" customHeight="false" outlineLevel="0" collapsed="false">
      <c r="A522" s="0" t="s">
        <v>193</v>
      </c>
      <c r="B522" s="0" t="s">
        <v>136</v>
      </c>
      <c r="C522" s="0" t="s">
        <v>93</v>
      </c>
      <c r="D522" s="0" t="s">
        <v>521</v>
      </c>
      <c r="E522" s="0" t="s">
        <v>437</v>
      </c>
      <c r="F522" s="0" t="n">
        <v>0.5</v>
      </c>
      <c r="G522" s="0" t="n">
        <v>5.2</v>
      </c>
      <c r="H522" s="0" t="n">
        <v>2.6</v>
      </c>
      <c r="I522" s="0" t="n">
        <f aca="false">IF(ABS(ROUND(F522*G522,2)-H522)&lt;=0.01,1,0)</f>
        <v>1</v>
      </c>
      <c r="J522" s="0" t="n">
        <v>0</v>
      </c>
    </row>
    <row r="523" customFormat="false" ht="15" hidden="false" customHeight="false" outlineLevel="0" collapsed="false">
      <c r="A523" s="0" t="s">
        <v>193</v>
      </c>
      <c r="B523" s="0" t="s">
        <v>136</v>
      </c>
      <c r="C523" s="0" t="s">
        <v>93</v>
      </c>
      <c r="D523" s="0" t="s">
        <v>521</v>
      </c>
      <c r="E523" s="0" t="s">
        <v>621</v>
      </c>
      <c r="F523" s="0" t="n">
        <v>1</v>
      </c>
      <c r="G523" s="0" t="n">
        <v>6.9</v>
      </c>
      <c r="H523" s="0" t="n">
        <v>6.9</v>
      </c>
      <c r="I523" s="0" t="n">
        <f aca="false">IF(ABS(ROUND(F523*G523,2)-H523)&lt;=0.01,1,0)</f>
        <v>1</v>
      </c>
      <c r="J523" s="0" t="n">
        <v>0</v>
      </c>
    </row>
    <row r="524" customFormat="false" ht="15" hidden="false" customHeight="false" outlineLevel="0" collapsed="false">
      <c r="A524" s="0" t="s">
        <v>193</v>
      </c>
      <c r="B524" s="0" t="s">
        <v>136</v>
      </c>
      <c r="C524" s="0" t="s">
        <v>93</v>
      </c>
      <c r="D524" s="0" t="s">
        <v>521</v>
      </c>
      <c r="E524" s="0" t="s">
        <v>663</v>
      </c>
      <c r="F524" s="0" t="n">
        <v>1</v>
      </c>
      <c r="G524" s="0" t="n">
        <v>2.2</v>
      </c>
      <c r="H524" s="0" t="n">
        <v>2.2</v>
      </c>
      <c r="I524" s="0" t="n">
        <f aca="false">IF(ABS(ROUND(F524*G524,2)-H524)&lt;=0.01,1,0)</f>
        <v>1</v>
      </c>
      <c r="J524" s="0" t="n">
        <v>0</v>
      </c>
    </row>
    <row r="525" customFormat="false" ht="15" hidden="false" customHeight="false" outlineLevel="0" collapsed="false">
      <c r="A525" s="0" t="s">
        <v>193</v>
      </c>
      <c r="B525" s="0" t="s">
        <v>136</v>
      </c>
      <c r="C525" s="0" t="s">
        <v>93</v>
      </c>
      <c r="D525" s="0" t="s">
        <v>521</v>
      </c>
      <c r="E525" s="0" t="s">
        <v>441</v>
      </c>
      <c r="F525" s="0" t="n">
        <v>0.5</v>
      </c>
      <c r="G525" s="0" t="n">
        <v>19.9</v>
      </c>
      <c r="H525" s="0" t="n">
        <v>9.95</v>
      </c>
      <c r="I525" s="0" t="n">
        <f aca="false">IF(ABS(ROUND(F525*G525,2)-H525)&lt;=0.01,1,0)</f>
        <v>1</v>
      </c>
      <c r="J525" s="0" t="n">
        <v>0</v>
      </c>
    </row>
    <row r="526" customFormat="false" ht="15" hidden="false" customHeight="false" outlineLevel="0" collapsed="false">
      <c r="A526" s="0" t="s">
        <v>193</v>
      </c>
      <c r="B526" s="0" t="s">
        <v>136</v>
      </c>
      <c r="C526" s="0" t="s">
        <v>93</v>
      </c>
      <c r="D526" s="0" t="s">
        <v>521</v>
      </c>
      <c r="E526" s="0" t="s">
        <v>445</v>
      </c>
      <c r="F526" s="0" t="n">
        <v>0.5</v>
      </c>
      <c r="G526" s="0" t="n">
        <v>19</v>
      </c>
      <c r="H526" s="0" t="n">
        <v>9.5</v>
      </c>
      <c r="I526" s="0" t="n">
        <f aca="false">IF(ABS(ROUND(F526*G526,2)-H526)&lt;=0.01,1,0)</f>
        <v>1</v>
      </c>
      <c r="J526" s="0" t="n">
        <v>0</v>
      </c>
    </row>
    <row r="527" customFormat="false" ht="15" hidden="false" customHeight="false" outlineLevel="0" collapsed="false">
      <c r="A527" s="0" t="s">
        <v>193</v>
      </c>
      <c r="B527" s="0" t="s">
        <v>136</v>
      </c>
      <c r="C527" s="0" t="s">
        <v>93</v>
      </c>
      <c r="D527" s="0" t="s">
        <v>521</v>
      </c>
      <c r="E527" s="0" t="s">
        <v>613</v>
      </c>
      <c r="F527" s="0" t="n">
        <v>1</v>
      </c>
      <c r="G527" s="0" t="n">
        <v>25.9</v>
      </c>
      <c r="H527" s="0" t="n">
        <v>25.9</v>
      </c>
      <c r="I527" s="0" t="n">
        <f aca="false">IF(ABS(ROUND(F527*G527,2)-H527)&lt;=0.01,1,0)</f>
        <v>1</v>
      </c>
      <c r="J527" s="0" t="n">
        <v>0</v>
      </c>
    </row>
    <row r="528" customFormat="false" ht="15" hidden="false" customHeight="false" outlineLevel="0" collapsed="false">
      <c r="A528" s="0" t="s">
        <v>193</v>
      </c>
      <c r="B528" s="0" t="s">
        <v>136</v>
      </c>
      <c r="C528" s="0" t="s">
        <v>93</v>
      </c>
      <c r="D528" s="0" t="s">
        <v>521</v>
      </c>
      <c r="E528" s="0" t="s">
        <v>432</v>
      </c>
      <c r="F528" s="0" t="n">
        <v>0.5</v>
      </c>
      <c r="G528" s="0" t="n">
        <v>5.9</v>
      </c>
      <c r="H528" s="0" t="n">
        <v>2.95</v>
      </c>
      <c r="I528" s="0" t="n">
        <f aca="false">IF(ABS(ROUND(F528*G528,2)-H528)&lt;=0.01,1,0)</f>
        <v>1</v>
      </c>
      <c r="J528" s="0" t="n">
        <v>0</v>
      </c>
    </row>
    <row r="529" customFormat="false" ht="15" hidden="false" customHeight="false" outlineLevel="0" collapsed="false">
      <c r="A529" s="0" t="s">
        <v>193</v>
      </c>
      <c r="B529" s="0" t="s">
        <v>136</v>
      </c>
      <c r="C529" s="0" t="s">
        <v>93</v>
      </c>
      <c r="D529" s="0" t="s">
        <v>521</v>
      </c>
      <c r="E529" s="0" t="s">
        <v>419</v>
      </c>
      <c r="F529" s="0" t="n">
        <v>0.5</v>
      </c>
      <c r="G529" s="0" t="n">
        <v>8.9</v>
      </c>
      <c r="H529" s="0" t="n">
        <v>4.45</v>
      </c>
      <c r="I529" s="0" t="n">
        <f aca="false">IF(ABS(ROUND(F529*G529,2)-H529)&lt;=0.01,1,0)</f>
        <v>1</v>
      </c>
      <c r="J529" s="0" t="n">
        <v>1</v>
      </c>
    </row>
    <row r="530" customFormat="false" ht="15" hidden="false" customHeight="false" outlineLevel="0" collapsed="false">
      <c r="A530" s="0" t="s">
        <v>193</v>
      </c>
      <c r="B530" s="0" t="s">
        <v>136</v>
      </c>
      <c r="C530" s="0" t="s">
        <v>93</v>
      </c>
      <c r="D530" s="0" t="s">
        <v>521</v>
      </c>
      <c r="E530" s="0" t="s">
        <v>664</v>
      </c>
      <c r="F530" s="0" t="n">
        <v>0.5</v>
      </c>
      <c r="G530" s="0" t="n">
        <v>32.2</v>
      </c>
      <c r="H530" s="0" t="n">
        <v>16.1</v>
      </c>
      <c r="I530" s="0" t="n">
        <f aca="false">IF(ABS(ROUND(F530*G530,2)-H530)&lt;=0.01,1,0)</f>
        <v>1</v>
      </c>
      <c r="J530" s="0" t="n">
        <v>0</v>
      </c>
    </row>
    <row r="531" customFormat="false" ht="15" hidden="false" customHeight="false" outlineLevel="0" collapsed="false">
      <c r="A531" s="0" t="s">
        <v>193</v>
      </c>
      <c r="B531" s="0" t="s">
        <v>136</v>
      </c>
      <c r="C531" s="0" t="s">
        <v>93</v>
      </c>
      <c r="D531" s="0" t="s">
        <v>521</v>
      </c>
      <c r="E531" s="0" t="s">
        <v>645</v>
      </c>
      <c r="F531" s="0" t="n">
        <v>1</v>
      </c>
      <c r="G531" s="0" t="n">
        <v>9.9</v>
      </c>
      <c r="H531" s="0" t="n">
        <v>9.9</v>
      </c>
      <c r="I531" s="0" t="n">
        <f aca="false">IF(ABS(ROUND(F531*G531,2)-H531)&lt;=0.01,1,0)</f>
        <v>1</v>
      </c>
      <c r="J531" s="0" t="n">
        <v>0</v>
      </c>
    </row>
    <row r="532" customFormat="false" ht="15" hidden="false" customHeight="false" outlineLevel="0" collapsed="false">
      <c r="A532" s="0" t="s">
        <v>193</v>
      </c>
      <c r="B532" s="0" t="s">
        <v>136</v>
      </c>
      <c r="C532" s="0" t="s">
        <v>93</v>
      </c>
      <c r="D532" s="0" t="s">
        <v>521</v>
      </c>
      <c r="E532" s="0" t="s">
        <v>366</v>
      </c>
      <c r="F532" s="0" t="n">
        <v>1</v>
      </c>
      <c r="G532" s="0" t="n">
        <v>2.2</v>
      </c>
      <c r="H532" s="0" t="n">
        <v>2.2</v>
      </c>
      <c r="I532" s="0" t="n">
        <f aca="false">IF(ABS(ROUND(F532*G532,2)-H532)&lt;=0.01,1,0)</f>
        <v>1</v>
      </c>
      <c r="J532" s="0" t="n">
        <v>0</v>
      </c>
    </row>
    <row r="533" customFormat="false" ht="15" hidden="false" customHeight="false" outlineLevel="0" collapsed="false">
      <c r="A533" s="0" t="s">
        <v>193</v>
      </c>
      <c r="B533" s="0" t="s">
        <v>136</v>
      </c>
      <c r="C533" s="0" t="s">
        <v>93</v>
      </c>
      <c r="D533" s="0" t="s">
        <v>521</v>
      </c>
      <c r="E533" s="0" t="s">
        <v>665</v>
      </c>
      <c r="F533" s="0" t="n">
        <v>0.5</v>
      </c>
      <c r="G533" s="0" t="n">
        <v>9.3</v>
      </c>
      <c r="H533" s="0" t="n">
        <v>4.65</v>
      </c>
      <c r="I533" s="0" t="n">
        <f aca="false">IF(ABS(ROUND(F533*G533,2)-H533)&lt;=0.01,1,0)</f>
        <v>1</v>
      </c>
      <c r="J533" s="0" t="n">
        <v>0</v>
      </c>
    </row>
    <row r="534" customFormat="false" ht="15" hidden="false" customHeight="false" outlineLevel="0" collapsed="false">
      <c r="A534" s="0" t="s">
        <v>193</v>
      </c>
      <c r="B534" s="0" t="s">
        <v>136</v>
      </c>
      <c r="C534" s="0" t="s">
        <v>93</v>
      </c>
      <c r="D534" s="0" t="s">
        <v>521</v>
      </c>
      <c r="E534" s="0" t="s">
        <v>374</v>
      </c>
      <c r="F534" s="0" t="n">
        <v>0.5</v>
      </c>
      <c r="G534" s="0" t="n">
        <v>3.5</v>
      </c>
      <c r="H534" s="0" t="n">
        <v>1.75</v>
      </c>
      <c r="I534" s="0" t="n">
        <f aca="false">IF(ABS(ROUND(F534*G534,2)-H534)&lt;=0.01,1,0)</f>
        <v>1</v>
      </c>
      <c r="J534" s="0" t="n">
        <v>1</v>
      </c>
    </row>
    <row r="535" customFormat="false" ht="15" hidden="false" customHeight="false" outlineLevel="0" collapsed="false">
      <c r="A535" s="0" t="s">
        <v>193</v>
      </c>
      <c r="B535" s="0" t="s">
        <v>136</v>
      </c>
      <c r="C535" s="0" t="s">
        <v>93</v>
      </c>
      <c r="D535" s="0" t="s">
        <v>521</v>
      </c>
      <c r="E535" s="0" t="s">
        <v>666</v>
      </c>
      <c r="F535" s="0" t="n">
        <v>0.5</v>
      </c>
      <c r="G535" s="0" t="n">
        <v>12.4</v>
      </c>
      <c r="H535" s="0" t="n">
        <v>6.2</v>
      </c>
      <c r="I535" s="0" t="n">
        <f aca="false">IF(ABS(ROUND(F535*G535,2)-H535)&lt;=0.01,1,0)</f>
        <v>1</v>
      </c>
      <c r="J535" s="0" t="n">
        <v>0</v>
      </c>
    </row>
    <row r="536" customFormat="false" ht="15" hidden="false" customHeight="false" outlineLevel="0" collapsed="false">
      <c r="A536" s="0" t="s">
        <v>193</v>
      </c>
      <c r="B536" s="0" t="s">
        <v>136</v>
      </c>
      <c r="C536" s="0" t="s">
        <v>93</v>
      </c>
      <c r="D536" s="0" t="s">
        <v>521</v>
      </c>
      <c r="E536" s="0" t="s">
        <v>667</v>
      </c>
      <c r="F536" s="0" t="n">
        <v>0.5</v>
      </c>
      <c r="G536" s="0" t="n">
        <v>12</v>
      </c>
      <c r="H536" s="0" t="n">
        <v>6</v>
      </c>
      <c r="I536" s="0" t="n">
        <f aca="false">IF(ABS(ROUND(F536*G536,2)-H536)&lt;=0.01,1,0)</f>
        <v>1</v>
      </c>
      <c r="J536" s="0" t="n">
        <v>0</v>
      </c>
    </row>
    <row r="537" customFormat="false" ht="15" hidden="false" customHeight="false" outlineLevel="0" collapsed="false">
      <c r="A537" s="0" t="s">
        <v>193</v>
      </c>
      <c r="B537" s="0" t="s">
        <v>136</v>
      </c>
      <c r="C537" s="0" t="s">
        <v>93</v>
      </c>
      <c r="D537" s="0" t="s">
        <v>541</v>
      </c>
      <c r="E537" s="0" t="s">
        <v>421</v>
      </c>
      <c r="F537" s="0" t="n">
        <v>0.5</v>
      </c>
      <c r="G537" s="0" t="n">
        <v>9</v>
      </c>
      <c r="H537" s="0" t="n">
        <v>4.5</v>
      </c>
      <c r="I537" s="0" t="n">
        <f aca="false">IF(ABS(ROUND(F537*G537,2)-H537)&lt;=0.01,1,0)</f>
        <v>1</v>
      </c>
      <c r="J537" s="0" t="n">
        <v>1</v>
      </c>
    </row>
    <row r="538" customFormat="false" ht="15" hidden="false" customHeight="false" outlineLevel="0" collapsed="false">
      <c r="A538" s="0" t="s">
        <v>193</v>
      </c>
      <c r="B538" s="0" t="s">
        <v>136</v>
      </c>
      <c r="C538" s="0" t="s">
        <v>93</v>
      </c>
      <c r="D538" s="0" t="s">
        <v>541</v>
      </c>
      <c r="E538" s="0" t="s">
        <v>437</v>
      </c>
      <c r="F538" s="0" t="n">
        <v>0.5</v>
      </c>
      <c r="G538" s="0" t="n">
        <v>5.2</v>
      </c>
      <c r="H538" s="0" t="n">
        <v>2.6</v>
      </c>
      <c r="I538" s="0" t="n">
        <f aca="false">IF(ABS(ROUND(F538*G538,2)-H538)&lt;=0.01,1,0)</f>
        <v>1</v>
      </c>
      <c r="J538" s="0" t="n">
        <v>0</v>
      </c>
    </row>
    <row r="539" customFormat="false" ht="15" hidden="false" customHeight="false" outlineLevel="0" collapsed="false">
      <c r="A539" s="0" t="s">
        <v>193</v>
      </c>
      <c r="B539" s="0" t="s">
        <v>136</v>
      </c>
      <c r="C539" s="0" t="s">
        <v>93</v>
      </c>
      <c r="D539" s="0" t="s">
        <v>541</v>
      </c>
      <c r="E539" s="0" t="s">
        <v>621</v>
      </c>
      <c r="F539" s="0" t="n">
        <v>1</v>
      </c>
      <c r="G539" s="0" t="n">
        <v>6.9</v>
      </c>
      <c r="H539" s="0" t="n">
        <v>6.9</v>
      </c>
      <c r="I539" s="0" t="n">
        <f aca="false">IF(ABS(ROUND(F539*G539,2)-H539)&lt;=0.01,1,0)</f>
        <v>1</v>
      </c>
      <c r="J539" s="0" t="n">
        <v>0</v>
      </c>
    </row>
    <row r="540" customFormat="false" ht="15" hidden="false" customHeight="false" outlineLevel="0" collapsed="false">
      <c r="A540" s="0" t="s">
        <v>193</v>
      </c>
      <c r="B540" s="0" t="s">
        <v>136</v>
      </c>
      <c r="C540" s="0" t="s">
        <v>93</v>
      </c>
      <c r="D540" s="0" t="s">
        <v>541</v>
      </c>
      <c r="E540" s="0" t="s">
        <v>663</v>
      </c>
      <c r="F540" s="0" t="n">
        <v>1</v>
      </c>
      <c r="G540" s="0" t="n">
        <v>2.2</v>
      </c>
      <c r="H540" s="0" t="n">
        <v>2.2</v>
      </c>
      <c r="I540" s="0" t="n">
        <f aca="false">IF(ABS(ROUND(F540*G540,2)-H540)&lt;=0.01,1,0)</f>
        <v>1</v>
      </c>
      <c r="J540" s="0" t="n">
        <v>0</v>
      </c>
    </row>
    <row r="541" customFormat="false" ht="15" hidden="false" customHeight="false" outlineLevel="0" collapsed="false">
      <c r="A541" s="0" t="s">
        <v>193</v>
      </c>
      <c r="B541" s="0" t="s">
        <v>136</v>
      </c>
      <c r="C541" s="0" t="s">
        <v>93</v>
      </c>
      <c r="D541" s="0" t="s">
        <v>541</v>
      </c>
      <c r="E541" s="0" t="s">
        <v>441</v>
      </c>
      <c r="F541" s="0" t="n">
        <v>0.5</v>
      </c>
      <c r="G541" s="0" t="n">
        <v>19.9</v>
      </c>
      <c r="H541" s="0" t="n">
        <v>9.95</v>
      </c>
      <c r="I541" s="0" t="n">
        <f aca="false">IF(ABS(ROUND(F541*G541,2)-H541)&lt;=0.01,1,0)</f>
        <v>1</v>
      </c>
      <c r="J541" s="0" t="n">
        <v>0</v>
      </c>
    </row>
    <row r="542" customFormat="false" ht="15" hidden="false" customHeight="false" outlineLevel="0" collapsed="false">
      <c r="A542" s="0" t="s">
        <v>193</v>
      </c>
      <c r="B542" s="0" t="s">
        <v>136</v>
      </c>
      <c r="C542" s="0" t="s">
        <v>93</v>
      </c>
      <c r="D542" s="0" t="s">
        <v>541</v>
      </c>
      <c r="E542" s="0" t="s">
        <v>445</v>
      </c>
      <c r="F542" s="0" t="n">
        <v>0.5</v>
      </c>
      <c r="G542" s="0" t="n">
        <v>19</v>
      </c>
      <c r="H542" s="0" t="n">
        <v>9.5</v>
      </c>
      <c r="I542" s="0" t="n">
        <f aca="false">IF(ABS(ROUND(F542*G542,2)-H542)&lt;=0.01,1,0)</f>
        <v>1</v>
      </c>
      <c r="J542" s="0" t="n">
        <v>0</v>
      </c>
    </row>
    <row r="543" customFormat="false" ht="15" hidden="false" customHeight="false" outlineLevel="0" collapsed="false">
      <c r="A543" s="0" t="s">
        <v>193</v>
      </c>
      <c r="B543" s="0" t="s">
        <v>136</v>
      </c>
      <c r="C543" s="0" t="s">
        <v>93</v>
      </c>
      <c r="D543" s="0" t="s">
        <v>541</v>
      </c>
      <c r="E543" s="0" t="s">
        <v>613</v>
      </c>
      <c r="F543" s="0" t="n">
        <v>1</v>
      </c>
      <c r="G543" s="0" t="n">
        <v>25.9</v>
      </c>
      <c r="H543" s="0" t="n">
        <v>25.9</v>
      </c>
      <c r="I543" s="0" t="n">
        <f aca="false">IF(ABS(ROUND(F543*G543,2)-H543)&lt;=0.01,1,0)</f>
        <v>1</v>
      </c>
      <c r="J543" s="0" t="n">
        <v>0</v>
      </c>
    </row>
    <row r="544" customFormat="false" ht="15" hidden="false" customHeight="false" outlineLevel="0" collapsed="false">
      <c r="A544" s="0" t="s">
        <v>193</v>
      </c>
      <c r="B544" s="0" t="s">
        <v>136</v>
      </c>
      <c r="C544" s="0" t="s">
        <v>93</v>
      </c>
      <c r="D544" s="0" t="s">
        <v>541</v>
      </c>
      <c r="E544" s="0" t="s">
        <v>432</v>
      </c>
      <c r="F544" s="0" t="n">
        <v>0.5</v>
      </c>
      <c r="G544" s="0" t="n">
        <v>5.9</v>
      </c>
      <c r="H544" s="0" t="n">
        <v>2.95</v>
      </c>
      <c r="I544" s="0" t="n">
        <f aca="false">IF(ABS(ROUND(F544*G544,2)-H544)&lt;=0.01,1,0)</f>
        <v>1</v>
      </c>
      <c r="J544" s="0" t="n">
        <v>0</v>
      </c>
    </row>
    <row r="545" customFormat="false" ht="15" hidden="false" customHeight="false" outlineLevel="0" collapsed="false">
      <c r="A545" s="0" t="s">
        <v>193</v>
      </c>
      <c r="B545" s="0" t="s">
        <v>136</v>
      </c>
      <c r="C545" s="0" t="s">
        <v>93</v>
      </c>
      <c r="D545" s="0" t="s">
        <v>541</v>
      </c>
      <c r="E545" s="0" t="s">
        <v>419</v>
      </c>
      <c r="F545" s="0" t="n">
        <v>0.5</v>
      </c>
      <c r="G545" s="0" t="n">
        <v>8.9</v>
      </c>
      <c r="H545" s="0" t="n">
        <v>4.45</v>
      </c>
      <c r="I545" s="0" t="n">
        <f aca="false">IF(ABS(ROUND(F545*G545,2)-H545)&lt;=0.01,1,0)</f>
        <v>1</v>
      </c>
      <c r="J545" s="0" t="n">
        <v>1</v>
      </c>
    </row>
    <row r="546" customFormat="false" ht="15" hidden="false" customHeight="false" outlineLevel="0" collapsed="false">
      <c r="A546" s="0" t="s">
        <v>193</v>
      </c>
      <c r="B546" s="0" t="s">
        <v>136</v>
      </c>
      <c r="C546" s="0" t="s">
        <v>93</v>
      </c>
      <c r="D546" s="0" t="s">
        <v>541</v>
      </c>
      <c r="E546" s="0" t="s">
        <v>664</v>
      </c>
      <c r="F546" s="0" t="n">
        <v>0.5</v>
      </c>
      <c r="G546" s="0" t="n">
        <v>32.2</v>
      </c>
      <c r="H546" s="0" t="n">
        <v>16.1</v>
      </c>
      <c r="I546" s="0" t="n">
        <f aca="false">IF(ABS(ROUND(F546*G546,2)-H546)&lt;=0.01,1,0)</f>
        <v>1</v>
      </c>
      <c r="J546" s="0" t="n">
        <v>0</v>
      </c>
    </row>
    <row r="547" customFormat="false" ht="15" hidden="false" customHeight="false" outlineLevel="0" collapsed="false">
      <c r="A547" s="0" t="s">
        <v>193</v>
      </c>
      <c r="B547" s="0" t="s">
        <v>136</v>
      </c>
      <c r="C547" s="0" t="s">
        <v>93</v>
      </c>
      <c r="D547" s="0" t="s">
        <v>541</v>
      </c>
      <c r="E547" s="0" t="s">
        <v>645</v>
      </c>
      <c r="F547" s="0" t="n">
        <v>1</v>
      </c>
      <c r="G547" s="0" t="n">
        <v>9.9</v>
      </c>
      <c r="H547" s="0" t="n">
        <v>9.9</v>
      </c>
      <c r="I547" s="0" t="n">
        <f aca="false">IF(ABS(ROUND(F547*G547,2)-H547)&lt;=0.01,1,0)</f>
        <v>1</v>
      </c>
      <c r="J547" s="0" t="n">
        <v>0</v>
      </c>
    </row>
    <row r="548" customFormat="false" ht="15" hidden="false" customHeight="false" outlineLevel="0" collapsed="false">
      <c r="A548" s="0" t="s">
        <v>193</v>
      </c>
      <c r="B548" s="0" t="s">
        <v>136</v>
      </c>
      <c r="C548" s="0" t="s">
        <v>93</v>
      </c>
      <c r="D548" s="0" t="s">
        <v>541</v>
      </c>
      <c r="E548" s="0" t="s">
        <v>366</v>
      </c>
      <c r="F548" s="0" t="n">
        <v>1</v>
      </c>
      <c r="G548" s="0" t="n">
        <v>2.2</v>
      </c>
      <c r="H548" s="0" t="n">
        <v>2.2</v>
      </c>
      <c r="I548" s="0" t="n">
        <f aca="false">IF(ABS(ROUND(F548*G548,2)-H548)&lt;=0.01,1,0)</f>
        <v>1</v>
      </c>
      <c r="J548" s="0" t="n">
        <v>0</v>
      </c>
    </row>
    <row r="549" customFormat="false" ht="15" hidden="false" customHeight="false" outlineLevel="0" collapsed="false">
      <c r="A549" s="0" t="s">
        <v>193</v>
      </c>
      <c r="B549" s="0" t="s">
        <v>136</v>
      </c>
      <c r="C549" s="0" t="s">
        <v>93</v>
      </c>
      <c r="D549" s="0" t="s">
        <v>541</v>
      </c>
      <c r="E549" s="0" t="s">
        <v>665</v>
      </c>
      <c r="F549" s="0" t="n">
        <v>0.5</v>
      </c>
      <c r="G549" s="0" t="n">
        <v>9.3</v>
      </c>
      <c r="H549" s="0" t="n">
        <v>4.65</v>
      </c>
      <c r="I549" s="0" t="n">
        <f aca="false">IF(ABS(ROUND(F549*G549,2)-H549)&lt;=0.01,1,0)</f>
        <v>1</v>
      </c>
      <c r="J549" s="0" t="n">
        <v>0</v>
      </c>
    </row>
    <row r="550" customFormat="false" ht="15" hidden="false" customHeight="false" outlineLevel="0" collapsed="false">
      <c r="A550" s="0" t="s">
        <v>193</v>
      </c>
      <c r="B550" s="0" t="s">
        <v>136</v>
      </c>
      <c r="C550" s="0" t="s">
        <v>93</v>
      </c>
      <c r="D550" s="0" t="s">
        <v>541</v>
      </c>
      <c r="E550" s="0" t="s">
        <v>374</v>
      </c>
      <c r="F550" s="0" t="n">
        <v>0.5</v>
      </c>
      <c r="G550" s="0" t="n">
        <v>3.5</v>
      </c>
      <c r="H550" s="0" t="n">
        <v>1.75</v>
      </c>
      <c r="I550" s="0" t="n">
        <f aca="false">IF(ABS(ROUND(F550*G550,2)-H550)&lt;=0.01,1,0)</f>
        <v>1</v>
      </c>
      <c r="J550" s="0" t="n">
        <v>1</v>
      </c>
    </row>
    <row r="551" customFormat="false" ht="15" hidden="false" customHeight="false" outlineLevel="0" collapsed="false">
      <c r="A551" s="0" t="s">
        <v>193</v>
      </c>
      <c r="B551" s="0" t="s">
        <v>136</v>
      </c>
      <c r="C551" s="0" t="s">
        <v>93</v>
      </c>
      <c r="D551" s="0" t="s">
        <v>541</v>
      </c>
      <c r="E551" s="0" t="s">
        <v>666</v>
      </c>
      <c r="F551" s="0" t="n">
        <v>0.5</v>
      </c>
      <c r="G551" s="0" t="n">
        <v>12.4</v>
      </c>
      <c r="H551" s="0" t="n">
        <v>6.2</v>
      </c>
      <c r="I551" s="0" t="n">
        <f aca="false">IF(ABS(ROUND(F551*G551,2)-H551)&lt;=0.01,1,0)</f>
        <v>1</v>
      </c>
      <c r="J551" s="0" t="n">
        <v>0</v>
      </c>
    </row>
    <row r="552" customFormat="false" ht="15" hidden="false" customHeight="false" outlineLevel="0" collapsed="false">
      <c r="A552" s="0" t="s">
        <v>193</v>
      </c>
      <c r="B552" s="0" t="s">
        <v>136</v>
      </c>
      <c r="C552" s="0" t="s">
        <v>93</v>
      </c>
      <c r="D552" s="0" t="s">
        <v>541</v>
      </c>
      <c r="E552" s="0" t="s">
        <v>667</v>
      </c>
      <c r="F552" s="0" t="n">
        <v>0.5</v>
      </c>
      <c r="G552" s="0" t="n">
        <v>12</v>
      </c>
      <c r="H552" s="0" t="n">
        <v>6</v>
      </c>
      <c r="I552" s="0" t="n">
        <f aca="false">IF(ABS(ROUND(F552*G552,2)-H552)&lt;=0.01,1,0)</f>
        <v>1</v>
      </c>
      <c r="J552" s="0" t="n">
        <v>0</v>
      </c>
    </row>
    <row r="553" customFormat="false" ht="15" hidden="false" customHeight="false" outlineLevel="0" collapsed="false">
      <c r="A553" s="0" t="s">
        <v>195</v>
      </c>
      <c r="B553" s="0" t="s">
        <v>136</v>
      </c>
      <c r="C553" s="0" t="s">
        <v>196</v>
      </c>
      <c r="D553" s="0" t="s">
        <v>508</v>
      </c>
      <c r="E553" s="0" t="s">
        <v>644</v>
      </c>
      <c r="F553" s="0" t="n">
        <v>0.5</v>
      </c>
      <c r="G553" s="0" t="n">
        <v>4.2</v>
      </c>
      <c r="H553" s="0" t="n">
        <v>2.1</v>
      </c>
      <c r="I553" s="0" t="n">
        <f aca="false">IF(ABS(ROUND(F553*G553,2)-H553)&lt;=0.01,1,0)</f>
        <v>1</v>
      </c>
      <c r="J553" s="0" t="n">
        <v>0</v>
      </c>
    </row>
    <row r="554" customFormat="false" ht="15" hidden="false" customHeight="false" outlineLevel="0" collapsed="false">
      <c r="A554" s="0" t="s">
        <v>195</v>
      </c>
      <c r="B554" s="0" t="s">
        <v>136</v>
      </c>
      <c r="C554" s="0" t="s">
        <v>196</v>
      </c>
      <c r="D554" s="0" t="s">
        <v>508</v>
      </c>
      <c r="E554" s="0" t="s">
        <v>668</v>
      </c>
      <c r="F554" s="0" t="n">
        <v>0.5</v>
      </c>
      <c r="G554" s="0" t="n">
        <v>3.9</v>
      </c>
      <c r="H554" s="0" t="n">
        <v>1.95</v>
      </c>
      <c r="I554" s="0" t="n">
        <f aca="false">IF(ABS(ROUND(F554*G554,2)-H554)&lt;=0.01,1,0)</f>
        <v>1</v>
      </c>
      <c r="J554" s="0" t="n">
        <v>0</v>
      </c>
    </row>
    <row r="555" customFormat="false" ht="15" hidden="false" customHeight="false" outlineLevel="0" collapsed="false">
      <c r="A555" s="0" t="s">
        <v>195</v>
      </c>
      <c r="B555" s="0" t="s">
        <v>136</v>
      </c>
      <c r="C555" s="0" t="s">
        <v>196</v>
      </c>
      <c r="D555" s="0" t="s">
        <v>508</v>
      </c>
      <c r="E555" s="0" t="s">
        <v>591</v>
      </c>
      <c r="F555" s="0" t="n">
        <v>0.5</v>
      </c>
      <c r="G555" s="0" t="n">
        <v>3.9</v>
      </c>
      <c r="H555" s="0" t="n">
        <v>1.95</v>
      </c>
      <c r="I555" s="0" t="n">
        <f aca="false">IF(ABS(ROUND(F555*G555,2)-H555)&lt;=0.01,1,0)</f>
        <v>1</v>
      </c>
      <c r="J555" s="0" t="n">
        <v>0</v>
      </c>
    </row>
    <row r="556" customFormat="false" ht="15" hidden="false" customHeight="false" outlineLevel="0" collapsed="false">
      <c r="A556" s="0" t="s">
        <v>195</v>
      </c>
      <c r="B556" s="0" t="s">
        <v>136</v>
      </c>
      <c r="C556" s="0" t="s">
        <v>196</v>
      </c>
      <c r="D556" s="0" t="s">
        <v>508</v>
      </c>
      <c r="E556" s="0" t="s">
        <v>419</v>
      </c>
      <c r="F556" s="0" t="n">
        <v>0.5</v>
      </c>
      <c r="G556" s="0" t="n">
        <v>8.9</v>
      </c>
      <c r="H556" s="0" t="n">
        <v>4.45</v>
      </c>
      <c r="I556" s="0" t="n">
        <f aca="false">IF(ABS(ROUND(F556*G556,2)-H556)&lt;=0.01,1,0)</f>
        <v>1</v>
      </c>
      <c r="J556" s="0" t="n">
        <v>0</v>
      </c>
    </row>
    <row r="557" customFormat="false" ht="15" hidden="false" customHeight="false" outlineLevel="0" collapsed="false">
      <c r="A557" s="0" t="s">
        <v>195</v>
      </c>
      <c r="B557" s="0" t="s">
        <v>136</v>
      </c>
      <c r="C557" s="0" t="s">
        <v>196</v>
      </c>
      <c r="D557" s="0" t="s">
        <v>508</v>
      </c>
      <c r="E557" s="0" t="s">
        <v>669</v>
      </c>
      <c r="F557" s="0" t="n">
        <v>0.5</v>
      </c>
      <c r="G557" s="0" t="n">
        <v>3.5</v>
      </c>
      <c r="H557" s="0" t="n">
        <v>1.75</v>
      </c>
      <c r="I557" s="0" t="n">
        <f aca="false">IF(ABS(ROUND(F557*G557,2)-H557)&lt;=0.01,1,0)</f>
        <v>1</v>
      </c>
      <c r="J557" s="0" t="n">
        <v>0</v>
      </c>
    </row>
    <row r="558" customFormat="false" ht="15" hidden="false" customHeight="false" outlineLevel="0" collapsed="false">
      <c r="A558" s="0" t="s">
        <v>195</v>
      </c>
      <c r="B558" s="0" t="s">
        <v>136</v>
      </c>
      <c r="C558" s="0" t="s">
        <v>196</v>
      </c>
      <c r="D558" s="0" t="s">
        <v>508</v>
      </c>
      <c r="E558" s="0" t="s">
        <v>445</v>
      </c>
      <c r="F558" s="0" t="n">
        <v>0.5</v>
      </c>
      <c r="G558" s="0" t="n">
        <v>19</v>
      </c>
      <c r="H558" s="0" t="n">
        <v>9.5</v>
      </c>
      <c r="I558" s="0" t="n">
        <f aca="false">IF(ABS(ROUND(F558*G558,2)-H558)&lt;=0.01,1,0)</f>
        <v>1</v>
      </c>
      <c r="J558" s="0" t="n">
        <v>0</v>
      </c>
    </row>
    <row r="559" customFormat="false" ht="15" hidden="false" customHeight="false" outlineLevel="0" collapsed="false">
      <c r="A559" s="0" t="s">
        <v>195</v>
      </c>
      <c r="B559" s="0" t="s">
        <v>136</v>
      </c>
      <c r="C559" s="0" t="s">
        <v>196</v>
      </c>
      <c r="D559" s="0" t="s">
        <v>508</v>
      </c>
      <c r="E559" s="0" t="s">
        <v>377</v>
      </c>
      <c r="F559" s="0" t="n">
        <v>0.5</v>
      </c>
      <c r="G559" s="0" t="n">
        <v>5.5</v>
      </c>
      <c r="H559" s="0" t="n">
        <v>2.75</v>
      </c>
      <c r="I559" s="0" t="n">
        <f aca="false">IF(ABS(ROUND(F559*G559,2)-H559)&lt;=0.01,1,0)</f>
        <v>1</v>
      </c>
      <c r="J559" s="0" t="n">
        <v>1</v>
      </c>
    </row>
    <row r="560" customFormat="false" ht="15" hidden="false" customHeight="false" outlineLevel="0" collapsed="false">
      <c r="A560" s="0" t="s">
        <v>195</v>
      </c>
      <c r="B560" s="0" t="s">
        <v>136</v>
      </c>
      <c r="C560" s="0" t="s">
        <v>196</v>
      </c>
      <c r="D560" s="0" t="s">
        <v>508</v>
      </c>
      <c r="E560" s="0" t="s">
        <v>423</v>
      </c>
      <c r="F560" s="0" t="n">
        <v>0.5</v>
      </c>
      <c r="G560" s="0" t="n">
        <v>6.4</v>
      </c>
      <c r="H560" s="0" t="n">
        <v>3.2</v>
      </c>
      <c r="I560" s="0" t="n">
        <f aca="false">IF(ABS(ROUND(F560*G560,2)-H560)&lt;=0.01,1,0)</f>
        <v>1</v>
      </c>
      <c r="J560" s="0" t="n">
        <v>1</v>
      </c>
    </row>
    <row r="561" customFormat="false" ht="15" hidden="false" customHeight="false" outlineLevel="0" collapsed="false">
      <c r="A561" s="0" t="s">
        <v>195</v>
      </c>
      <c r="B561" s="0" t="s">
        <v>136</v>
      </c>
      <c r="C561" s="0" t="s">
        <v>196</v>
      </c>
      <c r="D561" s="0" t="s">
        <v>508</v>
      </c>
      <c r="E561" s="0" t="s">
        <v>366</v>
      </c>
      <c r="F561" s="0" t="n">
        <v>0.5</v>
      </c>
      <c r="G561" s="0" t="n">
        <v>2.2</v>
      </c>
      <c r="H561" s="0" t="n">
        <v>1.1</v>
      </c>
      <c r="I561" s="0" t="n">
        <f aca="false">IF(ABS(ROUND(F561*G561,2)-H561)&lt;=0.01,1,0)</f>
        <v>1</v>
      </c>
      <c r="J561" s="0" t="n">
        <v>1</v>
      </c>
    </row>
    <row r="562" customFormat="false" ht="15" hidden="false" customHeight="false" outlineLevel="0" collapsed="false">
      <c r="A562" s="0" t="s">
        <v>195</v>
      </c>
      <c r="B562" s="0" t="s">
        <v>136</v>
      </c>
      <c r="C562" s="0" t="s">
        <v>196</v>
      </c>
      <c r="D562" s="0" t="s">
        <v>499</v>
      </c>
      <c r="E562" s="0" t="s">
        <v>644</v>
      </c>
      <c r="F562" s="0" t="n">
        <v>0.5</v>
      </c>
      <c r="G562" s="0" t="n">
        <v>4.2</v>
      </c>
      <c r="H562" s="0" t="n">
        <v>2.1</v>
      </c>
      <c r="I562" s="0" t="n">
        <f aca="false">IF(ABS(ROUND(F562*G562,2)-H562)&lt;=0.01,1,0)</f>
        <v>1</v>
      </c>
      <c r="J562" s="0" t="n">
        <v>0</v>
      </c>
    </row>
    <row r="563" customFormat="false" ht="15" hidden="false" customHeight="false" outlineLevel="0" collapsed="false">
      <c r="A563" s="0" t="s">
        <v>195</v>
      </c>
      <c r="B563" s="0" t="s">
        <v>136</v>
      </c>
      <c r="C563" s="0" t="s">
        <v>196</v>
      </c>
      <c r="D563" s="0" t="s">
        <v>499</v>
      </c>
      <c r="E563" s="0" t="s">
        <v>668</v>
      </c>
      <c r="F563" s="0" t="n">
        <v>0.5</v>
      </c>
      <c r="G563" s="0" t="n">
        <v>3.9</v>
      </c>
      <c r="H563" s="0" t="n">
        <v>1.95</v>
      </c>
      <c r="I563" s="0" t="n">
        <f aca="false">IF(ABS(ROUND(F563*G563,2)-H563)&lt;=0.01,1,0)</f>
        <v>1</v>
      </c>
      <c r="J563" s="0" t="n">
        <v>0</v>
      </c>
    </row>
    <row r="564" customFormat="false" ht="15" hidden="false" customHeight="false" outlineLevel="0" collapsed="false">
      <c r="A564" s="0" t="s">
        <v>195</v>
      </c>
      <c r="B564" s="0" t="s">
        <v>136</v>
      </c>
      <c r="C564" s="0" t="s">
        <v>196</v>
      </c>
      <c r="D564" s="0" t="s">
        <v>499</v>
      </c>
      <c r="E564" s="0" t="s">
        <v>591</v>
      </c>
      <c r="F564" s="0" t="n">
        <v>0.5</v>
      </c>
      <c r="G564" s="0" t="n">
        <v>3.9</v>
      </c>
      <c r="H564" s="0" t="n">
        <v>1.95</v>
      </c>
      <c r="I564" s="0" t="n">
        <f aca="false">IF(ABS(ROUND(F564*G564,2)-H564)&lt;=0.01,1,0)</f>
        <v>1</v>
      </c>
      <c r="J564" s="0" t="n">
        <v>0</v>
      </c>
    </row>
    <row r="565" customFormat="false" ht="15" hidden="false" customHeight="false" outlineLevel="0" collapsed="false">
      <c r="A565" s="0" t="s">
        <v>195</v>
      </c>
      <c r="B565" s="0" t="s">
        <v>136</v>
      </c>
      <c r="C565" s="0" t="s">
        <v>196</v>
      </c>
      <c r="D565" s="0" t="s">
        <v>499</v>
      </c>
      <c r="E565" s="0" t="s">
        <v>419</v>
      </c>
      <c r="F565" s="0" t="n">
        <v>0.5</v>
      </c>
      <c r="G565" s="0" t="n">
        <v>8.9</v>
      </c>
      <c r="H565" s="0" t="n">
        <v>4.45</v>
      </c>
      <c r="I565" s="0" t="n">
        <f aca="false">IF(ABS(ROUND(F565*G565,2)-H565)&lt;=0.01,1,0)</f>
        <v>1</v>
      </c>
      <c r="J565" s="0" t="n">
        <v>0</v>
      </c>
    </row>
    <row r="566" customFormat="false" ht="15" hidden="false" customHeight="false" outlineLevel="0" collapsed="false">
      <c r="A566" s="0" t="s">
        <v>195</v>
      </c>
      <c r="B566" s="0" t="s">
        <v>136</v>
      </c>
      <c r="C566" s="0" t="s">
        <v>196</v>
      </c>
      <c r="D566" s="0" t="s">
        <v>499</v>
      </c>
      <c r="E566" s="0" t="s">
        <v>669</v>
      </c>
      <c r="F566" s="0" t="n">
        <v>0.5</v>
      </c>
      <c r="G566" s="0" t="n">
        <v>3.5</v>
      </c>
      <c r="H566" s="0" t="n">
        <v>1.75</v>
      </c>
      <c r="I566" s="0" t="n">
        <f aca="false">IF(ABS(ROUND(F566*G566,2)-H566)&lt;=0.01,1,0)</f>
        <v>1</v>
      </c>
      <c r="J566" s="0" t="n">
        <v>0</v>
      </c>
    </row>
    <row r="567" customFormat="false" ht="15" hidden="false" customHeight="false" outlineLevel="0" collapsed="false">
      <c r="A567" s="0" t="s">
        <v>195</v>
      </c>
      <c r="B567" s="0" t="s">
        <v>136</v>
      </c>
      <c r="C567" s="0" t="s">
        <v>196</v>
      </c>
      <c r="D567" s="0" t="s">
        <v>499</v>
      </c>
      <c r="E567" s="0" t="s">
        <v>445</v>
      </c>
      <c r="F567" s="0" t="n">
        <v>0.5</v>
      </c>
      <c r="G567" s="0" t="n">
        <v>19</v>
      </c>
      <c r="H567" s="0" t="n">
        <v>9.5</v>
      </c>
      <c r="I567" s="0" t="n">
        <f aca="false">IF(ABS(ROUND(F567*G567,2)-H567)&lt;=0.01,1,0)</f>
        <v>1</v>
      </c>
      <c r="J567" s="0" t="n">
        <v>0</v>
      </c>
    </row>
    <row r="568" customFormat="false" ht="15" hidden="false" customHeight="false" outlineLevel="0" collapsed="false">
      <c r="A568" s="0" t="s">
        <v>195</v>
      </c>
      <c r="B568" s="0" t="s">
        <v>136</v>
      </c>
      <c r="C568" s="0" t="s">
        <v>196</v>
      </c>
      <c r="D568" s="0" t="s">
        <v>499</v>
      </c>
      <c r="E568" s="0" t="s">
        <v>377</v>
      </c>
      <c r="F568" s="0" t="n">
        <v>0.5</v>
      </c>
      <c r="G568" s="0" t="n">
        <v>5.5</v>
      </c>
      <c r="H568" s="0" t="n">
        <v>2.75</v>
      </c>
      <c r="I568" s="0" t="n">
        <f aca="false">IF(ABS(ROUND(F568*G568,2)-H568)&lt;=0.01,1,0)</f>
        <v>1</v>
      </c>
      <c r="J568" s="0" t="n">
        <v>1</v>
      </c>
    </row>
    <row r="569" customFormat="false" ht="15" hidden="false" customHeight="false" outlineLevel="0" collapsed="false">
      <c r="A569" s="0" t="s">
        <v>195</v>
      </c>
      <c r="B569" s="0" t="s">
        <v>136</v>
      </c>
      <c r="C569" s="0" t="s">
        <v>196</v>
      </c>
      <c r="D569" s="0" t="s">
        <v>499</v>
      </c>
      <c r="E569" s="0" t="s">
        <v>423</v>
      </c>
      <c r="F569" s="0" t="n">
        <v>0.5</v>
      </c>
      <c r="G569" s="0" t="n">
        <v>6.4</v>
      </c>
      <c r="H569" s="0" t="n">
        <v>3.2</v>
      </c>
      <c r="I569" s="0" t="n">
        <f aca="false">IF(ABS(ROUND(F569*G569,2)-H569)&lt;=0.01,1,0)</f>
        <v>1</v>
      </c>
      <c r="J569" s="0" t="n">
        <v>1</v>
      </c>
    </row>
    <row r="570" customFormat="false" ht="15" hidden="false" customHeight="false" outlineLevel="0" collapsed="false">
      <c r="A570" s="0" t="s">
        <v>195</v>
      </c>
      <c r="B570" s="0" t="s">
        <v>136</v>
      </c>
      <c r="C570" s="0" t="s">
        <v>196</v>
      </c>
      <c r="D570" s="0" t="s">
        <v>499</v>
      </c>
      <c r="E570" s="0" t="s">
        <v>366</v>
      </c>
      <c r="F570" s="0" t="n">
        <v>0.5</v>
      </c>
      <c r="G570" s="0" t="n">
        <v>2.2</v>
      </c>
      <c r="H570" s="0" t="n">
        <v>1.1</v>
      </c>
      <c r="I570" s="0" t="n">
        <f aca="false">IF(ABS(ROUND(F570*G570,2)-H570)&lt;=0.01,1,0)</f>
        <v>1</v>
      </c>
      <c r="J570" s="0" t="n">
        <v>1</v>
      </c>
    </row>
    <row r="571" customFormat="false" ht="15" hidden="false" customHeight="false" outlineLevel="0" collapsed="false">
      <c r="A571" s="0" t="s">
        <v>198</v>
      </c>
      <c r="B571" s="0" t="s">
        <v>136</v>
      </c>
      <c r="C571" s="0" t="s">
        <v>199</v>
      </c>
      <c r="D571" s="0" t="s">
        <v>503</v>
      </c>
      <c r="E571" s="0" t="s">
        <v>647</v>
      </c>
      <c r="F571" s="0" t="n">
        <v>0.5</v>
      </c>
      <c r="G571" s="0" t="n">
        <v>17.9</v>
      </c>
      <c r="H571" s="0" t="n">
        <v>8.95</v>
      </c>
      <c r="I571" s="0" t="n">
        <f aca="false">IF(ABS(ROUND(F571*G571,2)-H571)&lt;=0.01,1,0)</f>
        <v>1</v>
      </c>
      <c r="J571" s="0" t="n">
        <v>0</v>
      </c>
    </row>
    <row r="572" customFormat="false" ht="15" hidden="false" customHeight="false" outlineLevel="0" collapsed="false">
      <c r="A572" s="0" t="s">
        <v>198</v>
      </c>
      <c r="B572" s="0" t="s">
        <v>136</v>
      </c>
      <c r="C572" s="0" t="s">
        <v>199</v>
      </c>
      <c r="D572" s="0" t="s">
        <v>503</v>
      </c>
      <c r="E572" s="0" t="s">
        <v>670</v>
      </c>
      <c r="F572" s="0" t="n">
        <v>0.5</v>
      </c>
      <c r="G572" s="0" t="n">
        <v>17.4</v>
      </c>
      <c r="H572" s="0" t="n">
        <v>8.7</v>
      </c>
      <c r="I572" s="0" t="n">
        <f aca="false">IF(ABS(ROUND(F572*G572,2)-H572)&lt;=0.01,1,0)</f>
        <v>1</v>
      </c>
      <c r="J572" s="0" t="n">
        <v>0</v>
      </c>
    </row>
    <row r="573" customFormat="false" ht="15" hidden="false" customHeight="false" outlineLevel="0" collapsed="false">
      <c r="A573" s="0" t="s">
        <v>198</v>
      </c>
      <c r="B573" s="0" t="s">
        <v>136</v>
      </c>
      <c r="C573" s="0" t="s">
        <v>199</v>
      </c>
      <c r="D573" s="0" t="s">
        <v>503</v>
      </c>
      <c r="E573" s="0" t="s">
        <v>427</v>
      </c>
      <c r="F573" s="0" t="n">
        <v>0.5</v>
      </c>
      <c r="G573" s="0" t="n">
        <v>27.8</v>
      </c>
      <c r="H573" s="0" t="n">
        <v>13.9</v>
      </c>
      <c r="I573" s="0" t="n">
        <f aca="false">IF(ABS(ROUND(F573*G573,2)-H573)&lt;=0.01,1,0)</f>
        <v>1</v>
      </c>
      <c r="J573" s="0" t="n">
        <v>1</v>
      </c>
    </row>
    <row r="574" customFormat="false" ht="15" hidden="false" customHeight="false" outlineLevel="0" collapsed="false">
      <c r="A574" s="0" t="s">
        <v>198</v>
      </c>
      <c r="B574" s="0" t="s">
        <v>136</v>
      </c>
      <c r="C574" s="0" t="s">
        <v>199</v>
      </c>
      <c r="D574" s="0" t="s">
        <v>503</v>
      </c>
      <c r="E574" s="0" t="s">
        <v>425</v>
      </c>
      <c r="F574" s="0" t="n">
        <v>0.5</v>
      </c>
      <c r="G574" s="0" t="n">
        <v>18.6</v>
      </c>
      <c r="H574" s="0" t="n">
        <v>9.3</v>
      </c>
      <c r="I574" s="0" t="n">
        <f aca="false">IF(ABS(ROUND(F574*G574,2)-H574)&lt;=0.01,1,0)</f>
        <v>1</v>
      </c>
      <c r="J574" s="0" t="n">
        <v>1</v>
      </c>
    </row>
    <row r="575" customFormat="false" ht="15" hidden="false" customHeight="false" outlineLevel="0" collapsed="false">
      <c r="A575" s="0" t="s">
        <v>198</v>
      </c>
      <c r="B575" s="0" t="s">
        <v>136</v>
      </c>
      <c r="C575" s="0" t="s">
        <v>199</v>
      </c>
      <c r="D575" s="0" t="s">
        <v>503</v>
      </c>
      <c r="E575" s="0" t="s">
        <v>654</v>
      </c>
      <c r="F575" s="0" t="n">
        <v>0.5</v>
      </c>
      <c r="G575" s="0" t="n">
        <v>9.3</v>
      </c>
      <c r="H575" s="0" t="n">
        <v>4.65</v>
      </c>
      <c r="I575" s="0" t="n">
        <f aca="false">IF(ABS(ROUND(F575*G575,2)-H575)&lt;=0.01,1,0)</f>
        <v>1</v>
      </c>
      <c r="J575" s="0" t="n">
        <v>0</v>
      </c>
    </row>
    <row r="576" customFormat="false" ht="15" hidden="false" customHeight="false" outlineLevel="0" collapsed="false">
      <c r="A576" s="0" t="s">
        <v>198</v>
      </c>
      <c r="B576" s="0" t="s">
        <v>136</v>
      </c>
      <c r="C576" s="0" t="s">
        <v>199</v>
      </c>
      <c r="D576" s="0" t="s">
        <v>503</v>
      </c>
      <c r="E576" s="0" t="s">
        <v>429</v>
      </c>
      <c r="F576" s="0" t="n">
        <v>0.5</v>
      </c>
      <c r="G576" s="0" t="n">
        <v>8.9</v>
      </c>
      <c r="H576" s="0" t="n">
        <v>4.45</v>
      </c>
      <c r="I576" s="0" t="n">
        <f aca="false">IF(ABS(ROUND(F576*G576,2)-H576)&lt;=0.01,1,0)</f>
        <v>1</v>
      </c>
      <c r="J576" s="0" t="n">
        <v>0</v>
      </c>
    </row>
    <row r="577" customFormat="false" ht="15" hidden="false" customHeight="false" outlineLevel="0" collapsed="false">
      <c r="A577" s="0" t="s">
        <v>198</v>
      </c>
      <c r="B577" s="0" t="s">
        <v>136</v>
      </c>
      <c r="C577" s="0" t="s">
        <v>199</v>
      </c>
      <c r="D577" s="0" t="s">
        <v>503</v>
      </c>
      <c r="E577" s="0" t="s">
        <v>366</v>
      </c>
      <c r="F577" s="0" t="n">
        <v>1.5</v>
      </c>
      <c r="G577" s="0" t="n">
        <v>2.2</v>
      </c>
      <c r="H577" s="0" t="n">
        <v>3.3</v>
      </c>
      <c r="I577" s="0" t="n">
        <f aca="false">IF(ABS(ROUND(F577*G577,2)-H577)&lt;=0.01,1,0)</f>
        <v>1</v>
      </c>
      <c r="J577" s="0" t="n">
        <v>0</v>
      </c>
    </row>
    <row r="578" customFormat="false" ht="15" hidden="false" customHeight="false" outlineLevel="0" collapsed="false">
      <c r="A578" s="0" t="s">
        <v>198</v>
      </c>
      <c r="B578" s="0" t="s">
        <v>136</v>
      </c>
      <c r="C578" s="0" t="s">
        <v>199</v>
      </c>
      <c r="D578" s="0" t="s">
        <v>503</v>
      </c>
      <c r="E578" s="0" t="s">
        <v>671</v>
      </c>
      <c r="F578" s="0" t="n">
        <v>0.5</v>
      </c>
      <c r="G578" s="0" t="n">
        <v>5.4</v>
      </c>
      <c r="H578" s="0" t="n">
        <v>2.7</v>
      </c>
      <c r="I578" s="0" t="n">
        <f aca="false">IF(ABS(ROUND(F578*G578,2)-H578)&lt;=0.01,1,0)</f>
        <v>1</v>
      </c>
      <c r="J578" s="0" t="n">
        <v>0</v>
      </c>
    </row>
    <row r="579" customFormat="false" ht="15" hidden="false" customHeight="false" outlineLevel="0" collapsed="false">
      <c r="A579" s="0" t="s">
        <v>198</v>
      </c>
      <c r="B579" s="0" t="s">
        <v>136</v>
      </c>
      <c r="C579" s="0" t="s">
        <v>199</v>
      </c>
      <c r="D579" s="0" t="s">
        <v>503</v>
      </c>
      <c r="E579" s="0" t="s">
        <v>423</v>
      </c>
      <c r="F579" s="0" t="n">
        <v>0.5</v>
      </c>
      <c r="G579" s="0" t="n">
        <v>6.4</v>
      </c>
      <c r="H579" s="0" t="n">
        <v>3.2</v>
      </c>
      <c r="I579" s="0" t="n">
        <f aca="false">IF(ABS(ROUND(F579*G579,2)-H579)&lt;=0.01,1,0)</f>
        <v>1</v>
      </c>
      <c r="J579" s="0" t="n">
        <v>0</v>
      </c>
    </row>
    <row r="580" customFormat="false" ht="15" hidden="false" customHeight="false" outlineLevel="0" collapsed="false">
      <c r="A580" s="0" t="s">
        <v>198</v>
      </c>
      <c r="B580" s="0" t="s">
        <v>136</v>
      </c>
      <c r="C580" s="0" t="s">
        <v>199</v>
      </c>
      <c r="D580" s="0" t="s">
        <v>503</v>
      </c>
      <c r="E580" s="0" t="s">
        <v>672</v>
      </c>
      <c r="F580" s="0" t="n">
        <v>0.5</v>
      </c>
      <c r="G580" s="0" t="n">
        <v>3.5</v>
      </c>
      <c r="H580" s="0" t="n">
        <v>1.75</v>
      </c>
      <c r="I580" s="0" t="n">
        <f aca="false">IF(ABS(ROUND(F580*G580,2)-H580)&lt;=0.01,1,0)</f>
        <v>1</v>
      </c>
      <c r="J580" s="0" t="n">
        <v>0</v>
      </c>
    </row>
    <row r="581" customFormat="false" ht="15" hidden="false" customHeight="false" outlineLevel="0" collapsed="false">
      <c r="A581" s="0" t="s">
        <v>198</v>
      </c>
      <c r="B581" s="0" t="s">
        <v>136</v>
      </c>
      <c r="C581" s="0" t="s">
        <v>199</v>
      </c>
      <c r="D581" s="0" t="s">
        <v>498</v>
      </c>
      <c r="E581" s="0" t="s">
        <v>647</v>
      </c>
      <c r="F581" s="0" t="n">
        <v>0.5</v>
      </c>
      <c r="G581" s="0" t="n">
        <v>17.9</v>
      </c>
      <c r="H581" s="0" t="n">
        <v>8.95</v>
      </c>
      <c r="I581" s="0" t="n">
        <f aca="false">IF(ABS(ROUND(F581*G581,2)-H581)&lt;=0.01,1,0)</f>
        <v>1</v>
      </c>
      <c r="J581" s="0" t="n">
        <v>0</v>
      </c>
    </row>
    <row r="582" customFormat="false" ht="15" hidden="false" customHeight="false" outlineLevel="0" collapsed="false">
      <c r="A582" s="0" t="s">
        <v>198</v>
      </c>
      <c r="B582" s="0" t="s">
        <v>136</v>
      </c>
      <c r="C582" s="0" t="s">
        <v>199</v>
      </c>
      <c r="D582" s="0" t="s">
        <v>498</v>
      </c>
      <c r="E582" s="0" t="s">
        <v>670</v>
      </c>
      <c r="F582" s="0" t="n">
        <v>0.5</v>
      </c>
      <c r="G582" s="0" t="n">
        <v>17.4</v>
      </c>
      <c r="H582" s="0" t="n">
        <v>8.7</v>
      </c>
      <c r="I582" s="0" t="n">
        <f aca="false">IF(ABS(ROUND(F582*G582,2)-H582)&lt;=0.01,1,0)</f>
        <v>1</v>
      </c>
      <c r="J582" s="0" t="n">
        <v>0</v>
      </c>
    </row>
    <row r="583" customFormat="false" ht="15" hidden="false" customHeight="false" outlineLevel="0" collapsed="false">
      <c r="A583" s="0" t="s">
        <v>198</v>
      </c>
      <c r="B583" s="0" t="s">
        <v>136</v>
      </c>
      <c r="C583" s="0" t="s">
        <v>199</v>
      </c>
      <c r="D583" s="0" t="s">
        <v>498</v>
      </c>
      <c r="E583" s="0" t="s">
        <v>427</v>
      </c>
      <c r="F583" s="0" t="n">
        <v>0.5</v>
      </c>
      <c r="G583" s="0" t="n">
        <v>27.8</v>
      </c>
      <c r="H583" s="0" t="n">
        <v>13.9</v>
      </c>
      <c r="I583" s="0" t="n">
        <f aca="false">IF(ABS(ROUND(F583*G583,2)-H583)&lt;=0.01,1,0)</f>
        <v>1</v>
      </c>
      <c r="J583" s="0" t="n">
        <v>1</v>
      </c>
    </row>
    <row r="584" customFormat="false" ht="15" hidden="false" customHeight="false" outlineLevel="0" collapsed="false">
      <c r="A584" s="0" t="s">
        <v>198</v>
      </c>
      <c r="B584" s="0" t="s">
        <v>136</v>
      </c>
      <c r="C584" s="0" t="s">
        <v>199</v>
      </c>
      <c r="D584" s="0" t="s">
        <v>498</v>
      </c>
      <c r="E584" s="0" t="s">
        <v>425</v>
      </c>
      <c r="F584" s="0" t="n">
        <v>0.5</v>
      </c>
      <c r="G584" s="0" t="n">
        <v>18.6</v>
      </c>
      <c r="H584" s="0" t="n">
        <v>9.3</v>
      </c>
      <c r="I584" s="0" t="n">
        <f aca="false">IF(ABS(ROUND(F584*G584,2)-H584)&lt;=0.01,1,0)</f>
        <v>1</v>
      </c>
      <c r="J584" s="0" t="n">
        <v>1</v>
      </c>
    </row>
    <row r="585" customFormat="false" ht="15" hidden="false" customHeight="false" outlineLevel="0" collapsed="false">
      <c r="A585" s="0" t="s">
        <v>198</v>
      </c>
      <c r="B585" s="0" t="s">
        <v>136</v>
      </c>
      <c r="C585" s="0" t="s">
        <v>199</v>
      </c>
      <c r="D585" s="0" t="s">
        <v>498</v>
      </c>
      <c r="E585" s="0" t="s">
        <v>654</v>
      </c>
      <c r="F585" s="0" t="n">
        <v>0.5</v>
      </c>
      <c r="G585" s="0" t="n">
        <v>9.3</v>
      </c>
      <c r="H585" s="0" t="n">
        <v>4.65</v>
      </c>
      <c r="I585" s="0" t="n">
        <f aca="false">IF(ABS(ROUND(F585*G585,2)-H585)&lt;=0.01,1,0)</f>
        <v>1</v>
      </c>
      <c r="J585" s="0" t="n">
        <v>0</v>
      </c>
    </row>
    <row r="586" customFormat="false" ht="15" hidden="false" customHeight="false" outlineLevel="0" collapsed="false">
      <c r="A586" s="0" t="s">
        <v>198</v>
      </c>
      <c r="B586" s="0" t="s">
        <v>136</v>
      </c>
      <c r="C586" s="0" t="s">
        <v>199</v>
      </c>
      <c r="D586" s="0" t="s">
        <v>498</v>
      </c>
      <c r="E586" s="0" t="s">
        <v>429</v>
      </c>
      <c r="F586" s="0" t="n">
        <v>0.5</v>
      </c>
      <c r="G586" s="0" t="n">
        <v>8.9</v>
      </c>
      <c r="H586" s="0" t="n">
        <v>4.45</v>
      </c>
      <c r="I586" s="0" t="n">
        <f aca="false">IF(ABS(ROUND(F586*G586,2)-H586)&lt;=0.01,1,0)</f>
        <v>1</v>
      </c>
      <c r="J586" s="0" t="n">
        <v>0</v>
      </c>
    </row>
    <row r="587" customFormat="false" ht="15" hidden="false" customHeight="false" outlineLevel="0" collapsed="false">
      <c r="A587" s="0" t="s">
        <v>198</v>
      </c>
      <c r="B587" s="0" t="s">
        <v>136</v>
      </c>
      <c r="C587" s="0" t="s">
        <v>199</v>
      </c>
      <c r="D587" s="0" t="s">
        <v>498</v>
      </c>
      <c r="E587" s="0" t="s">
        <v>366</v>
      </c>
      <c r="F587" s="0" t="n">
        <v>1.5</v>
      </c>
      <c r="G587" s="0" t="n">
        <v>2.2</v>
      </c>
      <c r="H587" s="0" t="n">
        <v>3.3</v>
      </c>
      <c r="I587" s="0" t="n">
        <f aca="false">IF(ABS(ROUND(F587*G587,2)-H587)&lt;=0.01,1,0)</f>
        <v>1</v>
      </c>
      <c r="J587" s="0" t="n">
        <v>0</v>
      </c>
    </row>
    <row r="588" customFormat="false" ht="15" hidden="false" customHeight="false" outlineLevel="0" collapsed="false">
      <c r="A588" s="0" t="s">
        <v>198</v>
      </c>
      <c r="B588" s="0" t="s">
        <v>136</v>
      </c>
      <c r="C588" s="0" t="s">
        <v>199</v>
      </c>
      <c r="D588" s="0" t="s">
        <v>498</v>
      </c>
      <c r="E588" s="0" t="s">
        <v>671</v>
      </c>
      <c r="F588" s="0" t="n">
        <v>0.5</v>
      </c>
      <c r="G588" s="0" t="n">
        <v>5.4</v>
      </c>
      <c r="H588" s="0" t="n">
        <v>2.7</v>
      </c>
      <c r="I588" s="0" t="n">
        <f aca="false">IF(ABS(ROUND(F588*G588,2)-H588)&lt;=0.01,1,0)</f>
        <v>1</v>
      </c>
      <c r="J588" s="0" t="n">
        <v>0</v>
      </c>
    </row>
    <row r="589" customFormat="false" ht="15" hidden="false" customHeight="false" outlineLevel="0" collapsed="false">
      <c r="A589" s="0" t="s">
        <v>198</v>
      </c>
      <c r="B589" s="0" t="s">
        <v>136</v>
      </c>
      <c r="C589" s="0" t="s">
        <v>199</v>
      </c>
      <c r="D589" s="0" t="s">
        <v>498</v>
      </c>
      <c r="E589" s="0" t="s">
        <v>423</v>
      </c>
      <c r="F589" s="0" t="n">
        <v>0.5</v>
      </c>
      <c r="G589" s="0" t="n">
        <v>6.4</v>
      </c>
      <c r="H589" s="0" t="n">
        <v>3.2</v>
      </c>
      <c r="I589" s="0" t="n">
        <f aca="false">IF(ABS(ROUND(F589*G589,2)-H589)&lt;=0.01,1,0)</f>
        <v>1</v>
      </c>
      <c r="J589" s="0" t="n">
        <v>0</v>
      </c>
    </row>
    <row r="590" customFormat="false" ht="15" hidden="false" customHeight="false" outlineLevel="0" collapsed="false">
      <c r="A590" s="0" t="s">
        <v>198</v>
      </c>
      <c r="B590" s="0" t="s">
        <v>136</v>
      </c>
      <c r="C590" s="0" t="s">
        <v>199</v>
      </c>
      <c r="D590" s="0" t="s">
        <v>498</v>
      </c>
      <c r="E590" s="0" t="s">
        <v>672</v>
      </c>
      <c r="F590" s="0" t="n">
        <v>0.5</v>
      </c>
      <c r="G590" s="0" t="n">
        <v>3.5</v>
      </c>
      <c r="H590" s="0" t="n">
        <v>1.75</v>
      </c>
      <c r="I590" s="0" t="n">
        <f aca="false">IF(ABS(ROUND(F590*G590,2)-H590)&lt;=0.01,1,0)</f>
        <v>1</v>
      </c>
      <c r="J590" s="0" t="n">
        <v>0</v>
      </c>
    </row>
    <row r="591" customFormat="false" ht="15" hidden="false" customHeight="false" outlineLevel="0" collapsed="false">
      <c r="A591" s="0" t="s">
        <v>201</v>
      </c>
      <c r="B591" s="0" t="s">
        <v>136</v>
      </c>
      <c r="C591" s="0" t="s">
        <v>202</v>
      </c>
      <c r="D591" s="0" t="s">
        <v>487</v>
      </c>
      <c r="E591" s="0" t="s">
        <v>395</v>
      </c>
      <c r="F591" s="0" t="n">
        <v>0.5</v>
      </c>
      <c r="G591" s="0" t="n">
        <v>5.9</v>
      </c>
      <c r="H591" s="0" t="n">
        <v>2.95</v>
      </c>
      <c r="I591" s="0" t="n">
        <f aca="false">IF(ABS(ROUND(F591*G591,2)-H591)&lt;=0.01,1,0)</f>
        <v>1</v>
      </c>
      <c r="J591" s="0" t="n">
        <v>0</v>
      </c>
    </row>
    <row r="592" customFormat="false" ht="15" hidden="false" customHeight="false" outlineLevel="0" collapsed="false">
      <c r="A592" s="0" t="s">
        <v>201</v>
      </c>
      <c r="B592" s="0" t="s">
        <v>136</v>
      </c>
      <c r="C592" s="0" t="s">
        <v>202</v>
      </c>
      <c r="D592" s="0" t="s">
        <v>487</v>
      </c>
      <c r="E592" s="0" t="s">
        <v>428</v>
      </c>
      <c r="F592" s="0" t="n">
        <v>1.25</v>
      </c>
      <c r="G592" s="0" t="n">
        <v>8.3</v>
      </c>
      <c r="H592" s="0" t="n">
        <v>10.38</v>
      </c>
      <c r="I592" s="0" t="n">
        <f aca="false">IF(ABS(ROUND(F592*G592,2)-H592)&lt;=0.01,1,0)</f>
        <v>1</v>
      </c>
      <c r="J592" s="0" t="n">
        <v>1</v>
      </c>
    </row>
    <row r="593" customFormat="false" ht="15" hidden="false" customHeight="false" outlineLevel="0" collapsed="false">
      <c r="A593" s="0" t="s">
        <v>201</v>
      </c>
      <c r="B593" s="0" t="s">
        <v>136</v>
      </c>
      <c r="C593" s="0" t="s">
        <v>202</v>
      </c>
      <c r="D593" s="0" t="s">
        <v>487</v>
      </c>
      <c r="E593" s="0" t="s">
        <v>400</v>
      </c>
      <c r="F593" s="0" t="n">
        <v>0.25</v>
      </c>
      <c r="G593" s="0" t="n">
        <v>19.5</v>
      </c>
      <c r="H593" s="0" t="n">
        <v>4.88</v>
      </c>
      <c r="I593" s="0" t="n">
        <f aca="false">IF(ABS(ROUND(F593*G593,2)-H593)&lt;=0.01,1,0)</f>
        <v>1</v>
      </c>
      <c r="J593" s="0" t="n">
        <v>0</v>
      </c>
    </row>
    <row r="594" customFormat="false" ht="15" hidden="false" customHeight="false" outlineLevel="0" collapsed="false">
      <c r="A594" s="0" t="s">
        <v>201</v>
      </c>
      <c r="B594" s="0" t="s">
        <v>136</v>
      </c>
      <c r="C594" s="0" t="s">
        <v>202</v>
      </c>
      <c r="D594" s="0" t="s">
        <v>487</v>
      </c>
      <c r="E594" s="0" t="s">
        <v>430</v>
      </c>
      <c r="F594" s="0" t="n">
        <v>0.25</v>
      </c>
      <c r="G594" s="0" t="n">
        <v>19.9</v>
      </c>
      <c r="H594" s="0" t="n">
        <v>4.97</v>
      </c>
      <c r="I594" s="0" t="n">
        <f aca="false">IF(ABS(ROUND(F594*G594,2)-H594)&lt;=0.01,1,0)</f>
        <v>0</v>
      </c>
      <c r="J594" s="0" t="n">
        <v>1</v>
      </c>
    </row>
    <row r="595" customFormat="false" ht="15" hidden="false" customHeight="false" outlineLevel="0" collapsed="false">
      <c r="A595" s="0" t="s">
        <v>201</v>
      </c>
      <c r="B595" s="0" t="s">
        <v>136</v>
      </c>
      <c r="C595" s="0" t="s">
        <v>202</v>
      </c>
      <c r="D595" s="0" t="s">
        <v>487</v>
      </c>
      <c r="E595" s="0" t="s">
        <v>351</v>
      </c>
      <c r="F595" s="0" t="n">
        <v>0.25</v>
      </c>
      <c r="G595" s="0" t="n">
        <v>18.6</v>
      </c>
      <c r="H595" s="0" t="n">
        <v>4.65</v>
      </c>
      <c r="I595" s="0" t="n">
        <f aca="false">IF(ABS(ROUND(F595*G595,2)-H595)&lt;=0.01,1,0)</f>
        <v>1</v>
      </c>
      <c r="J595" s="0" t="n">
        <v>0</v>
      </c>
    </row>
    <row r="596" customFormat="false" ht="15" hidden="false" customHeight="false" outlineLevel="0" collapsed="false">
      <c r="A596" s="0" t="s">
        <v>201</v>
      </c>
      <c r="B596" s="0" t="s">
        <v>136</v>
      </c>
      <c r="C596" s="0" t="s">
        <v>202</v>
      </c>
      <c r="D596" s="0" t="s">
        <v>487</v>
      </c>
      <c r="E596" s="0" t="s">
        <v>591</v>
      </c>
      <c r="F596" s="0" t="n">
        <v>0.25</v>
      </c>
      <c r="G596" s="0" t="n">
        <v>3.9</v>
      </c>
      <c r="H596" s="0" t="n">
        <v>0.97</v>
      </c>
      <c r="I596" s="0" t="n">
        <f aca="false">IF(ABS(ROUND(F596*G596,2)-H596)&lt;=0.01,1,0)</f>
        <v>1</v>
      </c>
      <c r="J596" s="0" t="n">
        <v>0</v>
      </c>
    </row>
    <row r="597" customFormat="false" ht="15" hidden="false" customHeight="false" outlineLevel="0" collapsed="false">
      <c r="A597" s="0" t="s">
        <v>201</v>
      </c>
      <c r="B597" s="0" t="s">
        <v>136</v>
      </c>
      <c r="C597" s="0" t="s">
        <v>202</v>
      </c>
      <c r="D597" s="0" t="s">
        <v>487</v>
      </c>
      <c r="E597" s="0" t="s">
        <v>673</v>
      </c>
      <c r="F597" s="0" t="n">
        <v>0.25</v>
      </c>
      <c r="G597" s="0" t="n">
        <v>3.2</v>
      </c>
      <c r="H597" s="0" t="n">
        <v>0.8</v>
      </c>
      <c r="I597" s="0" t="n">
        <f aca="false">IF(ABS(ROUND(F597*G597,2)-H597)&lt;=0.01,1,0)</f>
        <v>1</v>
      </c>
      <c r="J597" s="0" t="n">
        <v>0</v>
      </c>
    </row>
    <row r="598" customFormat="false" ht="15" hidden="false" customHeight="false" outlineLevel="0" collapsed="false">
      <c r="A598" s="0" t="s">
        <v>201</v>
      </c>
      <c r="B598" s="0" t="s">
        <v>136</v>
      </c>
      <c r="C598" s="0" t="s">
        <v>202</v>
      </c>
      <c r="D598" s="0" t="s">
        <v>487</v>
      </c>
      <c r="E598" s="0" t="s">
        <v>674</v>
      </c>
      <c r="F598" s="0" t="n">
        <v>0.25</v>
      </c>
      <c r="G598" s="0" t="n">
        <v>1.4</v>
      </c>
      <c r="H598" s="0" t="n">
        <v>0.35</v>
      </c>
      <c r="I598" s="0" t="n">
        <f aca="false">IF(ABS(ROUND(F598*G598,2)-H598)&lt;=0.01,1,0)</f>
        <v>1</v>
      </c>
      <c r="J598" s="0" t="n">
        <v>0</v>
      </c>
    </row>
    <row r="599" customFormat="false" ht="15" hidden="false" customHeight="false" outlineLevel="0" collapsed="false">
      <c r="A599" s="0" t="s">
        <v>201</v>
      </c>
      <c r="B599" s="0" t="s">
        <v>136</v>
      </c>
      <c r="C599" s="0" t="s">
        <v>202</v>
      </c>
      <c r="D599" s="0" t="s">
        <v>487</v>
      </c>
      <c r="E599" s="0" t="s">
        <v>432</v>
      </c>
      <c r="F599" s="0" t="n">
        <v>0.25</v>
      </c>
      <c r="G599" s="0" t="n">
        <v>2.9</v>
      </c>
      <c r="H599" s="0" t="n">
        <v>0.72</v>
      </c>
      <c r="I599" s="0" t="n">
        <f aca="false">IF(ABS(ROUND(F599*G599,2)-H599)&lt;=0.01,1,0)</f>
        <v>1</v>
      </c>
      <c r="J599" s="0" t="n">
        <v>0</v>
      </c>
    </row>
    <row r="600" customFormat="false" ht="15" hidden="false" customHeight="false" outlineLevel="0" collapsed="false">
      <c r="A600" s="0" t="s">
        <v>201</v>
      </c>
      <c r="B600" s="0" t="s">
        <v>136</v>
      </c>
      <c r="C600" s="0" t="s">
        <v>202</v>
      </c>
      <c r="D600" s="0" t="s">
        <v>487</v>
      </c>
      <c r="E600" s="0" t="s">
        <v>675</v>
      </c>
      <c r="F600" s="0" t="n">
        <v>0.25</v>
      </c>
      <c r="G600" s="0" t="n">
        <v>3.2</v>
      </c>
      <c r="H600" s="0" t="n">
        <v>0.8</v>
      </c>
      <c r="I600" s="0" t="n">
        <f aca="false">IF(ABS(ROUND(F600*G600,2)-H600)&lt;=0.01,1,0)</f>
        <v>1</v>
      </c>
      <c r="J600" s="0" t="n">
        <v>0</v>
      </c>
    </row>
    <row r="601" customFormat="false" ht="15" hidden="false" customHeight="false" outlineLevel="0" collapsed="false">
      <c r="A601" s="0" t="s">
        <v>201</v>
      </c>
      <c r="B601" s="0" t="s">
        <v>136</v>
      </c>
      <c r="C601" s="0" t="s">
        <v>202</v>
      </c>
      <c r="D601" s="0" t="s">
        <v>487</v>
      </c>
      <c r="E601" s="0" t="s">
        <v>429</v>
      </c>
      <c r="F601" s="0" t="n">
        <v>0.25</v>
      </c>
      <c r="G601" s="0" t="n">
        <v>8.9</v>
      </c>
      <c r="H601" s="0" t="n">
        <v>2.23</v>
      </c>
      <c r="I601" s="0" t="n">
        <f aca="false">IF(ABS(ROUND(F601*G601,2)-H601)&lt;=0.01,1,0)</f>
        <v>1</v>
      </c>
      <c r="J601" s="0" t="n">
        <v>1</v>
      </c>
    </row>
    <row r="602" customFormat="false" ht="15" hidden="false" customHeight="false" outlineLevel="0" collapsed="false">
      <c r="A602" s="0" t="s">
        <v>201</v>
      </c>
      <c r="B602" s="0" t="s">
        <v>136</v>
      </c>
      <c r="C602" s="0" t="s">
        <v>202</v>
      </c>
      <c r="D602" s="0" t="s">
        <v>487</v>
      </c>
      <c r="E602" s="0" t="s">
        <v>377</v>
      </c>
      <c r="F602" s="0" t="n">
        <v>0.25</v>
      </c>
      <c r="G602" s="0" t="n">
        <v>5.5</v>
      </c>
      <c r="H602" s="0" t="n">
        <v>1.38</v>
      </c>
      <c r="I602" s="0" t="n">
        <f aca="false">IF(ABS(ROUND(F602*G602,2)-H602)&lt;=0.01,1,0)</f>
        <v>1</v>
      </c>
      <c r="J602" s="0" t="n">
        <v>0</v>
      </c>
    </row>
    <row r="603" customFormat="false" ht="15" hidden="false" customHeight="false" outlineLevel="0" collapsed="false">
      <c r="A603" s="0" t="s">
        <v>201</v>
      </c>
      <c r="B603" s="0" t="s">
        <v>136</v>
      </c>
      <c r="C603" s="0" t="s">
        <v>202</v>
      </c>
      <c r="D603" s="0" t="s">
        <v>508</v>
      </c>
      <c r="E603" s="0" t="s">
        <v>395</v>
      </c>
      <c r="F603" s="0" t="n">
        <v>1.5</v>
      </c>
      <c r="G603" s="0" t="n">
        <v>5.9</v>
      </c>
      <c r="H603" s="0" t="n">
        <v>8.85</v>
      </c>
      <c r="I603" s="0" t="n">
        <f aca="false">IF(ABS(ROUND(F603*G603,2)-H603)&lt;=0.01,1,0)</f>
        <v>1</v>
      </c>
      <c r="J603" s="0" t="n">
        <v>0</v>
      </c>
    </row>
    <row r="604" customFormat="false" ht="15" hidden="false" customHeight="false" outlineLevel="0" collapsed="false">
      <c r="A604" s="0" t="s">
        <v>201</v>
      </c>
      <c r="B604" s="0" t="s">
        <v>136</v>
      </c>
      <c r="C604" s="0" t="s">
        <v>202</v>
      </c>
      <c r="D604" s="0" t="s">
        <v>508</v>
      </c>
      <c r="E604" s="0" t="s">
        <v>428</v>
      </c>
      <c r="F604" s="0" t="n">
        <v>1.75</v>
      </c>
      <c r="G604" s="0" t="n">
        <v>8.3</v>
      </c>
      <c r="H604" s="0" t="n">
        <v>14.53</v>
      </c>
      <c r="I604" s="0" t="n">
        <f aca="false">IF(ABS(ROUND(F604*G604,2)-H604)&lt;=0.01,1,0)</f>
        <v>1</v>
      </c>
      <c r="J604" s="0" t="n">
        <v>1</v>
      </c>
    </row>
    <row r="605" customFormat="false" ht="15" hidden="false" customHeight="false" outlineLevel="0" collapsed="false">
      <c r="A605" s="0" t="s">
        <v>201</v>
      </c>
      <c r="B605" s="0" t="s">
        <v>136</v>
      </c>
      <c r="C605" s="0" t="s">
        <v>202</v>
      </c>
      <c r="D605" s="0" t="s">
        <v>508</v>
      </c>
      <c r="E605" s="0" t="s">
        <v>400</v>
      </c>
      <c r="F605" s="0" t="n">
        <v>0.75</v>
      </c>
      <c r="G605" s="0" t="n">
        <v>19.5</v>
      </c>
      <c r="H605" s="0" t="n">
        <v>14.62</v>
      </c>
      <c r="I605" s="0" t="n">
        <f aca="false">IF(ABS(ROUND(F605*G605,2)-H605)&lt;=0.01,1,0)</f>
        <v>0</v>
      </c>
      <c r="J605" s="0" t="n">
        <v>0</v>
      </c>
    </row>
    <row r="606" customFormat="false" ht="15" hidden="false" customHeight="false" outlineLevel="0" collapsed="false">
      <c r="A606" s="0" t="s">
        <v>201</v>
      </c>
      <c r="B606" s="0" t="s">
        <v>136</v>
      </c>
      <c r="C606" s="0" t="s">
        <v>202</v>
      </c>
      <c r="D606" s="0" t="s">
        <v>508</v>
      </c>
      <c r="E606" s="0" t="s">
        <v>430</v>
      </c>
      <c r="F606" s="0" t="n">
        <v>0.75</v>
      </c>
      <c r="G606" s="0" t="n">
        <v>19.9</v>
      </c>
      <c r="H606" s="0" t="n">
        <v>14.92</v>
      </c>
      <c r="I606" s="0" t="n">
        <f aca="false">IF(ABS(ROUND(F606*G606,2)-H606)&lt;=0.01,1,0)</f>
        <v>1</v>
      </c>
      <c r="J606" s="0" t="n">
        <v>1</v>
      </c>
    </row>
    <row r="607" customFormat="false" ht="15" hidden="false" customHeight="false" outlineLevel="0" collapsed="false">
      <c r="A607" s="0" t="s">
        <v>201</v>
      </c>
      <c r="B607" s="0" t="s">
        <v>136</v>
      </c>
      <c r="C607" s="0" t="s">
        <v>202</v>
      </c>
      <c r="D607" s="0" t="s">
        <v>508</v>
      </c>
      <c r="E607" s="0" t="s">
        <v>351</v>
      </c>
      <c r="F607" s="0" t="n">
        <v>0.75</v>
      </c>
      <c r="G607" s="0" t="n">
        <v>18.6</v>
      </c>
      <c r="H607" s="0" t="n">
        <v>13.95</v>
      </c>
      <c r="I607" s="0" t="n">
        <f aca="false">IF(ABS(ROUND(F607*G607,2)-H607)&lt;=0.01,1,0)</f>
        <v>1</v>
      </c>
      <c r="J607" s="0" t="n">
        <v>0</v>
      </c>
    </row>
    <row r="608" customFormat="false" ht="15" hidden="false" customHeight="false" outlineLevel="0" collapsed="false">
      <c r="A608" s="0" t="s">
        <v>201</v>
      </c>
      <c r="B608" s="0" t="s">
        <v>136</v>
      </c>
      <c r="C608" s="0" t="s">
        <v>202</v>
      </c>
      <c r="D608" s="0" t="s">
        <v>508</v>
      </c>
      <c r="E608" s="0" t="s">
        <v>591</v>
      </c>
      <c r="F608" s="0" t="n">
        <v>0.75</v>
      </c>
      <c r="G608" s="0" t="n">
        <v>3.9</v>
      </c>
      <c r="H608" s="0" t="n">
        <v>2.92</v>
      </c>
      <c r="I608" s="0" t="n">
        <f aca="false">IF(ABS(ROUND(F608*G608,2)-H608)&lt;=0.01,1,0)</f>
        <v>0</v>
      </c>
      <c r="J608" s="0" t="n">
        <v>0</v>
      </c>
    </row>
    <row r="609" customFormat="false" ht="15" hidden="false" customHeight="false" outlineLevel="0" collapsed="false">
      <c r="A609" s="0" t="s">
        <v>201</v>
      </c>
      <c r="B609" s="0" t="s">
        <v>136</v>
      </c>
      <c r="C609" s="0" t="s">
        <v>202</v>
      </c>
      <c r="D609" s="0" t="s">
        <v>508</v>
      </c>
      <c r="E609" s="0" t="s">
        <v>673</v>
      </c>
      <c r="F609" s="0" t="n">
        <v>0.75</v>
      </c>
      <c r="G609" s="0" t="n">
        <v>3.2</v>
      </c>
      <c r="H609" s="0" t="n">
        <v>2.4</v>
      </c>
      <c r="I609" s="0" t="n">
        <f aca="false">IF(ABS(ROUND(F609*G609,2)-H609)&lt;=0.01,1,0)</f>
        <v>1</v>
      </c>
      <c r="J609" s="0" t="n">
        <v>0</v>
      </c>
    </row>
    <row r="610" customFormat="false" ht="15" hidden="false" customHeight="false" outlineLevel="0" collapsed="false">
      <c r="A610" s="0" t="s">
        <v>201</v>
      </c>
      <c r="B610" s="0" t="s">
        <v>136</v>
      </c>
      <c r="C610" s="0" t="s">
        <v>202</v>
      </c>
      <c r="D610" s="0" t="s">
        <v>508</v>
      </c>
      <c r="E610" s="0" t="s">
        <v>674</v>
      </c>
      <c r="F610" s="0" t="n">
        <v>0.75</v>
      </c>
      <c r="G610" s="0" t="n">
        <v>1.4</v>
      </c>
      <c r="H610" s="0" t="n">
        <v>1.05</v>
      </c>
      <c r="I610" s="0" t="n">
        <f aca="false">IF(ABS(ROUND(F610*G610,2)-H610)&lt;=0.01,1,0)</f>
        <v>1</v>
      </c>
      <c r="J610" s="0" t="n">
        <v>0</v>
      </c>
    </row>
    <row r="611" customFormat="false" ht="15" hidden="false" customHeight="false" outlineLevel="0" collapsed="false">
      <c r="A611" s="0" t="s">
        <v>201</v>
      </c>
      <c r="B611" s="0" t="s">
        <v>136</v>
      </c>
      <c r="C611" s="0" t="s">
        <v>202</v>
      </c>
      <c r="D611" s="0" t="s">
        <v>508</v>
      </c>
      <c r="E611" s="0" t="s">
        <v>432</v>
      </c>
      <c r="F611" s="0" t="n">
        <v>0.75</v>
      </c>
      <c r="G611" s="0" t="n">
        <v>2.9</v>
      </c>
      <c r="H611" s="0" t="n">
        <v>2.17</v>
      </c>
      <c r="I611" s="0" t="n">
        <f aca="false">IF(ABS(ROUND(F611*G611,2)-H611)&lt;=0.01,1,0)</f>
        <v>0</v>
      </c>
      <c r="J611" s="0" t="n">
        <v>0</v>
      </c>
    </row>
    <row r="612" customFormat="false" ht="15" hidden="false" customHeight="false" outlineLevel="0" collapsed="false">
      <c r="A612" s="0" t="s">
        <v>201</v>
      </c>
      <c r="B612" s="0" t="s">
        <v>136</v>
      </c>
      <c r="C612" s="0" t="s">
        <v>202</v>
      </c>
      <c r="D612" s="0" t="s">
        <v>508</v>
      </c>
      <c r="E612" s="0" t="s">
        <v>675</v>
      </c>
      <c r="F612" s="0" t="n">
        <v>0.75</v>
      </c>
      <c r="G612" s="0" t="n">
        <v>3.2</v>
      </c>
      <c r="H612" s="0" t="n">
        <v>2.4</v>
      </c>
      <c r="I612" s="0" t="n">
        <f aca="false">IF(ABS(ROUND(F612*G612,2)-H612)&lt;=0.01,1,0)</f>
        <v>1</v>
      </c>
      <c r="J612" s="0" t="n">
        <v>0</v>
      </c>
    </row>
    <row r="613" customFormat="false" ht="15" hidden="false" customHeight="false" outlineLevel="0" collapsed="false">
      <c r="A613" s="0" t="s">
        <v>201</v>
      </c>
      <c r="B613" s="0" t="s">
        <v>136</v>
      </c>
      <c r="C613" s="0" t="s">
        <v>202</v>
      </c>
      <c r="D613" s="0" t="s">
        <v>508</v>
      </c>
      <c r="E613" s="0" t="s">
        <v>429</v>
      </c>
      <c r="F613" s="0" t="n">
        <v>0.75</v>
      </c>
      <c r="G613" s="0" t="n">
        <v>8.9</v>
      </c>
      <c r="H613" s="0" t="n">
        <v>6.68</v>
      </c>
      <c r="I613" s="0" t="n">
        <f aca="false">IF(ABS(ROUND(F613*G613,2)-H613)&lt;=0.01,1,0)</f>
        <v>1</v>
      </c>
      <c r="J613" s="0" t="n">
        <v>1</v>
      </c>
    </row>
    <row r="614" customFormat="false" ht="15" hidden="false" customHeight="false" outlineLevel="0" collapsed="false">
      <c r="A614" s="0" t="s">
        <v>201</v>
      </c>
      <c r="B614" s="0" t="s">
        <v>136</v>
      </c>
      <c r="C614" s="0" t="s">
        <v>202</v>
      </c>
      <c r="D614" s="0" t="s">
        <v>508</v>
      </c>
      <c r="E614" s="0" t="s">
        <v>377</v>
      </c>
      <c r="F614" s="0" t="n">
        <v>0.75</v>
      </c>
      <c r="G614" s="0" t="n">
        <v>5.5</v>
      </c>
      <c r="H614" s="0" t="n">
        <v>4.12</v>
      </c>
      <c r="I614" s="0" t="n">
        <f aca="false">IF(ABS(ROUND(F614*G614,2)-H614)&lt;=0.01,1,0)</f>
        <v>1</v>
      </c>
      <c r="J614" s="0" t="n">
        <v>0</v>
      </c>
    </row>
    <row r="615" customFormat="false" ht="15" hidden="false" customHeight="false" outlineLevel="0" collapsed="false">
      <c r="A615" s="0" t="s">
        <v>204</v>
      </c>
      <c r="B615" s="0" t="s">
        <v>136</v>
      </c>
      <c r="C615" s="0" t="s">
        <v>205</v>
      </c>
      <c r="D615" s="0" t="s">
        <v>519</v>
      </c>
      <c r="E615" s="0" t="s">
        <v>641</v>
      </c>
      <c r="F615" s="0" t="n">
        <v>0.5</v>
      </c>
      <c r="G615" s="0" t="n">
        <v>3.9</v>
      </c>
      <c r="H615" s="0" t="n">
        <v>1.95</v>
      </c>
      <c r="I615" s="0" t="n">
        <f aca="false">IF(ABS(ROUND(F615*G615,2)-H615)&lt;=0.01,1,0)</f>
        <v>1</v>
      </c>
      <c r="J615" s="0" t="n">
        <v>0</v>
      </c>
    </row>
    <row r="616" customFormat="false" ht="15" hidden="false" customHeight="false" outlineLevel="0" collapsed="false">
      <c r="A616" s="0" t="s">
        <v>204</v>
      </c>
      <c r="B616" s="0" t="s">
        <v>136</v>
      </c>
      <c r="C616" s="0" t="s">
        <v>205</v>
      </c>
      <c r="D616" s="0" t="s">
        <v>519</v>
      </c>
      <c r="E616" s="0" t="s">
        <v>428</v>
      </c>
      <c r="F616" s="0" t="n">
        <v>1</v>
      </c>
      <c r="G616" s="0" t="n">
        <v>8.3</v>
      </c>
      <c r="H616" s="0" t="n">
        <v>8.3</v>
      </c>
      <c r="I616" s="0" t="n">
        <f aca="false">IF(ABS(ROUND(F616*G616,2)-H616)&lt;=0.01,1,0)</f>
        <v>1</v>
      </c>
      <c r="J616" s="0" t="n">
        <v>0</v>
      </c>
    </row>
    <row r="617" customFormat="false" ht="15" hidden="false" customHeight="false" outlineLevel="0" collapsed="false">
      <c r="A617" s="0" t="s">
        <v>204</v>
      </c>
      <c r="B617" s="0" t="s">
        <v>136</v>
      </c>
      <c r="C617" s="0" t="s">
        <v>205</v>
      </c>
      <c r="D617" s="0" t="s">
        <v>519</v>
      </c>
      <c r="E617" s="0" t="s">
        <v>452</v>
      </c>
      <c r="F617" s="0" t="n">
        <v>1</v>
      </c>
      <c r="G617" s="0" t="n">
        <v>25</v>
      </c>
      <c r="H617" s="0" t="n">
        <v>25</v>
      </c>
      <c r="I617" s="0" t="n">
        <f aca="false">IF(ABS(ROUND(F617*G617,2)-H617)&lt;=0.01,1,0)</f>
        <v>1</v>
      </c>
      <c r="J617" s="0" t="n">
        <v>0</v>
      </c>
    </row>
    <row r="618" customFormat="false" ht="15" hidden="false" customHeight="false" outlineLevel="0" collapsed="false">
      <c r="A618" s="0" t="s">
        <v>204</v>
      </c>
      <c r="B618" s="0" t="s">
        <v>136</v>
      </c>
      <c r="C618" s="0" t="s">
        <v>205</v>
      </c>
      <c r="D618" s="0" t="s">
        <v>519</v>
      </c>
      <c r="E618" s="0" t="s">
        <v>613</v>
      </c>
      <c r="F618" s="0" t="n">
        <v>1</v>
      </c>
      <c r="G618" s="0" t="n">
        <v>25.9</v>
      </c>
      <c r="H618" s="0" t="n">
        <v>25.9</v>
      </c>
      <c r="I618" s="0" t="n">
        <f aca="false">IF(ABS(ROUND(F618*G618,2)-H618)&lt;=0.01,1,0)</f>
        <v>1</v>
      </c>
      <c r="J618" s="0" t="n">
        <v>0</v>
      </c>
    </row>
    <row r="619" customFormat="false" ht="15" hidden="false" customHeight="false" outlineLevel="0" collapsed="false">
      <c r="A619" s="0" t="s">
        <v>204</v>
      </c>
      <c r="B619" s="0" t="s">
        <v>136</v>
      </c>
      <c r="C619" s="0" t="s">
        <v>205</v>
      </c>
      <c r="D619" s="0" t="s">
        <v>519</v>
      </c>
      <c r="E619" s="0" t="s">
        <v>432</v>
      </c>
      <c r="F619" s="0" t="n">
        <v>0.5</v>
      </c>
      <c r="G619" s="0" t="n">
        <v>5.9</v>
      </c>
      <c r="H619" s="0" t="n">
        <v>2.95</v>
      </c>
      <c r="I619" s="0" t="n">
        <f aca="false">IF(ABS(ROUND(F619*G619,2)-H619)&lt;=0.01,1,0)</f>
        <v>1</v>
      </c>
      <c r="J619" s="0" t="n">
        <v>1</v>
      </c>
    </row>
    <row r="620" customFormat="false" ht="15" hidden="false" customHeight="false" outlineLevel="0" collapsed="false">
      <c r="A620" s="0" t="s">
        <v>204</v>
      </c>
      <c r="B620" s="0" t="s">
        <v>136</v>
      </c>
      <c r="C620" s="0" t="s">
        <v>205</v>
      </c>
      <c r="D620" s="0" t="s">
        <v>519</v>
      </c>
      <c r="E620" s="0" t="s">
        <v>649</v>
      </c>
      <c r="F620" s="0" t="n">
        <v>0.5</v>
      </c>
      <c r="G620" s="0" t="n">
        <v>34.8</v>
      </c>
      <c r="H620" s="0" t="n">
        <v>17.4</v>
      </c>
      <c r="I620" s="0" t="n">
        <f aca="false">IF(ABS(ROUND(F620*G620,2)-H620)&lt;=0.01,1,0)</f>
        <v>1</v>
      </c>
      <c r="J620" s="0" t="n">
        <v>0</v>
      </c>
    </row>
    <row r="621" customFormat="false" ht="15" hidden="false" customHeight="false" outlineLevel="0" collapsed="false">
      <c r="A621" s="0" t="s">
        <v>204</v>
      </c>
      <c r="B621" s="0" t="s">
        <v>136</v>
      </c>
      <c r="C621" s="0" t="s">
        <v>205</v>
      </c>
      <c r="D621" s="0" t="s">
        <v>519</v>
      </c>
      <c r="E621" s="0" t="s">
        <v>405</v>
      </c>
      <c r="F621" s="0" t="n">
        <v>3</v>
      </c>
      <c r="G621" s="0" t="n">
        <v>5.9</v>
      </c>
      <c r="H621" s="0" t="n">
        <v>17.7</v>
      </c>
      <c r="I621" s="0" t="n">
        <f aca="false">IF(ABS(ROUND(F621*G621,2)-H621)&lt;=0.01,1,0)</f>
        <v>1</v>
      </c>
      <c r="J621" s="0" t="n">
        <v>0</v>
      </c>
    </row>
    <row r="622" customFormat="false" ht="15" hidden="false" customHeight="false" outlineLevel="0" collapsed="false">
      <c r="A622" s="0" t="s">
        <v>204</v>
      </c>
      <c r="B622" s="0" t="s">
        <v>136</v>
      </c>
      <c r="C622" s="0" t="s">
        <v>205</v>
      </c>
      <c r="D622" s="0" t="s">
        <v>519</v>
      </c>
      <c r="E622" s="0" t="s">
        <v>676</v>
      </c>
      <c r="F622" s="0" t="n">
        <v>0.5</v>
      </c>
      <c r="G622" s="0" t="n">
        <v>36</v>
      </c>
      <c r="H622" s="0" t="n">
        <v>18</v>
      </c>
      <c r="I622" s="0" t="n">
        <f aca="false">IF(ABS(ROUND(F622*G622,2)-H622)&lt;=0.01,1,0)</f>
        <v>1</v>
      </c>
      <c r="J622" s="0" t="n">
        <v>0</v>
      </c>
    </row>
    <row r="623" customFormat="false" ht="15" hidden="false" customHeight="false" outlineLevel="0" collapsed="false">
      <c r="A623" s="0" t="s">
        <v>204</v>
      </c>
      <c r="B623" s="0" t="s">
        <v>136</v>
      </c>
      <c r="C623" s="0" t="s">
        <v>205</v>
      </c>
      <c r="D623" s="0" t="s">
        <v>519</v>
      </c>
      <c r="E623" s="0" t="s">
        <v>345</v>
      </c>
      <c r="F623" s="0" t="n">
        <v>1.5</v>
      </c>
      <c r="G623" s="0" t="n">
        <v>8.9</v>
      </c>
      <c r="H623" s="0" t="n">
        <v>13.35</v>
      </c>
      <c r="I623" s="0" t="n">
        <f aca="false">IF(ABS(ROUND(F623*G623,2)-H623)&lt;=0.01,1,0)</f>
        <v>1</v>
      </c>
      <c r="J623" s="0" t="n">
        <v>1</v>
      </c>
    </row>
    <row r="624" customFormat="false" ht="15" hidden="false" customHeight="false" outlineLevel="0" collapsed="false">
      <c r="A624" s="0" t="s">
        <v>204</v>
      </c>
      <c r="B624" s="0" t="s">
        <v>136</v>
      </c>
      <c r="C624" s="0" t="s">
        <v>205</v>
      </c>
      <c r="D624" s="0" t="s">
        <v>519</v>
      </c>
      <c r="E624" s="0" t="s">
        <v>423</v>
      </c>
      <c r="F624" s="0" t="n">
        <v>0.5</v>
      </c>
      <c r="G624" s="0" t="n">
        <v>6.4</v>
      </c>
      <c r="H624" s="0" t="n">
        <v>3.2</v>
      </c>
      <c r="I624" s="0" t="n">
        <f aca="false">IF(ABS(ROUND(F624*G624,2)-H624)&lt;=0.01,1,0)</f>
        <v>1</v>
      </c>
      <c r="J624" s="0" t="n">
        <v>0</v>
      </c>
    </row>
    <row r="625" customFormat="false" ht="15" hidden="false" customHeight="false" outlineLevel="0" collapsed="false">
      <c r="A625" s="0" t="s">
        <v>204</v>
      </c>
      <c r="B625" s="0" t="s">
        <v>136</v>
      </c>
      <c r="C625" s="0" t="s">
        <v>205</v>
      </c>
      <c r="D625" s="0" t="s">
        <v>519</v>
      </c>
      <c r="E625" s="0" t="s">
        <v>677</v>
      </c>
      <c r="F625" s="0" t="n">
        <v>0.5</v>
      </c>
      <c r="G625" s="0" t="n">
        <v>1.4</v>
      </c>
      <c r="H625" s="0" t="n">
        <v>0.7</v>
      </c>
      <c r="I625" s="0" t="n">
        <f aca="false">IF(ABS(ROUND(F625*G625,2)-H625)&lt;=0.01,1,0)</f>
        <v>1</v>
      </c>
      <c r="J625" s="0" t="n">
        <v>0</v>
      </c>
    </row>
    <row r="626" customFormat="false" ht="15" hidden="false" customHeight="false" outlineLevel="0" collapsed="false">
      <c r="A626" s="0" t="s">
        <v>204</v>
      </c>
      <c r="B626" s="0" t="s">
        <v>136</v>
      </c>
      <c r="C626" s="0" t="s">
        <v>205</v>
      </c>
      <c r="D626" s="0" t="s">
        <v>519</v>
      </c>
      <c r="E626" s="0" t="s">
        <v>433</v>
      </c>
      <c r="F626" s="0" t="n">
        <v>0.5</v>
      </c>
      <c r="G626" s="0" t="n">
        <v>8.4</v>
      </c>
      <c r="H626" s="0" t="n">
        <v>4.2</v>
      </c>
      <c r="I626" s="0" t="n">
        <f aca="false">IF(ABS(ROUND(F626*G626,2)-H626)&lt;=0.01,1,0)</f>
        <v>1</v>
      </c>
      <c r="J626" s="0" t="n">
        <v>1</v>
      </c>
    </row>
    <row r="627" customFormat="false" ht="15" hidden="false" customHeight="false" outlineLevel="0" collapsed="false">
      <c r="A627" s="0" t="s">
        <v>204</v>
      </c>
      <c r="B627" s="0" t="s">
        <v>136</v>
      </c>
      <c r="C627" s="0" t="s">
        <v>205</v>
      </c>
      <c r="D627" s="0" t="s">
        <v>519</v>
      </c>
      <c r="E627" s="0" t="s">
        <v>366</v>
      </c>
      <c r="F627" s="0" t="n">
        <v>1.5</v>
      </c>
      <c r="G627" s="0" t="n">
        <v>2.2</v>
      </c>
      <c r="H627" s="0" t="n">
        <v>3.3</v>
      </c>
      <c r="I627" s="0" t="n">
        <f aca="false">IF(ABS(ROUND(F627*G627,2)-H627)&lt;=0.01,1,0)</f>
        <v>1</v>
      </c>
      <c r="J627" s="0" t="n">
        <v>1</v>
      </c>
    </row>
    <row r="628" customFormat="false" ht="15" hidden="false" customHeight="false" outlineLevel="0" collapsed="false">
      <c r="A628" s="0" t="s">
        <v>204</v>
      </c>
      <c r="B628" s="0" t="s">
        <v>136</v>
      </c>
      <c r="C628" s="0" t="s">
        <v>205</v>
      </c>
      <c r="D628" s="0" t="s">
        <v>521</v>
      </c>
      <c r="E628" s="0" t="s">
        <v>641</v>
      </c>
      <c r="F628" s="0" t="n">
        <v>0.5</v>
      </c>
      <c r="G628" s="0" t="n">
        <v>3.9</v>
      </c>
      <c r="H628" s="0" t="n">
        <v>1.95</v>
      </c>
      <c r="I628" s="0" t="n">
        <f aca="false">IF(ABS(ROUND(F628*G628,2)-H628)&lt;=0.01,1,0)</f>
        <v>1</v>
      </c>
      <c r="J628" s="0" t="n">
        <v>0</v>
      </c>
    </row>
    <row r="629" customFormat="false" ht="15" hidden="false" customHeight="false" outlineLevel="0" collapsed="false">
      <c r="A629" s="0" t="s">
        <v>204</v>
      </c>
      <c r="B629" s="0" t="s">
        <v>136</v>
      </c>
      <c r="C629" s="0" t="s">
        <v>205</v>
      </c>
      <c r="D629" s="0" t="s">
        <v>521</v>
      </c>
      <c r="E629" s="0" t="s">
        <v>428</v>
      </c>
      <c r="F629" s="0" t="n">
        <v>1</v>
      </c>
      <c r="G629" s="0" t="n">
        <v>8.3</v>
      </c>
      <c r="H629" s="0" t="n">
        <v>8.3</v>
      </c>
      <c r="I629" s="0" t="n">
        <f aca="false">IF(ABS(ROUND(F629*G629,2)-H629)&lt;=0.01,1,0)</f>
        <v>1</v>
      </c>
      <c r="J629" s="0" t="n">
        <v>0</v>
      </c>
    </row>
    <row r="630" customFormat="false" ht="15" hidden="false" customHeight="false" outlineLevel="0" collapsed="false">
      <c r="A630" s="0" t="s">
        <v>204</v>
      </c>
      <c r="B630" s="0" t="s">
        <v>136</v>
      </c>
      <c r="C630" s="0" t="s">
        <v>205</v>
      </c>
      <c r="D630" s="0" t="s">
        <v>521</v>
      </c>
      <c r="E630" s="0" t="s">
        <v>452</v>
      </c>
      <c r="F630" s="0" t="n">
        <v>1</v>
      </c>
      <c r="G630" s="0" t="n">
        <v>25</v>
      </c>
      <c r="H630" s="0" t="n">
        <v>25</v>
      </c>
      <c r="I630" s="0" t="n">
        <f aca="false">IF(ABS(ROUND(F630*G630,2)-H630)&lt;=0.01,1,0)</f>
        <v>1</v>
      </c>
      <c r="J630" s="0" t="n">
        <v>0</v>
      </c>
    </row>
    <row r="631" customFormat="false" ht="15" hidden="false" customHeight="false" outlineLevel="0" collapsed="false">
      <c r="A631" s="0" t="s">
        <v>204</v>
      </c>
      <c r="B631" s="0" t="s">
        <v>136</v>
      </c>
      <c r="C631" s="0" t="s">
        <v>205</v>
      </c>
      <c r="D631" s="0" t="s">
        <v>521</v>
      </c>
      <c r="E631" s="0" t="s">
        <v>613</v>
      </c>
      <c r="F631" s="0" t="n">
        <v>1</v>
      </c>
      <c r="G631" s="0" t="n">
        <v>25.9</v>
      </c>
      <c r="H631" s="0" t="n">
        <v>25.9</v>
      </c>
      <c r="I631" s="0" t="n">
        <f aca="false">IF(ABS(ROUND(F631*G631,2)-H631)&lt;=0.01,1,0)</f>
        <v>1</v>
      </c>
      <c r="J631" s="0" t="n">
        <v>0</v>
      </c>
    </row>
    <row r="632" customFormat="false" ht="15" hidden="false" customHeight="false" outlineLevel="0" collapsed="false">
      <c r="A632" s="0" t="s">
        <v>204</v>
      </c>
      <c r="B632" s="0" t="s">
        <v>136</v>
      </c>
      <c r="C632" s="0" t="s">
        <v>205</v>
      </c>
      <c r="D632" s="0" t="s">
        <v>521</v>
      </c>
      <c r="E632" s="0" t="s">
        <v>432</v>
      </c>
      <c r="F632" s="0" t="n">
        <v>0.5</v>
      </c>
      <c r="G632" s="0" t="n">
        <v>5.9</v>
      </c>
      <c r="H632" s="0" t="n">
        <v>2.95</v>
      </c>
      <c r="I632" s="0" t="n">
        <f aca="false">IF(ABS(ROUND(F632*G632,2)-H632)&lt;=0.01,1,0)</f>
        <v>1</v>
      </c>
      <c r="J632" s="0" t="n">
        <v>1</v>
      </c>
    </row>
    <row r="633" customFormat="false" ht="15" hidden="false" customHeight="false" outlineLevel="0" collapsed="false">
      <c r="A633" s="0" t="s">
        <v>204</v>
      </c>
      <c r="B633" s="0" t="s">
        <v>136</v>
      </c>
      <c r="C633" s="0" t="s">
        <v>205</v>
      </c>
      <c r="D633" s="0" t="s">
        <v>521</v>
      </c>
      <c r="E633" s="0" t="s">
        <v>649</v>
      </c>
      <c r="F633" s="0" t="n">
        <v>0.5</v>
      </c>
      <c r="G633" s="0" t="n">
        <v>34.8</v>
      </c>
      <c r="H633" s="0" t="n">
        <v>17.4</v>
      </c>
      <c r="I633" s="0" t="n">
        <f aca="false">IF(ABS(ROUND(F633*G633,2)-H633)&lt;=0.01,1,0)</f>
        <v>1</v>
      </c>
      <c r="J633" s="0" t="n">
        <v>0</v>
      </c>
    </row>
    <row r="634" customFormat="false" ht="15" hidden="false" customHeight="false" outlineLevel="0" collapsed="false">
      <c r="A634" s="0" t="s">
        <v>204</v>
      </c>
      <c r="B634" s="0" t="s">
        <v>136</v>
      </c>
      <c r="C634" s="0" t="s">
        <v>205</v>
      </c>
      <c r="D634" s="0" t="s">
        <v>521</v>
      </c>
      <c r="E634" s="0" t="s">
        <v>405</v>
      </c>
      <c r="F634" s="0" t="n">
        <v>3</v>
      </c>
      <c r="G634" s="0" t="n">
        <v>5.9</v>
      </c>
      <c r="H634" s="0" t="n">
        <v>17.7</v>
      </c>
      <c r="I634" s="0" t="n">
        <f aca="false">IF(ABS(ROUND(F634*G634,2)-H634)&lt;=0.01,1,0)</f>
        <v>1</v>
      </c>
      <c r="J634" s="0" t="n">
        <v>0</v>
      </c>
    </row>
    <row r="635" customFormat="false" ht="15" hidden="false" customHeight="false" outlineLevel="0" collapsed="false">
      <c r="A635" s="0" t="s">
        <v>204</v>
      </c>
      <c r="B635" s="0" t="s">
        <v>136</v>
      </c>
      <c r="C635" s="0" t="s">
        <v>205</v>
      </c>
      <c r="D635" s="0" t="s">
        <v>521</v>
      </c>
      <c r="E635" s="0" t="s">
        <v>676</v>
      </c>
      <c r="F635" s="0" t="n">
        <v>0.5</v>
      </c>
      <c r="G635" s="0" t="n">
        <v>36</v>
      </c>
      <c r="H635" s="0" t="n">
        <v>18</v>
      </c>
      <c r="I635" s="0" t="n">
        <f aca="false">IF(ABS(ROUND(F635*G635,2)-H635)&lt;=0.01,1,0)</f>
        <v>1</v>
      </c>
      <c r="J635" s="0" t="n">
        <v>0</v>
      </c>
    </row>
    <row r="636" customFormat="false" ht="15" hidden="false" customHeight="false" outlineLevel="0" collapsed="false">
      <c r="A636" s="0" t="s">
        <v>204</v>
      </c>
      <c r="B636" s="0" t="s">
        <v>136</v>
      </c>
      <c r="C636" s="0" t="s">
        <v>205</v>
      </c>
      <c r="D636" s="0" t="s">
        <v>521</v>
      </c>
      <c r="E636" s="0" t="s">
        <v>345</v>
      </c>
      <c r="F636" s="0" t="n">
        <v>1.5</v>
      </c>
      <c r="G636" s="0" t="n">
        <v>8.9</v>
      </c>
      <c r="H636" s="0" t="n">
        <v>13.35</v>
      </c>
      <c r="I636" s="0" t="n">
        <f aca="false">IF(ABS(ROUND(F636*G636,2)-H636)&lt;=0.01,1,0)</f>
        <v>1</v>
      </c>
      <c r="J636" s="0" t="n">
        <v>1</v>
      </c>
    </row>
    <row r="637" customFormat="false" ht="15" hidden="false" customHeight="false" outlineLevel="0" collapsed="false">
      <c r="A637" s="0" t="s">
        <v>204</v>
      </c>
      <c r="B637" s="0" t="s">
        <v>136</v>
      </c>
      <c r="C637" s="0" t="s">
        <v>205</v>
      </c>
      <c r="D637" s="0" t="s">
        <v>521</v>
      </c>
      <c r="E637" s="0" t="s">
        <v>423</v>
      </c>
      <c r="F637" s="0" t="n">
        <v>0.5</v>
      </c>
      <c r="G637" s="0" t="n">
        <v>6.4</v>
      </c>
      <c r="H637" s="0" t="n">
        <v>3.2</v>
      </c>
      <c r="I637" s="0" t="n">
        <f aca="false">IF(ABS(ROUND(F637*G637,2)-H637)&lt;=0.01,1,0)</f>
        <v>1</v>
      </c>
      <c r="J637" s="0" t="n">
        <v>0</v>
      </c>
    </row>
    <row r="638" customFormat="false" ht="15" hidden="false" customHeight="false" outlineLevel="0" collapsed="false">
      <c r="A638" s="0" t="s">
        <v>204</v>
      </c>
      <c r="B638" s="0" t="s">
        <v>136</v>
      </c>
      <c r="C638" s="0" t="s">
        <v>205</v>
      </c>
      <c r="D638" s="0" t="s">
        <v>521</v>
      </c>
      <c r="E638" s="0" t="s">
        <v>677</v>
      </c>
      <c r="F638" s="0" t="n">
        <v>0.5</v>
      </c>
      <c r="G638" s="0" t="n">
        <v>1.4</v>
      </c>
      <c r="H638" s="0" t="n">
        <v>0.7</v>
      </c>
      <c r="I638" s="0" t="n">
        <f aca="false">IF(ABS(ROUND(F638*G638,2)-H638)&lt;=0.01,1,0)</f>
        <v>1</v>
      </c>
      <c r="J638" s="0" t="n">
        <v>0</v>
      </c>
    </row>
    <row r="639" customFormat="false" ht="15" hidden="false" customHeight="false" outlineLevel="0" collapsed="false">
      <c r="A639" s="0" t="s">
        <v>204</v>
      </c>
      <c r="B639" s="0" t="s">
        <v>136</v>
      </c>
      <c r="C639" s="0" t="s">
        <v>205</v>
      </c>
      <c r="D639" s="0" t="s">
        <v>521</v>
      </c>
      <c r="E639" s="0" t="s">
        <v>433</v>
      </c>
      <c r="F639" s="0" t="n">
        <v>0.5</v>
      </c>
      <c r="G639" s="0" t="n">
        <v>8.4</v>
      </c>
      <c r="H639" s="0" t="n">
        <v>4.2</v>
      </c>
      <c r="I639" s="0" t="n">
        <f aca="false">IF(ABS(ROUND(F639*G639,2)-H639)&lt;=0.01,1,0)</f>
        <v>1</v>
      </c>
      <c r="J639" s="0" t="n">
        <v>1</v>
      </c>
    </row>
    <row r="640" customFormat="false" ht="15" hidden="false" customHeight="false" outlineLevel="0" collapsed="false">
      <c r="A640" s="0" t="s">
        <v>204</v>
      </c>
      <c r="B640" s="0" t="s">
        <v>136</v>
      </c>
      <c r="C640" s="0" t="s">
        <v>205</v>
      </c>
      <c r="D640" s="0" t="s">
        <v>521</v>
      </c>
      <c r="E640" s="0" t="s">
        <v>366</v>
      </c>
      <c r="F640" s="0" t="n">
        <v>1.5</v>
      </c>
      <c r="G640" s="0" t="n">
        <v>2.2</v>
      </c>
      <c r="H640" s="0" t="n">
        <v>3.3</v>
      </c>
      <c r="I640" s="0" t="n">
        <f aca="false">IF(ABS(ROUND(F640*G640,2)-H640)&lt;=0.01,1,0)</f>
        <v>1</v>
      </c>
      <c r="J640" s="0" t="n">
        <v>1</v>
      </c>
    </row>
    <row r="641" customFormat="false" ht="15" hidden="false" customHeight="false" outlineLevel="0" collapsed="false">
      <c r="A641" s="0" t="s">
        <v>207</v>
      </c>
      <c r="B641" s="0" t="s">
        <v>136</v>
      </c>
      <c r="C641" s="0" t="s">
        <v>208</v>
      </c>
      <c r="D641" s="0" t="s">
        <v>541</v>
      </c>
      <c r="E641" s="0" t="s">
        <v>405</v>
      </c>
      <c r="F641" s="0" t="n">
        <v>0.5</v>
      </c>
      <c r="G641" s="0" t="n">
        <v>5.9</v>
      </c>
      <c r="H641" s="0" t="n">
        <v>2.95</v>
      </c>
      <c r="I641" s="0" t="n">
        <f aca="false">IF(ABS(ROUND(F641*G641,2)-H641)&lt;=0.01,1,0)</f>
        <v>1</v>
      </c>
      <c r="J641" s="0" t="n">
        <v>1</v>
      </c>
    </row>
    <row r="642" customFormat="false" ht="15" hidden="false" customHeight="false" outlineLevel="0" collapsed="false">
      <c r="A642" s="0" t="s">
        <v>207</v>
      </c>
      <c r="B642" s="0" t="s">
        <v>136</v>
      </c>
      <c r="C642" s="0" t="s">
        <v>208</v>
      </c>
      <c r="D642" s="0" t="s">
        <v>541</v>
      </c>
      <c r="E642" s="0" t="s">
        <v>437</v>
      </c>
      <c r="F642" s="0" t="n">
        <v>0.5</v>
      </c>
      <c r="G642" s="0" t="n">
        <v>5.2</v>
      </c>
      <c r="H642" s="0" t="n">
        <v>2.6</v>
      </c>
      <c r="I642" s="0" t="n">
        <f aca="false">IF(ABS(ROUND(F642*G642,2)-H642)&lt;=0.01,1,0)</f>
        <v>1</v>
      </c>
      <c r="J642" s="0" t="n">
        <v>1</v>
      </c>
    </row>
    <row r="643" customFormat="false" ht="15" hidden="false" customHeight="false" outlineLevel="0" collapsed="false">
      <c r="A643" s="0" t="s">
        <v>207</v>
      </c>
      <c r="B643" s="0" t="s">
        <v>136</v>
      </c>
      <c r="C643" s="0" t="s">
        <v>208</v>
      </c>
      <c r="D643" s="0" t="s">
        <v>541</v>
      </c>
      <c r="E643" s="0" t="s">
        <v>395</v>
      </c>
      <c r="F643" s="0" t="n">
        <v>0.5</v>
      </c>
      <c r="G643" s="0" t="n">
        <v>5.9</v>
      </c>
      <c r="H643" s="0" t="n">
        <v>2.95</v>
      </c>
      <c r="I643" s="0" t="n">
        <f aca="false">IF(ABS(ROUND(F643*G643,2)-H643)&lt;=0.01,1,0)</f>
        <v>1</v>
      </c>
      <c r="J643" s="0" t="n">
        <v>1</v>
      </c>
    </row>
    <row r="644" customFormat="false" ht="15" hidden="false" customHeight="false" outlineLevel="0" collapsed="false">
      <c r="A644" s="0" t="s">
        <v>207</v>
      </c>
      <c r="B644" s="0" t="s">
        <v>136</v>
      </c>
      <c r="C644" s="0" t="s">
        <v>208</v>
      </c>
      <c r="D644" s="0" t="s">
        <v>541</v>
      </c>
      <c r="E644" s="0" t="s">
        <v>435</v>
      </c>
      <c r="F644" s="0" t="n">
        <v>0.5</v>
      </c>
      <c r="G644" s="0" t="n">
        <v>4.2</v>
      </c>
      <c r="H644" s="0" t="n">
        <v>2.1</v>
      </c>
      <c r="I644" s="0" t="n">
        <f aca="false">IF(ABS(ROUND(F644*G644,2)-H644)&lt;=0.01,1,0)</f>
        <v>1</v>
      </c>
      <c r="J644" s="0" t="n">
        <v>1</v>
      </c>
    </row>
    <row r="645" customFormat="false" ht="15" hidden="false" customHeight="false" outlineLevel="0" collapsed="false">
      <c r="A645" s="0" t="s">
        <v>207</v>
      </c>
      <c r="B645" s="0" t="s">
        <v>136</v>
      </c>
      <c r="C645" s="0" t="s">
        <v>208</v>
      </c>
      <c r="D645" s="0" t="s">
        <v>541</v>
      </c>
      <c r="E645" s="0" t="s">
        <v>676</v>
      </c>
      <c r="F645" s="0" t="n">
        <v>0.5</v>
      </c>
      <c r="G645" s="0" t="n">
        <v>36</v>
      </c>
      <c r="H645" s="0" t="n">
        <v>18</v>
      </c>
      <c r="I645" s="0" t="n">
        <f aca="false">IF(ABS(ROUND(F645*G645,2)-H645)&lt;=0.01,1,0)</f>
        <v>1</v>
      </c>
      <c r="J645" s="0" t="n">
        <v>0</v>
      </c>
    </row>
    <row r="646" customFormat="false" ht="15" hidden="false" customHeight="false" outlineLevel="0" collapsed="false">
      <c r="A646" s="0" t="s">
        <v>207</v>
      </c>
      <c r="B646" s="0" t="s">
        <v>136</v>
      </c>
      <c r="C646" s="0" t="s">
        <v>208</v>
      </c>
      <c r="D646" s="0" t="s">
        <v>541</v>
      </c>
      <c r="E646" s="0" t="s">
        <v>605</v>
      </c>
      <c r="F646" s="0" t="n">
        <v>1</v>
      </c>
      <c r="G646" s="0" t="n">
        <v>18.6</v>
      </c>
      <c r="H646" s="0" t="n">
        <v>18.6</v>
      </c>
      <c r="I646" s="0" t="n">
        <f aca="false">IF(ABS(ROUND(F646*G646,2)-H646)&lt;=0.01,1,0)</f>
        <v>1</v>
      </c>
      <c r="J646" s="0" t="n">
        <v>0</v>
      </c>
    </row>
    <row r="647" customFormat="false" ht="15" hidden="false" customHeight="false" outlineLevel="0" collapsed="false">
      <c r="A647" s="0" t="s">
        <v>207</v>
      </c>
      <c r="B647" s="0" t="s">
        <v>136</v>
      </c>
      <c r="C647" s="0" t="s">
        <v>208</v>
      </c>
      <c r="D647" s="0" t="s">
        <v>541</v>
      </c>
      <c r="E647" s="0" t="s">
        <v>613</v>
      </c>
      <c r="F647" s="0" t="n">
        <v>1</v>
      </c>
      <c r="G647" s="0" t="n">
        <v>25.9</v>
      </c>
      <c r="H647" s="0" t="n">
        <v>25.9</v>
      </c>
      <c r="I647" s="0" t="n">
        <f aca="false">IF(ABS(ROUND(F647*G647,2)-H647)&lt;=0.01,1,0)</f>
        <v>1</v>
      </c>
      <c r="J647" s="0" t="n">
        <v>0</v>
      </c>
    </row>
    <row r="648" customFormat="false" ht="15" hidden="false" customHeight="false" outlineLevel="0" collapsed="false">
      <c r="A648" s="0" t="s">
        <v>207</v>
      </c>
      <c r="B648" s="0" t="s">
        <v>136</v>
      </c>
      <c r="C648" s="0" t="s">
        <v>208</v>
      </c>
      <c r="D648" s="0" t="s">
        <v>541</v>
      </c>
      <c r="E648" s="0" t="s">
        <v>387</v>
      </c>
      <c r="F648" s="0" t="n">
        <v>0.5</v>
      </c>
      <c r="G648" s="0" t="n">
        <v>8.9</v>
      </c>
      <c r="H648" s="0" t="n">
        <v>4.45</v>
      </c>
      <c r="I648" s="0" t="n">
        <f aca="false">IF(ABS(ROUND(F648*G648,2)-H648)&lt;=0.01,1,0)</f>
        <v>1</v>
      </c>
      <c r="J648" s="0" t="n">
        <v>0</v>
      </c>
    </row>
    <row r="649" customFormat="false" ht="15" hidden="false" customHeight="false" outlineLevel="0" collapsed="false">
      <c r="A649" s="0" t="s">
        <v>207</v>
      </c>
      <c r="B649" s="0" t="s">
        <v>136</v>
      </c>
      <c r="C649" s="0" t="s">
        <v>208</v>
      </c>
      <c r="D649" s="0" t="s">
        <v>541</v>
      </c>
      <c r="E649" s="0" t="s">
        <v>432</v>
      </c>
      <c r="F649" s="0" t="n">
        <v>0.5</v>
      </c>
      <c r="G649" s="0" t="n">
        <v>5.9</v>
      </c>
      <c r="H649" s="0" t="n">
        <v>2.95</v>
      </c>
      <c r="I649" s="0" t="n">
        <f aca="false">IF(ABS(ROUND(F649*G649,2)-H649)&lt;=0.01,1,0)</f>
        <v>1</v>
      </c>
      <c r="J649" s="0" t="n">
        <v>1</v>
      </c>
    </row>
    <row r="650" customFormat="false" ht="15" hidden="false" customHeight="false" outlineLevel="0" collapsed="false">
      <c r="A650" s="0" t="s">
        <v>207</v>
      </c>
      <c r="B650" s="0" t="s">
        <v>136</v>
      </c>
      <c r="C650" s="0" t="s">
        <v>208</v>
      </c>
      <c r="D650" s="0" t="s">
        <v>541</v>
      </c>
      <c r="E650" s="0" t="s">
        <v>678</v>
      </c>
      <c r="F650" s="0" t="n">
        <v>1.5</v>
      </c>
      <c r="G650" s="0" t="n">
        <v>6.5</v>
      </c>
      <c r="H650" s="0" t="n">
        <v>9.75</v>
      </c>
      <c r="I650" s="0" t="n">
        <f aca="false">IF(ABS(ROUND(F650*G650,2)-H650)&lt;=0.01,1,0)</f>
        <v>1</v>
      </c>
      <c r="J650" s="0" t="n">
        <v>0</v>
      </c>
    </row>
    <row r="651" customFormat="false" ht="15" hidden="false" customHeight="false" outlineLevel="0" collapsed="false">
      <c r="A651" s="0" t="s">
        <v>207</v>
      </c>
      <c r="B651" s="0" t="s">
        <v>136</v>
      </c>
      <c r="C651" s="0" t="s">
        <v>208</v>
      </c>
      <c r="D651" s="0" t="s">
        <v>541</v>
      </c>
      <c r="E651" s="0" t="s">
        <v>345</v>
      </c>
      <c r="F651" s="0" t="n">
        <v>1</v>
      </c>
      <c r="G651" s="0" t="n">
        <v>8.9</v>
      </c>
      <c r="H651" s="0" t="n">
        <v>8.9</v>
      </c>
      <c r="I651" s="0" t="n">
        <f aca="false">IF(ABS(ROUND(F651*G651,2)-H651)&lt;=0.01,1,0)</f>
        <v>1</v>
      </c>
      <c r="J651" s="0" t="n">
        <v>0</v>
      </c>
    </row>
    <row r="652" customFormat="false" ht="15" hidden="false" customHeight="false" outlineLevel="0" collapsed="false">
      <c r="A652" s="0" t="s">
        <v>207</v>
      </c>
      <c r="B652" s="0" t="s">
        <v>136</v>
      </c>
      <c r="C652" s="0" t="s">
        <v>208</v>
      </c>
      <c r="D652" s="0" t="s">
        <v>541</v>
      </c>
      <c r="E652" s="0" t="s">
        <v>429</v>
      </c>
      <c r="F652" s="0" t="n">
        <v>1</v>
      </c>
      <c r="G652" s="0" t="n">
        <v>8.9</v>
      </c>
      <c r="H652" s="0" t="n">
        <v>8.9</v>
      </c>
      <c r="I652" s="0" t="n">
        <f aca="false">IF(ABS(ROUND(F652*G652,2)-H652)&lt;=0.01,1,0)</f>
        <v>1</v>
      </c>
      <c r="J652" s="0" t="n">
        <v>0</v>
      </c>
    </row>
    <row r="653" customFormat="false" ht="15" hidden="false" customHeight="false" outlineLevel="0" collapsed="false">
      <c r="A653" s="0" t="s">
        <v>207</v>
      </c>
      <c r="B653" s="0" t="s">
        <v>136</v>
      </c>
      <c r="C653" s="0" t="s">
        <v>208</v>
      </c>
      <c r="D653" s="0" t="s">
        <v>542</v>
      </c>
      <c r="E653" s="0" t="s">
        <v>405</v>
      </c>
      <c r="F653" s="0" t="n">
        <v>0.5</v>
      </c>
      <c r="G653" s="0" t="n">
        <v>5.9</v>
      </c>
      <c r="H653" s="0" t="n">
        <v>2.95</v>
      </c>
      <c r="I653" s="0" t="n">
        <f aca="false">IF(ABS(ROUND(F653*G653,2)-H653)&lt;=0.01,1,0)</f>
        <v>1</v>
      </c>
      <c r="J653" s="0" t="n">
        <v>1</v>
      </c>
    </row>
    <row r="654" customFormat="false" ht="15" hidden="false" customHeight="false" outlineLevel="0" collapsed="false">
      <c r="A654" s="0" t="s">
        <v>207</v>
      </c>
      <c r="B654" s="0" t="s">
        <v>136</v>
      </c>
      <c r="C654" s="0" t="s">
        <v>208</v>
      </c>
      <c r="D654" s="0" t="s">
        <v>542</v>
      </c>
      <c r="E654" s="0" t="s">
        <v>437</v>
      </c>
      <c r="F654" s="0" t="n">
        <v>0.5</v>
      </c>
      <c r="G654" s="0" t="n">
        <v>5.2</v>
      </c>
      <c r="H654" s="0" t="n">
        <v>2.6</v>
      </c>
      <c r="I654" s="0" t="n">
        <f aca="false">IF(ABS(ROUND(F654*G654,2)-H654)&lt;=0.01,1,0)</f>
        <v>1</v>
      </c>
      <c r="J654" s="0" t="n">
        <v>1</v>
      </c>
    </row>
    <row r="655" customFormat="false" ht="15" hidden="false" customHeight="false" outlineLevel="0" collapsed="false">
      <c r="A655" s="0" t="s">
        <v>207</v>
      </c>
      <c r="B655" s="0" t="s">
        <v>136</v>
      </c>
      <c r="C655" s="0" t="s">
        <v>208</v>
      </c>
      <c r="D655" s="0" t="s">
        <v>542</v>
      </c>
      <c r="E655" s="0" t="s">
        <v>395</v>
      </c>
      <c r="F655" s="0" t="n">
        <v>0.5</v>
      </c>
      <c r="G655" s="0" t="n">
        <v>5.9</v>
      </c>
      <c r="H655" s="0" t="n">
        <v>2.95</v>
      </c>
      <c r="I655" s="0" t="n">
        <f aca="false">IF(ABS(ROUND(F655*G655,2)-H655)&lt;=0.01,1,0)</f>
        <v>1</v>
      </c>
      <c r="J655" s="0" t="n">
        <v>1</v>
      </c>
    </row>
    <row r="656" customFormat="false" ht="15" hidden="false" customHeight="false" outlineLevel="0" collapsed="false">
      <c r="A656" s="0" t="s">
        <v>207</v>
      </c>
      <c r="B656" s="0" t="s">
        <v>136</v>
      </c>
      <c r="C656" s="0" t="s">
        <v>208</v>
      </c>
      <c r="D656" s="0" t="s">
        <v>542</v>
      </c>
      <c r="E656" s="0" t="s">
        <v>435</v>
      </c>
      <c r="F656" s="0" t="n">
        <v>0.5</v>
      </c>
      <c r="G656" s="0" t="n">
        <v>4.2</v>
      </c>
      <c r="H656" s="0" t="n">
        <v>2.1</v>
      </c>
      <c r="I656" s="0" t="n">
        <f aca="false">IF(ABS(ROUND(F656*G656,2)-H656)&lt;=0.01,1,0)</f>
        <v>1</v>
      </c>
      <c r="J656" s="0" t="n">
        <v>1</v>
      </c>
    </row>
    <row r="657" customFormat="false" ht="15" hidden="false" customHeight="false" outlineLevel="0" collapsed="false">
      <c r="A657" s="0" t="s">
        <v>207</v>
      </c>
      <c r="B657" s="0" t="s">
        <v>136</v>
      </c>
      <c r="C657" s="0" t="s">
        <v>208</v>
      </c>
      <c r="D657" s="0" t="s">
        <v>542</v>
      </c>
      <c r="E657" s="0" t="s">
        <v>676</v>
      </c>
      <c r="F657" s="0" t="n">
        <v>0.5</v>
      </c>
      <c r="G657" s="0" t="n">
        <v>36</v>
      </c>
      <c r="H657" s="0" t="n">
        <v>18</v>
      </c>
      <c r="I657" s="0" t="n">
        <f aca="false">IF(ABS(ROUND(F657*G657,2)-H657)&lt;=0.01,1,0)</f>
        <v>1</v>
      </c>
      <c r="J657" s="0" t="n">
        <v>0</v>
      </c>
    </row>
    <row r="658" customFormat="false" ht="15" hidden="false" customHeight="false" outlineLevel="0" collapsed="false">
      <c r="A658" s="0" t="s">
        <v>207</v>
      </c>
      <c r="B658" s="0" t="s">
        <v>136</v>
      </c>
      <c r="C658" s="0" t="s">
        <v>208</v>
      </c>
      <c r="D658" s="0" t="s">
        <v>542</v>
      </c>
      <c r="E658" s="0" t="s">
        <v>605</v>
      </c>
      <c r="F658" s="0" t="n">
        <v>1</v>
      </c>
      <c r="G658" s="0" t="n">
        <v>18.6</v>
      </c>
      <c r="H658" s="0" t="n">
        <v>18.6</v>
      </c>
      <c r="I658" s="0" t="n">
        <f aca="false">IF(ABS(ROUND(F658*G658,2)-H658)&lt;=0.01,1,0)</f>
        <v>1</v>
      </c>
      <c r="J658" s="0" t="n">
        <v>0</v>
      </c>
    </row>
    <row r="659" customFormat="false" ht="15" hidden="false" customHeight="false" outlineLevel="0" collapsed="false">
      <c r="A659" s="0" t="s">
        <v>207</v>
      </c>
      <c r="B659" s="0" t="s">
        <v>136</v>
      </c>
      <c r="C659" s="0" t="s">
        <v>208</v>
      </c>
      <c r="D659" s="0" t="s">
        <v>542</v>
      </c>
      <c r="E659" s="0" t="s">
        <v>613</v>
      </c>
      <c r="F659" s="0" t="n">
        <v>1</v>
      </c>
      <c r="G659" s="0" t="n">
        <v>25.9</v>
      </c>
      <c r="H659" s="0" t="n">
        <v>25.9</v>
      </c>
      <c r="I659" s="0" t="n">
        <f aca="false">IF(ABS(ROUND(F659*G659,2)-H659)&lt;=0.01,1,0)</f>
        <v>1</v>
      </c>
      <c r="J659" s="0" t="n">
        <v>0</v>
      </c>
    </row>
    <row r="660" customFormat="false" ht="15" hidden="false" customHeight="false" outlineLevel="0" collapsed="false">
      <c r="A660" s="0" t="s">
        <v>207</v>
      </c>
      <c r="B660" s="0" t="s">
        <v>136</v>
      </c>
      <c r="C660" s="0" t="s">
        <v>208</v>
      </c>
      <c r="D660" s="0" t="s">
        <v>542</v>
      </c>
      <c r="E660" s="0" t="s">
        <v>387</v>
      </c>
      <c r="F660" s="0" t="n">
        <v>0.5</v>
      </c>
      <c r="G660" s="0" t="n">
        <v>8.9</v>
      </c>
      <c r="H660" s="0" t="n">
        <v>4.45</v>
      </c>
      <c r="I660" s="0" t="n">
        <f aca="false">IF(ABS(ROUND(F660*G660,2)-H660)&lt;=0.01,1,0)</f>
        <v>1</v>
      </c>
      <c r="J660" s="0" t="n">
        <v>0</v>
      </c>
    </row>
    <row r="661" customFormat="false" ht="15" hidden="false" customHeight="false" outlineLevel="0" collapsed="false">
      <c r="A661" s="0" t="s">
        <v>207</v>
      </c>
      <c r="B661" s="0" t="s">
        <v>136</v>
      </c>
      <c r="C661" s="0" t="s">
        <v>208</v>
      </c>
      <c r="D661" s="0" t="s">
        <v>542</v>
      </c>
      <c r="E661" s="0" t="s">
        <v>432</v>
      </c>
      <c r="F661" s="0" t="n">
        <v>0.5</v>
      </c>
      <c r="G661" s="0" t="n">
        <v>5.9</v>
      </c>
      <c r="H661" s="0" t="n">
        <v>2.95</v>
      </c>
      <c r="I661" s="0" t="n">
        <f aca="false">IF(ABS(ROUND(F661*G661,2)-H661)&lt;=0.01,1,0)</f>
        <v>1</v>
      </c>
      <c r="J661" s="0" t="n">
        <v>1</v>
      </c>
    </row>
    <row r="662" customFormat="false" ht="15" hidden="false" customHeight="false" outlineLevel="0" collapsed="false">
      <c r="A662" s="0" t="s">
        <v>207</v>
      </c>
      <c r="B662" s="0" t="s">
        <v>136</v>
      </c>
      <c r="C662" s="0" t="s">
        <v>208</v>
      </c>
      <c r="D662" s="0" t="s">
        <v>542</v>
      </c>
      <c r="E662" s="0" t="s">
        <v>678</v>
      </c>
      <c r="F662" s="0" t="n">
        <v>1.5</v>
      </c>
      <c r="G662" s="0" t="n">
        <v>6.5</v>
      </c>
      <c r="H662" s="0" t="n">
        <v>9.75</v>
      </c>
      <c r="I662" s="0" t="n">
        <f aca="false">IF(ABS(ROUND(F662*G662,2)-H662)&lt;=0.01,1,0)</f>
        <v>1</v>
      </c>
      <c r="J662" s="0" t="n">
        <v>0</v>
      </c>
    </row>
    <row r="663" customFormat="false" ht="15" hidden="false" customHeight="false" outlineLevel="0" collapsed="false">
      <c r="A663" s="0" t="s">
        <v>207</v>
      </c>
      <c r="B663" s="0" t="s">
        <v>136</v>
      </c>
      <c r="C663" s="0" t="s">
        <v>208</v>
      </c>
      <c r="D663" s="0" t="s">
        <v>542</v>
      </c>
      <c r="E663" s="0" t="s">
        <v>345</v>
      </c>
      <c r="F663" s="0" t="n">
        <v>1</v>
      </c>
      <c r="G663" s="0" t="n">
        <v>8.9</v>
      </c>
      <c r="H663" s="0" t="n">
        <v>8.9</v>
      </c>
      <c r="I663" s="0" t="n">
        <f aca="false">IF(ABS(ROUND(F663*G663,2)-H663)&lt;=0.01,1,0)</f>
        <v>1</v>
      </c>
      <c r="J663" s="0" t="n">
        <v>0</v>
      </c>
    </row>
    <row r="664" customFormat="false" ht="15" hidden="false" customHeight="false" outlineLevel="0" collapsed="false">
      <c r="A664" s="0" t="s">
        <v>207</v>
      </c>
      <c r="B664" s="0" t="s">
        <v>136</v>
      </c>
      <c r="C664" s="0" t="s">
        <v>208</v>
      </c>
      <c r="D664" s="0" t="s">
        <v>542</v>
      </c>
      <c r="E664" s="0" t="s">
        <v>429</v>
      </c>
      <c r="F664" s="0" t="n">
        <v>1</v>
      </c>
      <c r="G664" s="0" t="n">
        <v>8.9</v>
      </c>
      <c r="H664" s="0" t="n">
        <v>8.9</v>
      </c>
      <c r="I664" s="0" t="n">
        <f aca="false">IF(ABS(ROUND(F664*G664,2)-H664)&lt;=0.01,1,0)</f>
        <v>1</v>
      </c>
      <c r="J664" s="0" t="n">
        <v>0</v>
      </c>
    </row>
    <row r="665" customFormat="false" ht="15" hidden="false" customHeight="false" outlineLevel="0" collapsed="false">
      <c r="A665" s="0" t="s">
        <v>210</v>
      </c>
      <c r="B665" s="0" t="s">
        <v>136</v>
      </c>
      <c r="C665" s="0" t="s">
        <v>211</v>
      </c>
      <c r="D665" s="0" t="s">
        <v>506</v>
      </c>
      <c r="E665" s="0" t="s">
        <v>679</v>
      </c>
      <c r="F665" s="0" t="n">
        <v>1</v>
      </c>
      <c r="G665" s="0" t="n">
        <v>7</v>
      </c>
      <c r="H665" s="0" t="n">
        <v>7</v>
      </c>
      <c r="I665" s="0" t="n">
        <f aca="false">IF(ABS(ROUND(F665*G665,2)-H665)&lt;=0.01,1,0)</f>
        <v>1</v>
      </c>
      <c r="J665" s="0" t="n">
        <v>0</v>
      </c>
    </row>
    <row r="666" customFormat="false" ht="15" hidden="false" customHeight="false" outlineLevel="0" collapsed="false">
      <c r="A666" s="0" t="s">
        <v>210</v>
      </c>
      <c r="B666" s="0" t="s">
        <v>136</v>
      </c>
      <c r="C666" s="0" t="s">
        <v>211</v>
      </c>
      <c r="D666" s="0" t="s">
        <v>506</v>
      </c>
      <c r="E666" s="0" t="s">
        <v>680</v>
      </c>
      <c r="F666" s="0" t="n">
        <v>0.5</v>
      </c>
      <c r="G666" s="0" t="n">
        <v>18.6</v>
      </c>
      <c r="H666" s="0" t="n">
        <v>9.3</v>
      </c>
      <c r="I666" s="0" t="n">
        <f aca="false">IF(ABS(ROUND(F666*G666,2)-H666)&lt;=0.01,1,0)</f>
        <v>1</v>
      </c>
      <c r="J666" s="0" t="n">
        <v>1</v>
      </c>
    </row>
    <row r="667" customFormat="false" ht="15" hidden="false" customHeight="false" outlineLevel="0" collapsed="false">
      <c r="A667" s="0" t="s">
        <v>210</v>
      </c>
      <c r="B667" s="0" t="s">
        <v>136</v>
      </c>
      <c r="C667" s="0" t="s">
        <v>211</v>
      </c>
      <c r="D667" s="0" t="s">
        <v>506</v>
      </c>
      <c r="E667" s="0" t="s">
        <v>441</v>
      </c>
      <c r="F667" s="0" t="n">
        <v>0.5</v>
      </c>
      <c r="G667" s="0" t="n">
        <v>19.9</v>
      </c>
      <c r="H667" s="0" t="n">
        <v>9.95</v>
      </c>
      <c r="I667" s="0" t="n">
        <f aca="false">IF(ABS(ROUND(F667*G667,2)-H667)&lt;=0.01,1,0)</f>
        <v>1</v>
      </c>
      <c r="J667" s="0" t="n">
        <v>1</v>
      </c>
    </row>
    <row r="668" customFormat="false" ht="15" hidden="false" customHeight="false" outlineLevel="0" collapsed="false">
      <c r="A668" s="0" t="s">
        <v>210</v>
      </c>
      <c r="B668" s="0" t="s">
        <v>136</v>
      </c>
      <c r="C668" s="0" t="s">
        <v>211</v>
      </c>
      <c r="D668" s="0" t="s">
        <v>522</v>
      </c>
      <c r="E668" s="0" t="s">
        <v>679</v>
      </c>
      <c r="F668" s="0" t="n">
        <v>1</v>
      </c>
      <c r="G668" s="0" t="n">
        <v>7</v>
      </c>
      <c r="H668" s="0" t="n">
        <v>7</v>
      </c>
      <c r="I668" s="0" t="n">
        <f aca="false">IF(ABS(ROUND(F668*G668,2)-H668)&lt;=0.01,1,0)</f>
        <v>1</v>
      </c>
      <c r="J668" s="0" t="n">
        <v>0</v>
      </c>
    </row>
    <row r="669" customFormat="false" ht="15" hidden="false" customHeight="false" outlineLevel="0" collapsed="false">
      <c r="A669" s="0" t="s">
        <v>210</v>
      </c>
      <c r="B669" s="0" t="s">
        <v>136</v>
      </c>
      <c r="C669" s="0" t="s">
        <v>211</v>
      </c>
      <c r="D669" s="0" t="s">
        <v>522</v>
      </c>
      <c r="E669" s="0" t="s">
        <v>680</v>
      </c>
      <c r="F669" s="0" t="n">
        <v>0.5</v>
      </c>
      <c r="G669" s="0" t="n">
        <v>18.6</v>
      </c>
      <c r="H669" s="0" t="n">
        <v>9.3</v>
      </c>
      <c r="I669" s="0" t="n">
        <f aca="false">IF(ABS(ROUND(F669*G669,2)-H669)&lt;=0.01,1,0)</f>
        <v>1</v>
      </c>
      <c r="J669" s="0" t="n">
        <v>1</v>
      </c>
    </row>
    <row r="670" customFormat="false" ht="15" hidden="false" customHeight="false" outlineLevel="0" collapsed="false">
      <c r="A670" s="0" t="s">
        <v>210</v>
      </c>
      <c r="B670" s="0" t="s">
        <v>136</v>
      </c>
      <c r="C670" s="0" t="s">
        <v>211</v>
      </c>
      <c r="D670" s="0" t="s">
        <v>522</v>
      </c>
      <c r="E670" s="0" t="s">
        <v>441</v>
      </c>
      <c r="F670" s="0" t="n">
        <v>0.5</v>
      </c>
      <c r="G670" s="0" t="n">
        <v>19.9</v>
      </c>
      <c r="H670" s="0" t="n">
        <v>9.95</v>
      </c>
      <c r="I670" s="0" t="n">
        <f aca="false">IF(ABS(ROUND(F670*G670,2)-H670)&lt;=0.01,1,0)</f>
        <v>1</v>
      </c>
      <c r="J670" s="0" t="n">
        <v>1</v>
      </c>
    </row>
    <row r="671" customFormat="false" ht="15" hidden="false" customHeight="false" outlineLevel="0" collapsed="false">
      <c r="A671" s="0" t="s">
        <v>210</v>
      </c>
      <c r="B671" s="0" t="s">
        <v>136</v>
      </c>
      <c r="C671" s="0" t="s">
        <v>211</v>
      </c>
      <c r="D671" s="0" t="s">
        <v>510</v>
      </c>
      <c r="E671" s="0" t="s">
        <v>395</v>
      </c>
      <c r="F671" s="0" t="n">
        <v>0.5</v>
      </c>
      <c r="G671" s="0" t="n">
        <v>5.9</v>
      </c>
      <c r="H671" s="0" t="n">
        <v>2.95</v>
      </c>
      <c r="I671" s="0" t="n">
        <f aca="false">IF(ABS(ROUND(F671*G671,2)-H671)&lt;=0.01,1,0)</f>
        <v>1</v>
      </c>
      <c r="J671" s="0" t="n">
        <v>0</v>
      </c>
    </row>
    <row r="672" customFormat="false" ht="15" hidden="false" customHeight="false" outlineLevel="0" collapsed="false">
      <c r="A672" s="0" t="s">
        <v>210</v>
      </c>
      <c r="B672" s="0" t="s">
        <v>136</v>
      </c>
      <c r="C672" s="0" t="s">
        <v>211</v>
      </c>
      <c r="D672" s="0" t="s">
        <v>510</v>
      </c>
      <c r="E672" s="0" t="s">
        <v>590</v>
      </c>
      <c r="F672" s="0" t="n">
        <v>0.5</v>
      </c>
      <c r="G672" s="0" t="n">
        <v>7.9</v>
      </c>
      <c r="H672" s="0" t="n">
        <v>3.95</v>
      </c>
      <c r="I672" s="0" t="n">
        <f aca="false">IF(ABS(ROUND(F672*G672,2)-H672)&lt;=0.01,1,0)</f>
        <v>1</v>
      </c>
      <c r="J672" s="0" t="n">
        <v>0</v>
      </c>
    </row>
    <row r="673" customFormat="false" ht="15" hidden="false" customHeight="false" outlineLevel="0" collapsed="false">
      <c r="A673" s="0" t="s">
        <v>210</v>
      </c>
      <c r="B673" s="0" t="s">
        <v>136</v>
      </c>
      <c r="C673" s="0" t="s">
        <v>211</v>
      </c>
      <c r="D673" s="0" t="s">
        <v>510</v>
      </c>
      <c r="E673" s="0" t="s">
        <v>636</v>
      </c>
      <c r="F673" s="0" t="n">
        <v>0.5</v>
      </c>
      <c r="G673" s="0" t="n">
        <v>19</v>
      </c>
      <c r="H673" s="0" t="n">
        <v>9.5</v>
      </c>
      <c r="I673" s="0" t="n">
        <f aca="false">IF(ABS(ROUND(F673*G673,2)-H673)&lt;=0.01,1,0)</f>
        <v>1</v>
      </c>
      <c r="J673" s="0" t="n">
        <v>0</v>
      </c>
    </row>
    <row r="674" customFormat="false" ht="15" hidden="false" customHeight="false" outlineLevel="0" collapsed="false">
      <c r="A674" s="0" t="s">
        <v>210</v>
      </c>
      <c r="B674" s="0" t="s">
        <v>136</v>
      </c>
      <c r="C674" s="0" t="s">
        <v>211</v>
      </c>
      <c r="D674" s="0" t="s">
        <v>510</v>
      </c>
      <c r="E674" s="0" t="s">
        <v>425</v>
      </c>
      <c r="F674" s="0" t="n">
        <v>0.5</v>
      </c>
      <c r="G674" s="0" t="n">
        <v>18.6</v>
      </c>
      <c r="H674" s="0" t="n">
        <v>9.3</v>
      </c>
      <c r="I674" s="0" t="n">
        <f aca="false">IF(ABS(ROUND(F674*G674,2)-H674)&lt;=0.01,1,0)</f>
        <v>1</v>
      </c>
      <c r="J674" s="0" t="n">
        <v>1</v>
      </c>
    </row>
    <row r="675" customFormat="false" ht="15" hidden="false" customHeight="false" outlineLevel="0" collapsed="false">
      <c r="A675" s="0" t="s">
        <v>210</v>
      </c>
      <c r="B675" s="0" t="s">
        <v>136</v>
      </c>
      <c r="C675" s="0" t="s">
        <v>211</v>
      </c>
      <c r="D675" s="0" t="s">
        <v>510</v>
      </c>
      <c r="E675" s="0" t="s">
        <v>624</v>
      </c>
      <c r="F675" s="0" t="n">
        <v>0.5</v>
      </c>
      <c r="G675" s="0" t="n">
        <v>5.9</v>
      </c>
      <c r="H675" s="0" t="n">
        <v>2.95</v>
      </c>
      <c r="I675" s="0" t="n">
        <f aca="false">IF(ABS(ROUND(F675*G675,2)-H675)&lt;=0.01,1,0)</f>
        <v>1</v>
      </c>
      <c r="J675" s="0" t="n">
        <v>0</v>
      </c>
    </row>
    <row r="676" customFormat="false" ht="15" hidden="false" customHeight="false" outlineLevel="0" collapsed="false">
      <c r="A676" s="0" t="s">
        <v>210</v>
      </c>
      <c r="B676" s="0" t="s">
        <v>136</v>
      </c>
      <c r="C676" s="0" t="s">
        <v>211</v>
      </c>
      <c r="D676" s="0" t="s">
        <v>510</v>
      </c>
      <c r="E676" s="0" t="s">
        <v>642</v>
      </c>
      <c r="F676" s="0" t="n">
        <v>0.5</v>
      </c>
      <c r="G676" s="0" t="n">
        <v>4.9</v>
      </c>
      <c r="H676" s="0" t="n">
        <v>2.45</v>
      </c>
      <c r="I676" s="0" t="n">
        <f aca="false">IF(ABS(ROUND(F676*G676,2)-H676)&lt;=0.01,1,0)</f>
        <v>1</v>
      </c>
      <c r="J676" s="0" t="n">
        <v>0</v>
      </c>
    </row>
    <row r="677" customFormat="false" ht="15" hidden="false" customHeight="false" outlineLevel="0" collapsed="false">
      <c r="A677" s="0" t="s">
        <v>210</v>
      </c>
      <c r="B677" s="0" t="s">
        <v>136</v>
      </c>
      <c r="C677" s="0" t="s">
        <v>211</v>
      </c>
      <c r="D677" s="0" t="s">
        <v>505</v>
      </c>
      <c r="E677" s="0" t="s">
        <v>395</v>
      </c>
      <c r="F677" s="0" t="n">
        <v>0.5</v>
      </c>
      <c r="G677" s="0" t="n">
        <v>5.9</v>
      </c>
      <c r="H677" s="0" t="n">
        <v>2.95</v>
      </c>
      <c r="I677" s="0" t="n">
        <f aca="false">IF(ABS(ROUND(F677*G677,2)-H677)&lt;=0.01,1,0)</f>
        <v>1</v>
      </c>
      <c r="J677" s="0" t="n">
        <v>0</v>
      </c>
    </row>
    <row r="678" customFormat="false" ht="15" hidden="false" customHeight="false" outlineLevel="0" collapsed="false">
      <c r="A678" s="0" t="s">
        <v>210</v>
      </c>
      <c r="B678" s="0" t="s">
        <v>136</v>
      </c>
      <c r="C678" s="0" t="s">
        <v>211</v>
      </c>
      <c r="D678" s="0" t="s">
        <v>505</v>
      </c>
      <c r="E678" s="0" t="s">
        <v>590</v>
      </c>
      <c r="F678" s="0" t="n">
        <v>0.5</v>
      </c>
      <c r="G678" s="0" t="n">
        <v>7.9</v>
      </c>
      <c r="H678" s="0" t="n">
        <v>3.95</v>
      </c>
      <c r="I678" s="0" t="n">
        <f aca="false">IF(ABS(ROUND(F678*G678,2)-H678)&lt;=0.01,1,0)</f>
        <v>1</v>
      </c>
      <c r="J678" s="0" t="n">
        <v>0</v>
      </c>
    </row>
    <row r="679" customFormat="false" ht="15" hidden="false" customHeight="false" outlineLevel="0" collapsed="false">
      <c r="A679" s="0" t="s">
        <v>210</v>
      </c>
      <c r="B679" s="0" t="s">
        <v>136</v>
      </c>
      <c r="C679" s="0" t="s">
        <v>211</v>
      </c>
      <c r="D679" s="0" t="s">
        <v>505</v>
      </c>
      <c r="E679" s="0" t="s">
        <v>636</v>
      </c>
      <c r="F679" s="0" t="n">
        <v>0.5</v>
      </c>
      <c r="G679" s="0" t="n">
        <v>19</v>
      </c>
      <c r="H679" s="0" t="n">
        <v>9.5</v>
      </c>
      <c r="I679" s="0" t="n">
        <f aca="false">IF(ABS(ROUND(F679*G679,2)-H679)&lt;=0.01,1,0)</f>
        <v>1</v>
      </c>
      <c r="J679" s="0" t="n">
        <v>0</v>
      </c>
    </row>
    <row r="680" customFormat="false" ht="15" hidden="false" customHeight="false" outlineLevel="0" collapsed="false">
      <c r="A680" s="0" t="s">
        <v>210</v>
      </c>
      <c r="B680" s="0" t="s">
        <v>136</v>
      </c>
      <c r="C680" s="0" t="s">
        <v>211</v>
      </c>
      <c r="D680" s="0" t="s">
        <v>505</v>
      </c>
      <c r="E680" s="0" t="s">
        <v>425</v>
      </c>
      <c r="F680" s="0" t="n">
        <v>0.5</v>
      </c>
      <c r="G680" s="0" t="n">
        <v>18.6</v>
      </c>
      <c r="H680" s="0" t="n">
        <v>9.3</v>
      </c>
      <c r="I680" s="0" t="n">
        <f aca="false">IF(ABS(ROUND(F680*G680,2)-H680)&lt;=0.01,1,0)</f>
        <v>1</v>
      </c>
      <c r="J680" s="0" t="n">
        <v>1</v>
      </c>
    </row>
    <row r="681" customFormat="false" ht="15" hidden="false" customHeight="false" outlineLevel="0" collapsed="false">
      <c r="A681" s="0" t="s">
        <v>210</v>
      </c>
      <c r="B681" s="0" t="s">
        <v>136</v>
      </c>
      <c r="C681" s="0" t="s">
        <v>211</v>
      </c>
      <c r="D681" s="0" t="s">
        <v>505</v>
      </c>
      <c r="E681" s="0" t="s">
        <v>624</v>
      </c>
      <c r="F681" s="0" t="n">
        <v>0.5</v>
      </c>
      <c r="G681" s="0" t="n">
        <v>5.9</v>
      </c>
      <c r="H681" s="0" t="n">
        <v>2.95</v>
      </c>
      <c r="I681" s="0" t="n">
        <f aca="false">IF(ABS(ROUND(F681*G681,2)-H681)&lt;=0.01,1,0)</f>
        <v>1</v>
      </c>
      <c r="J681" s="0" t="n">
        <v>0</v>
      </c>
    </row>
    <row r="682" customFormat="false" ht="15" hidden="false" customHeight="false" outlineLevel="0" collapsed="false">
      <c r="A682" s="0" t="s">
        <v>210</v>
      </c>
      <c r="B682" s="0" t="s">
        <v>136</v>
      </c>
      <c r="C682" s="0" t="s">
        <v>211</v>
      </c>
      <c r="D682" s="0" t="s">
        <v>505</v>
      </c>
      <c r="E682" s="0" t="s">
        <v>642</v>
      </c>
      <c r="F682" s="0" t="n">
        <v>0.5</v>
      </c>
      <c r="G682" s="0" t="n">
        <v>4.9</v>
      </c>
      <c r="H682" s="0" t="n">
        <v>2.45</v>
      </c>
      <c r="I682" s="0" t="n">
        <f aca="false">IF(ABS(ROUND(F682*G682,2)-H682)&lt;=0.01,1,0)</f>
        <v>1</v>
      </c>
      <c r="J682" s="0" t="n">
        <v>0</v>
      </c>
    </row>
    <row r="683" customFormat="false" ht="15" hidden="false" customHeight="false" outlineLevel="0" collapsed="false">
      <c r="A683" s="0" t="s">
        <v>213</v>
      </c>
      <c r="B683" s="0" t="s">
        <v>136</v>
      </c>
      <c r="C683" s="0" t="s">
        <v>214</v>
      </c>
      <c r="D683" s="0" t="s">
        <v>496</v>
      </c>
      <c r="E683" s="0" t="s">
        <v>681</v>
      </c>
      <c r="F683" s="0" t="n">
        <v>0.5</v>
      </c>
      <c r="G683" s="0" t="n">
        <v>4.9</v>
      </c>
      <c r="H683" s="0" t="n">
        <v>2.45</v>
      </c>
      <c r="I683" s="0" t="n">
        <f aca="false">IF(ABS(ROUND(F683*G683,2)-H683)&lt;=0.01,1,0)</f>
        <v>1</v>
      </c>
      <c r="J683" s="0" t="n">
        <v>0</v>
      </c>
    </row>
    <row r="684" customFormat="false" ht="15" hidden="false" customHeight="false" outlineLevel="0" collapsed="false">
      <c r="A684" s="0" t="s">
        <v>213</v>
      </c>
      <c r="B684" s="0" t="s">
        <v>136</v>
      </c>
      <c r="C684" s="0" t="s">
        <v>214</v>
      </c>
      <c r="D684" s="0" t="s">
        <v>496</v>
      </c>
      <c r="E684" s="0" t="s">
        <v>644</v>
      </c>
      <c r="F684" s="0" t="n">
        <v>1</v>
      </c>
      <c r="G684" s="0" t="n">
        <v>4.2</v>
      </c>
      <c r="H684" s="0" t="n">
        <v>4.2</v>
      </c>
      <c r="I684" s="0" t="n">
        <f aca="false">IF(ABS(ROUND(F684*G684,2)-H684)&lt;=0.01,1,0)</f>
        <v>1</v>
      </c>
      <c r="J684" s="0" t="n">
        <v>0</v>
      </c>
    </row>
    <row r="685" customFormat="false" ht="15" hidden="false" customHeight="false" outlineLevel="0" collapsed="false">
      <c r="A685" s="0" t="s">
        <v>213</v>
      </c>
      <c r="B685" s="0" t="s">
        <v>136</v>
      </c>
      <c r="C685" s="0" t="s">
        <v>214</v>
      </c>
      <c r="D685" s="0" t="s">
        <v>496</v>
      </c>
      <c r="E685" s="0" t="s">
        <v>382</v>
      </c>
      <c r="F685" s="0" t="n">
        <v>0.5</v>
      </c>
      <c r="G685" s="0" t="n">
        <v>4.2</v>
      </c>
      <c r="H685" s="0" t="n">
        <v>2.1</v>
      </c>
      <c r="I685" s="0" t="n">
        <f aca="false">IF(ABS(ROUND(F685*G685,2)-H685)&lt;=0.01,1,0)</f>
        <v>1</v>
      </c>
      <c r="J685" s="0" t="n">
        <v>0</v>
      </c>
    </row>
    <row r="686" customFormat="false" ht="15" hidden="false" customHeight="false" outlineLevel="0" collapsed="false">
      <c r="A686" s="0" t="s">
        <v>213</v>
      </c>
      <c r="B686" s="0" t="s">
        <v>136</v>
      </c>
      <c r="C686" s="0" t="s">
        <v>214</v>
      </c>
      <c r="D686" s="0" t="s">
        <v>496</v>
      </c>
      <c r="E686" s="0" t="s">
        <v>652</v>
      </c>
      <c r="F686" s="0" t="n">
        <v>0.5</v>
      </c>
      <c r="G686" s="0" t="n">
        <v>10.5</v>
      </c>
      <c r="H686" s="0" t="n">
        <v>5.25</v>
      </c>
      <c r="I686" s="0" t="n">
        <f aca="false">IF(ABS(ROUND(F686*G686,2)-H686)&lt;=0.01,1,0)</f>
        <v>1</v>
      </c>
      <c r="J686" s="0" t="n">
        <v>0</v>
      </c>
    </row>
    <row r="687" customFormat="false" ht="15" hidden="false" customHeight="false" outlineLevel="0" collapsed="false">
      <c r="A687" s="0" t="s">
        <v>213</v>
      </c>
      <c r="B687" s="0" t="s">
        <v>136</v>
      </c>
      <c r="C687" s="0" t="s">
        <v>214</v>
      </c>
      <c r="D687" s="0" t="s">
        <v>496</v>
      </c>
      <c r="E687" s="0" t="s">
        <v>605</v>
      </c>
      <c r="F687" s="0" t="n">
        <v>1</v>
      </c>
      <c r="G687" s="0" t="n">
        <v>18.6</v>
      </c>
      <c r="H687" s="0" t="n">
        <v>18.6</v>
      </c>
      <c r="I687" s="0" t="n">
        <f aca="false">IF(ABS(ROUND(F687*G687,2)-H687)&lt;=0.01,1,0)</f>
        <v>1</v>
      </c>
      <c r="J687" s="0" t="n">
        <v>0</v>
      </c>
    </row>
    <row r="688" customFormat="false" ht="15" hidden="false" customHeight="false" outlineLevel="0" collapsed="false">
      <c r="A688" s="0" t="s">
        <v>213</v>
      </c>
      <c r="B688" s="0" t="s">
        <v>136</v>
      </c>
      <c r="C688" s="0" t="s">
        <v>214</v>
      </c>
      <c r="D688" s="0" t="s">
        <v>496</v>
      </c>
      <c r="E688" s="0" t="s">
        <v>650</v>
      </c>
      <c r="F688" s="0" t="n">
        <v>0.5</v>
      </c>
      <c r="G688" s="0" t="n">
        <v>19.9</v>
      </c>
      <c r="H688" s="0" t="n">
        <v>9.95</v>
      </c>
      <c r="I688" s="0" t="n">
        <f aca="false">IF(ABS(ROUND(F688*G688,2)-H688)&lt;=0.01,1,0)</f>
        <v>1</v>
      </c>
      <c r="J688" s="0" t="n">
        <v>0</v>
      </c>
    </row>
    <row r="689" customFormat="false" ht="15" hidden="false" customHeight="false" outlineLevel="0" collapsed="false">
      <c r="A689" s="0" t="s">
        <v>213</v>
      </c>
      <c r="B689" s="0" t="s">
        <v>136</v>
      </c>
      <c r="C689" s="0" t="s">
        <v>214</v>
      </c>
      <c r="D689" s="0" t="s">
        <v>496</v>
      </c>
      <c r="E689" s="0" t="s">
        <v>392</v>
      </c>
      <c r="F689" s="0" t="n">
        <v>0.5</v>
      </c>
      <c r="G689" s="0" t="n">
        <v>18.6</v>
      </c>
      <c r="H689" s="0" t="n">
        <v>9.3</v>
      </c>
      <c r="I689" s="0" t="n">
        <f aca="false">IF(ABS(ROUND(F689*G689,2)-H689)&lt;=0.01,1,0)</f>
        <v>1</v>
      </c>
      <c r="J689" s="0" t="n">
        <v>1</v>
      </c>
    </row>
    <row r="690" customFormat="false" ht="15" hidden="false" customHeight="false" outlineLevel="0" collapsed="false">
      <c r="A690" s="0" t="s">
        <v>213</v>
      </c>
      <c r="B690" s="0" t="s">
        <v>136</v>
      </c>
      <c r="C690" s="0" t="s">
        <v>214</v>
      </c>
      <c r="D690" s="0" t="s">
        <v>496</v>
      </c>
      <c r="E690" s="0" t="s">
        <v>637</v>
      </c>
      <c r="F690" s="0" t="n">
        <v>0.5</v>
      </c>
      <c r="G690" s="0" t="n">
        <v>7.9</v>
      </c>
      <c r="H690" s="0" t="n">
        <v>3.95</v>
      </c>
      <c r="I690" s="0" t="n">
        <f aca="false">IF(ABS(ROUND(F690*G690,2)-H690)&lt;=0.01,1,0)</f>
        <v>1</v>
      </c>
      <c r="J690" s="0" t="n">
        <v>0</v>
      </c>
    </row>
    <row r="691" customFormat="false" ht="15" hidden="false" customHeight="false" outlineLevel="0" collapsed="false">
      <c r="A691" s="0" t="s">
        <v>213</v>
      </c>
      <c r="B691" s="0" t="s">
        <v>136</v>
      </c>
      <c r="C691" s="0" t="s">
        <v>214</v>
      </c>
      <c r="D691" s="0" t="s">
        <v>496</v>
      </c>
      <c r="E691" s="0" t="s">
        <v>638</v>
      </c>
      <c r="F691" s="0" t="n">
        <v>0.5</v>
      </c>
      <c r="G691" s="0" t="n">
        <v>2.4</v>
      </c>
      <c r="H691" s="0" t="n">
        <v>1.2</v>
      </c>
      <c r="I691" s="0" t="n">
        <f aca="false">IF(ABS(ROUND(F691*G691,2)-H691)&lt;=0.01,1,0)</f>
        <v>1</v>
      </c>
      <c r="J691" s="0" t="n">
        <v>0</v>
      </c>
    </row>
    <row r="692" customFormat="false" ht="15" hidden="false" customHeight="false" outlineLevel="0" collapsed="false">
      <c r="A692" s="0" t="s">
        <v>213</v>
      </c>
      <c r="B692" s="0" t="s">
        <v>136</v>
      </c>
      <c r="C692" s="0" t="s">
        <v>214</v>
      </c>
      <c r="D692" s="0" t="s">
        <v>496</v>
      </c>
      <c r="E692" s="0" t="s">
        <v>358</v>
      </c>
      <c r="F692" s="0" t="n">
        <v>0.5</v>
      </c>
      <c r="G692" s="0" t="n">
        <v>2</v>
      </c>
      <c r="H692" s="0" t="n">
        <v>1</v>
      </c>
      <c r="I692" s="0" t="n">
        <f aca="false">IF(ABS(ROUND(F692*G692,2)-H692)&lt;=0.01,1,0)</f>
        <v>1</v>
      </c>
      <c r="J692" s="0" t="n">
        <v>0</v>
      </c>
    </row>
    <row r="693" customFormat="false" ht="15" hidden="false" customHeight="false" outlineLevel="0" collapsed="false">
      <c r="A693" s="0" t="s">
        <v>213</v>
      </c>
      <c r="B693" s="0" t="s">
        <v>136</v>
      </c>
      <c r="C693" s="0" t="s">
        <v>214</v>
      </c>
      <c r="D693" s="0" t="s">
        <v>496</v>
      </c>
      <c r="E693" s="0" t="s">
        <v>429</v>
      </c>
      <c r="F693" s="0" t="n">
        <v>0.5</v>
      </c>
      <c r="G693" s="0" t="n">
        <v>8.9</v>
      </c>
      <c r="H693" s="0" t="n">
        <v>4.45</v>
      </c>
      <c r="I693" s="0" t="n">
        <f aca="false">IF(ABS(ROUND(F693*G693,2)-H693)&lt;=0.01,1,0)</f>
        <v>1</v>
      </c>
      <c r="J693" s="0" t="n">
        <v>1</v>
      </c>
    </row>
    <row r="694" customFormat="false" ht="15" hidden="false" customHeight="false" outlineLevel="0" collapsed="false">
      <c r="A694" s="0" t="s">
        <v>213</v>
      </c>
      <c r="B694" s="0" t="s">
        <v>136</v>
      </c>
      <c r="C694" s="0" t="s">
        <v>214</v>
      </c>
      <c r="D694" s="0" t="s">
        <v>496</v>
      </c>
      <c r="E694" s="0" t="s">
        <v>658</v>
      </c>
      <c r="F694" s="0" t="n">
        <v>1</v>
      </c>
      <c r="G694" s="0" t="n">
        <v>3.9</v>
      </c>
      <c r="H694" s="0" t="n">
        <v>3.9</v>
      </c>
      <c r="I694" s="0" t="n">
        <f aca="false">IF(ABS(ROUND(F694*G694,2)-H694)&lt;=0.01,1,0)</f>
        <v>1</v>
      </c>
      <c r="J694" s="0" t="n">
        <v>0</v>
      </c>
    </row>
    <row r="695" customFormat="false" ht="15" hidden="false" customHeight="false" outlineLevel="0" collapsed="false">
      <c r="A695" s="0" t="s">
        <v>213</v>
      </c>
      <c r="B695" s="0" t="s">
        <v>136</v>
      </c>
      <c r="C695" s="0" t="s">
        <v>214</v>
      </c>
      <c r="D695" s="0" t="s">
        <v>496</v>
      </c>
      <c r="E695" s="0" t="s">
        <v>682</v>
      </c>
      <c r="F695" s="0" t="n">
        <v>0.5</v>
      </c>
      <c r="G695" s="0" t="n">
        <v>2.5</v>
      </c>
      <c r="H695" s="0" t="n">
        <v>1.25</v>
      </c>
      <c r="I695" s="0" t="n">
        <f aca="false">IF(ABS(ROUND(F695*G695,2)-H695)&lt;=0.01,1,0)</f>
        <v>1</v>
      </c>
      <c r="J695" s="0" t="n">
        <v>0</v>
      </c>
    </row>
    <row r="696" customFormat="false" ht="15" hidden="false" customHeight="false" outlineLevel="0" collapsed="false">
      <c r="A696" s="0" t="s">
        <v>213</v>
      </c>
      <c r="B696" s="0" t="s">
        <v>136</v>
      </c>
      <c r="C696" s="0" t="s">
        <v>214</v>
      </c>
      <c r="D696" s="0" t="s">
        <v>487</v>
      </c>
      <c r="E696" s="0" t="s">
        <v>681</v>
      </c>
      <c r="F696" s="0" t="n">
        <v>0.5</v>
      </c>
      <c r="G696" s="0" t="n">
        <v>4.9</v>
      </c>
      <c r="H696" s="0" t="n">
        <v>2.45</v>
      </c>
      <c r="I696" s="0" t="n">
        <f aca="false">IF(ABS(ROUND(F696*G696,2)-H696)&lt;=0.01,1,0)</f>
        <v>1</v>
      </c>
      <c r="J696" s="0" t="n">
        <v>0</v>
      </c>
    </row>
    <row r="697" customFormat="false" ht="15" hidden="false" customHeight="false" outlineLevel="0" collapsed="false">
      <c r="A697" s="0" t="s">
        <v>213</v>
      </c>
      <c r="B697" s="0" t="s">
        <v>136</v>
      </c>
      <c r="C697" s="0" t="s">
        <v>214</v>
      </c>
      <c r="D697" s="0" t="s">
        <v>487</v>
      </c>
      <c r="E697" s="0" t="s">
        <v>644</v>
      </c>
      <c r="F697" s="0" t="n">
        <v>1</v>
      </c>
      <c r="G697" s="0" t="n">
        <v>4.2</v>
      </c>
      <c r="H697" s="0" t="n">
        <v>4.2</v>
      </c>
      <c r="I697" s="0" t="n">
        <f aca="false">IF(ABS(ROUND(F697*G697,2)-H697)&lt;=0.01,1,0)</f>
        <v>1</v>
      </c>
      <c r="J697" s="0" t="n">
        <v>0</v>
      </c>
    </row>
    <row r="698" customFormat="false" ht="15" hidden="false" customHeight="false" outlineLevel="0" collapsed="false">
      <c r="A698" s="0" t="s">
        <v>213</v>
      </c>
      <c r="B698" s="0" t="s">
        <v>136</v>
      </c>
      <c r="C698" s="0" t="s">
        <v>214</v>
      </c>
      <c r="D698" s="0" t="s">
        <v>487</v>
      </c>
      <c r="E698" s="0" t="s">
        <v>382</v>
      </c>
      <c r="F698" s="0" t="n">
        <v>0.5</v>
      </c>
      <c r="G698" s="0" t="n">
        <v>4.2</v>
      </c>
      <c r="H698" s="0" t="n">
        <v>2.1</v>
      </c>
      <c r="I698" s="0" t="n">
        <f aca="false">IF(ABS(ROUND(F698*G698,2)-H698)&lt;=0.01,1,0)</f>
        <v>1</v>
      </c>
      <c r="J698" s="0" t="n">
        <v>0</v>
      </c>
    </row>
    <row r="699" customFormat="false" ht="15" hidden="false" customHeight="false" outlineLevel="0" collapsed="false">
      <c r="A699" s="0" t="s">
        <v>213</v>
      </c>
      <c r="B699" s="0" t="s">
        <v>136</v>
      </c>
      <c r="C699" s="0" t="s">
        <v>214</v>
      </c>
      <c r="D699" s="0" t="s">
        <v>487</v>
      </c>
      <c r="E699" s="0" t="s">
        <v>652</v>
      </c>
      <c r="F699" s="0" t="n">
        <v>0.5</v>
      </c>
      <c r="G699" s="0" t="n">
        <v>10.5</v>
      </c>
      <c r="H699" s="0" t="n">
        <v>5.25</v>
      </c>
      <c r="I699" s="0" t="n">
        <f aca="false">IF(ABS(ROUND(F699*G699,2)-H699)&lt;=0.01,1,0)</f>
        <v>1</v>
      </c>
      <c r="J699" s="0" t="n">
        <v>0</v>
      </c>
    </row>
    <row r="700" customFormat="false" ht="15" hidden="false" customHeight="false" outlineLevel="0" collapsed="false">
      <c r="A700" s="0" t="s">
        <v>213</v>
      </c>
      <c r="B700" s="0" t="s">
        <v>136</v>
      </c>
      <c r="C700" s="0" t="s">
        <v>214</v>
      </c>
      <c r="D700" s="0" t="s">
        <v>487</v>
      </c>
      <c r="E700" s="0" t="s">
        <v>605</v>
      </c>
      <c r="F700" s="0" t="n">
        <v>1</v>
      </c>
      <c r="G700" s="0" t="n">
        <v>18.6</v>
      </c>
      <c r="H700" s="0" t="n">
        <v>18.6</v>
      </c>
      <c r="I700" s="0" t="n">
        <f aca="false">IF(ABS(ROUND(F700*G700,2)-H700)&lt;=0.01,1,0)</f>
        <v>1</v>
      </c>
      <c r="J700" s="0" t="n">
        <v>0</v>
      </c>
    </row>
    <row r="701" customFormat="false" ht="15" hidden="false" customHeight="false" outlineLevel="0" collapsed="false">
      <c r="A701" s="0" t="s">
        <v>213</v>
      </c>
      <c r="B701" s="0" t="s">
        <v>136</v>
      </c>
      <c r="C701" s="0" t="s">
        <v>214</v>
      </c>
      <c r="D701" s="0" t="s">
        <v>487</v>
      </c>
      <c r="E701" s="0" t="s">
        <v>650</v>
      </c>
      <c r="F701" s="0" t="n">
        <v>0.5</v>
      </c>
      <c r="G701" s="0" t="n">
        <v>19.9</v>
      </c>
      <c r="H701" s="0" t="n">
        <v>9.95</v>
      </c>
      <c r="I701" s="0" t="n">
        <f aca="false">IF(ABS(ROUND(F701*G701,2)-H701)&lt;=0.01,1,0)</f>
        <v>1</v>
      </c>
      <c r="J701" s="0" t="n">
        <v>0</v>
      </c>
    </row>
    <row r="702" customFormat="false" ht="15" hidden="false" customHeight="false" outlineLevel="0" collapsed="false">
      <c r="A702" s="0" t="s">
        <v>213</v>
      </c>
      <c r="B702" s="0" t="s">
        <v>136</v>
      </c>
      <c r="C702" s="0" t="s">
        <v>214</v>
      </c>
      <c r="D702" s="0" t="s">
        <v>487</v>
      </c>
      <c r="E702" s="0" t="s">
        <v>392</v>
      </c>
      <c r="F702" s="0" t="n">
        <v>0.5</v>
      </c>
      <c r="G702" s="0" t="n">
        <v>18.6</v>
      </c>
      <c r="H702" s="0" t="n">
        <v>9.3</v>
      </c>
      <c r="I702" s="0" t="n">
        <f aca="false">IF(ABS(ROUND(F702*G702,2)-H702)&lt;=0.01,1,0)</f>
        <v>1</v>
      </c>
      <c r="J702" s="0" t="n">
        <v>1</v>
      </c>
    </row>
    <row r="703" customFormat="false" ht="15" hidden="false" customHeight="false" outlineLevel="0" collapsed="false">
      <c r="A703" s="0" t="s">
        <v>213</v>
      </c>
      <c r="B703" s="0" t="s">
        <v>136</v>
      </c>
      <c r="C703" s="0" t="s">
        <v>214</v>
      </c>
      <c r="D703" s="0" t="s">
        <v>487</v>
      </c>
      <c r="E703" s="0" t="s">
        <v>637</v>
      </c>
      <c r="F703" s="0" t="n">
        <v>0.5</v>
      </c>
      <c r="G703" s="0" t="n">
        <v>7.9</v>
      </c>
      <c r="H703" s="0" t="n">
        <v>3.95</v>
      </c>
      <c r="I703" s="0" t="n">
        <f aca="false">IF(ABS(ROUND(F703*G703,2)-H703)&lt;=0.01,1,0)</f>
        <v>1</v>
      </c>
      <c r="J703" s="0" t="n">
        <v>0</v>
      </c>
    </row>
    <row r="704" customFormat="false" ht="15" hidden="false" customHeight="false" outlineLevel="0" collapsed="false">
      <c r="A704" s="0" t="s">
        <v>213</v>
      </c>
      <c r="B704" s="0" t="s">
        <v>136</v>
      </c>
      <c r="C704" s="0" t="s">
        <v>214</v>
      </c>
      <c r="D704" s="0" t="s">
        <v>487</v>
      </c>
      <c r="E704" s="0" t="s">
        <v>638</v>
      </c>
      <c r="F704" s="0" t="n">
        <v>0.5</v>
      </c>
      <c r="G704" s="0" t="n">
        <v>2.4</v>
      </c>
      <c r="H704" s="0" t="n">
        <v>1.2</v>
      </c>
      <c r="I704" s="0" t="n">
        <f aca="false">IF(ABS(ROUND(F704*G704,2)-H704)&lt;=0.01,1,0)</f>
        <v>1</v>
      </c>
      <c r="J704" s="0" t="n">
        <v>0</v>
      </c>
    </row>
    <row r="705" customFormat="false" ht="15" hidden="false" customHeight="false" outlineLevel="0" collapsed="false">
      <c r="A705" s="0" t="s">
        <v>213</v>
      </c>
      <c r="B705" s="0" t="s">
        <v>136</v>
      </c>
      <c r="C705" s="0" t="s">
        <v>214</v>
      </c>
      <c r="D705" s="0" t="s">
        <v>487</v>
      </c>
      <c r="E705" s="0" t="s">
        <v>358</v>
      </c>
      <c r="F705" s="0" t="n">
        <v>0.5</v>
      </c>
      <c r="G705" s="0" t="n">
        <v>2</v>
      </c>
      <c r="H705" s="0" t="n">
        <v>1</v>
      </c>
      <c r="I705" s="0" t="n">
        <f aca="false">IF(ABS(ROUND(F705*G705,2)-H705)&lt;=0.01,1,0)</f>
        <v>1</v>
      </c>
      <c r="J705" s="0" t="n">
        <v>0</v>
      </c>
    </row>
    <row r="706" customFormat="false" ht="15" hidden="false" customHeight="false" outlineLevel="0" collapsed="false">
      <c r="A706" s="0" t="s">
        <v>213</v>
      </c>
      <c r="B706" s="0" t="s">
        <v>136</v>
      </c>
      <c r="C706" s="0" t="s">
        <v>214</v>
      </c>
      <c r="D706" s="0" t="s">
        <v>487</v>
      </c>
      <c r="E706" s="0" t="s">
        <v>429</v>
      </c>
      <c r="F706" s="0" t="n">
        <v>0.5</v>
      </c>
      <c r="G706" s="0" t="n">
        <v>8.9</v>
      </c>
      <c r="H706" s="0" t="n">
        <v>4.45</v>
      </c>
      <c r="I706" s="0" t="n">
        <f aca="false">IF(ABS(ROUND(F706*G706,2)-H706)&lt;=0.01,1,0)</f>
        <v>1</v>
      </c>
      <c r="J706" s="0" t="n">
        <v>1</v>
      </c>
    </row>
    <row r="707" customFormat="false" ht="15" hidden="false" customHeight="false" outlineLevel="0" collapsed="false">
      <c r="A707" s="0" t="s">
        <v>213</v>
      </c>
      <c r="B707" s="0" t="s">
        <v>136</v>
      </c>
      <c r="C707" s="0" t="s">
        <v>214</v>
      </c>
      <c r="D707" s="0" t="s">
        <v>487</v>
      </c>
      <c r="E707" s="0" t="s">
        <v>658</v>
      </c>
      <c r="F707" s="0" t="n">
        <v>1</v>
      </c>
      <c r="G707" s="0" t="n">
        <v>3.9</v>
      </c>
      <c r="H707" s="0" t="n">
        <v>3.9</v>
      </c>
      <c r="I707" s="0" t="n">
        <f aca="false">IF(ABS(ROUND(F707*G707,2)-H707)&lt;=0.01,1,0)</f>
        <v>1</v>
      </c>
      <c r="J707" s="0" t="n">
        <v>0</v>
      </c>
    </row>
    <row r="708" customFormat="false" ht="15" hidden="false" customHeight="false" outlineLevel="0" collapsed="false">
      <c r="A708" s="0" t="s">
        <v>213</v>
      </c>
      <c r="B708" s="0" t="s">
        <v>136</v>
      </c>
      <c r="C708" s="0" t="s">
        <v>214</v>
      </c>
      <c r="D708" s="0" t="s">
        <v>487</v>
      </c>
      <c r="E708" s="0" t="s">
        <v>682</v>
      </c>
      <c r="F708" s="0" t="n">
        <v>0.5</v>
      </c>
      <c r="G708" s="0" t="n">
        <v>2.5</v>
      </c>
      <c r="H708" s="0" t="n">
        <v>1.25</v>
      </c>
      <c r="I708" s="0" t="n">
        <f aca="false">IF(ABS(ROUND(F708*G708,2)-H708)&lt;=0.01,1,0)</f>
        <v>1</v>
      </c>
      <c r="J708" s="0" t="n">
        <v>0</v>
      </c>
    </row>
    <row r="709" customFormat="false" ht="15" hidden="false" customHeight="false" outlineLevel="0" collapsed="false">
      <c r="A709" s="0" t="s">
        <v>216</v>
      </c>
      <c r="B709" s="0" t="s">
        <v>136</v>
      </c>
      <c r="C709" s="0" t="s">
        <v>217</v>
      </c>
      <c r="D709" s="0" t="s">
        <v>500</v>
      </c>
      <c r="E709" s="0" t="s">
        <v>587</v>
      </c>
      <c r="F709" s="0" t="n">
        <v>0.5</v>
      </c>
      <c r="G709" s="0" t="n">
        <v>6</v>
      </c>
      <c r="H709" s="0" t="n">
        <v>3</v>
      </c>
      <c r="I709" s="0" t="n">
        <f aca="false">IF(ABS(ROUND(F709*G709,2)-H709)&lt;=0.01,1,0)</f>
        <v>1</v>
      </c>
      <c r="J709" s="0" t="n">
        <v>0</v>
      </c>
    </row>
    <row r="710" customFormat="false" ht="15" hidden="false" customHeight="false" outlineLevel="0" collapsed="false">
      <c r="A710" s="0" t="s">
        <v>216</v>
      </c>
      <c r="B710" s="0" t="s">
        <v>136</v>
      </c>
      <c r="C710" s="0" t="s">
        <v>217</v>
      </c>
      <c r="D710" s="0" t="s">
        <v>500</v>
      </c>
      <c r="E710" s="0" t="s">
        <v>364</v>
      </c>
      <c r="F710" s="0" t="n">
        <v>0.5</v>
      </c>
      <c r="G710" s="0" t="n">
        <v>6.5</v>
      </c>
      <c r="H710" s="0" t="n">
        <v>3.25</v>
      </c>
      <c r="I710" s="0" t="n">
        <f aca="false">IF(ABS(ROUND(F710*G710,2)-H710)&lt;=0.01,1,0)</f>
        <v>1</v>
      </c>
      <c r="J710" s="0" t="n">
        <v>0</v>
      </c>
    </row>
    <row r="711" customFormat="false" ht="15" hidden="false" customHeight="false" outlineLevel="0" collapsed="false">
      <c r="A711" s="0" t="s">
        <v>216</v>
      </c>
      <c r="B711" s="0" t="s">
        <v>136</v>
      </c>
      <c r="C711" s="0" t="s">
        <v>217</v>
      </c>
      <c r="D711" s="0" t="s">
        <v>500</v>
      </c>
      <c r="E711" s="0" t="s">
        <v>444</v>
      </c>
      <c r="F711" s="0" t="n">
        <v>0.5</v>
      </c>
      <c r="G711" s="0" t="n">
        <v>3.9</v>
      </c>
      <c r="H711" s="0" t="n">
        <v>1.95</v>
      </c>
      <c r="I711" s="0" t="n">
        <f aca="false">IF(ABS(ROUND(F711*G711,2)-H711)&lt;=0.01,1,0)</f>
        <v>1</v>
      </c>
      <c r="J711" s="0" t="n">
        <v>1</v>
      </c>
    </row>
    <row r="712" customFormat="false" ht="15" hidden="false" customHeight="false" outlineLevel="0" collapsed="false">
      <c r="A712" s="0" t="s">
        <v>216</v>
      </c>
      <c r="B712" s="0" t="s">
        <v>136</v>
      </c>
      <c r="C712" s="0" t="s">
        <v>217</v>
      </c>
      <c r="D712" s="0" t="s">
        <v>500</v>
      </c>
      <c r="E712" s="0" t="s">
        <v>406</v>
      </c>
      <c r="F712" s="0" t="n">
        <v>0.5</v>
      </c>
      <c r="G712" s="0" t="n">
        <v>18.6</v>
      </c>
      <c r="H712" s="0" t="n">
        <v>9.3</v>
      </c>
      <c r="I712" s="0" t="n">
        <f aca="false">IF(ABS(ROUND(F712*G712,2)-H712)&lt;=0.01,1,0)</f>
        <v>1</v>
      </c>
      <c r="J712" s="0" t="n">
        <v>0</v>
      </c>
    </row>
    <row r="713" customFormat="false" ht="15" hidden="false" customHeight="false" outlineLevel="0" collapsed="false">
      <c r="A713" s="0" t="s">
        <v>216</v>
      </c>
      <c r="B713" s="0" t="s">
        <v>136</v>
      </c>
      <c r="C713" s="0" t="s">
        <v>217</v>
      </c>
      <c r="D713" s="0" t="s">
        <v>500</v>
      </c>
      <c r="E713" s="0" t="s">
        <v>425</v>
      </c>
      <c r="F713" s="0" t="n">
        <v>0.5</v>
      </c>
      <c r="G713" s="0" t="n">
        <v>18.6</v>
      </c>
      <c r="H713" s="0" t="n">
        <v>9.3</v>
      </c>
      <c r="I713" s="0" t="n">
        <f aca="false">IF(ABS(ROUND(F713*G713,2)-H713)&lt;=0.01,1,0)</f>
        <v>1</v>
      </c>
      <c r="J713" s="0" t="n">
        <v>0</v>
      </c>
    </row>
    <row r="714" customFormat="false" ht="15" hidden="false" customHeight="false" outlineLevel="0" collapsed="false">
      <c r="A714" s="0" t="s">
        <v>216</v>
      </c>
      <c r="B714" s="0" t="s">
        <v>136</v>
      </c>
      <c r="C714" s="0" t="s">
        <v>217</v>
      </c>
      <c r="D714" s="0" t="s">
        <v>500</v>
      </c>
      <c r="E714" s="0" t="s">
        <v>445</v>
      </c>
      <c r="F714" s="0" t="n">
        <v>0.5</v>
      </c>
      <c r="G714" s="0" t="n">
        <v>19</v>
      </c>
      <c r="H714" s="0" t="n">
        <v>9.5</v>
      </c>
      <c r="I714" s="0" t="n">
        <f aca="false">IF(ABS(ROUND(F714*G714,2)-H714)&lt;=0.01,1,0)</f>
        <v>1</v>
      </c>
      <c r="J714" s="0" t="n">
        <v>1</v>
      </c>
    </row>
    <row r="715" customFormat="false" ht="15" hidden="false" customHeight="false" outlineLevel="0" collapsed="false">
      <c r="A715" s="0" t="s">
        <v>216</v>
      </c>
      <c r="B715" s="0" t="s">
        <v>136</v>
      </c>
      <c r="C715" s="0" t="s">
        <v>217</v>
      </c>
      <c r="D715" s="0" t="s">
        <v>500</v>
      </c>
      <c r="E715" s="0" t="s">
        <v>637</v>
      </c>
      <c r="F715" s="0" t="n">
        <v>1</v>
      </c>
      <c r="G715" s="0" t="n">
        <v>7.9</v>
      </c>
      <c r="H715" s="0" t="n">
        <v>7.9</v>
      </c>
      <c r="I715" s="0" t="n">
        <f aca="false">IF(ABS(ROUND(F715*G715,2)-H715)&lt;=0.01,1,0)</f>
        <v>1</v>
      </c>
      <c r="J715" s="0" t="n">
        <v>0</v>
      </c>
    </row>
    <row r="716" customFormat="false" ht="15" hidden="false" customHeight="false" outlineLevel="0" collapsed="false">
      <c r="A716" s="0" t="s">
        <v>216</v>
      </c>
      <c r="B716" s="0" t="s">
        <v>136</v>
      </c>
      <c r="C716" s="0" t="s">
        <v>217</v>
      </c>
      <c r="D716" s="0" t="s">
        <v>500</v>
      </c>
      <c r="E716" s="0" t="s">
        <v>654</v>
      </c>
      <c r="F716" s="0" t="n">
        <v>0.5</v>
      </c>
      <c r="G716" s="0" t="n">
        <v>9.3</v>
      </c>
      <c r="H716" s="0" t="n">
        <v>4.65</v>
      </c>
      <c r="I716" s="0" t="n">
        <f aca="false">IF(ABS(ROUND(F716*G716,2)-H716)&lt;=0.01,1,0)</f>
        <v>1</v>
      </c>
      <c r="J716" s="0" t="n">
        <v>0</v>
      </c>
    </row>
    <row r="717" customFormat="false" ht="15" hidden="false" customHeight="false" outlineLevel="0" collapsed="false">
      <c r="A717" s="0" t="s">
        <v>216</v>
      </c>
      <c r="B717" s="0" t="s">
        <v>136</v>
      </c>
      <c r="C717" s="0" t="s">
        <v>217</v>
      </c>
      <c r="D717" s="0" t="s">
        <v>492</v>
      </c>
      <c r="E717" s="0" t="s">
        <v>587</v>
      </c>
      <c r="F717" s="0" t="n">
        <v>0.5</v>
      </c>
      <c r="G717" s="0" t="n">
        <v>6</v>
      </c>
      <c r="H717" s="0" t="n">
        <v>3</v>
      </c>
      <c r="I717" s="0" t="n">
        <f aca="false">IF(ABS(ROUND(F717*G717,2)-H717)&lt;=0.01,1,0)</f>
        <v>1</v>
      </c>
      <c r="J717" s="0" t="n">
        <v>0</v>
      </c>
    </row>
    <row r="718" customFormat="false" ht="15" hidden="false" customHeight="false" outlineLevel="0" collapsed="false">
      <c r="A718" s="0" t="s">
        <v>216</v>
      </c>
      <c r="B718" s="0" t="s">
        <v>136</v>
      </c>
      <c r="C718" s="0" t="s">
        <v>217</v>
      </c>
      <c r="D718" s="0" t="s">
        <v>492</v>
      </c>
      <c r="E718" s="0" t="s">
        <v>364</v>
      </c>
      <c r="F718" s="0" t="n">
        <v>0.5</v>
      </c>
      <c r="G718" s="0" t="n">
        <v>6.5</v>
      </c>
      <c r="H718" s="0" t="n">
        <v>3.25</v>
      </c>
      <c r="I718" s="0" t="n">
        <f aca="false">IF(ABS(ROUND(F718*G718,2)-H718)&lt;=0.01,1,0)</f>
        <v>1</v>
      </c>
      <c r="J718" s="0" t="n">
        <v>0</v>
      </c>
    </row>
    <row r="719" customFormat="false" ht="15" hidden="false" customHeight="false" outlineLevel="0" collapsed="false">
      <c r="A719" s="0" t="s">
        <v>216</v>
      </c>
      <c r="B719" s="0" t="s">
        <v>136</v>
      </c>
      <c r="C719" s="0" t="s">
        <v>217</v>
      </c>
      <c r="D719" s="0" t="s">
        <v>492</v>
      </c>
      <c r="E719" s="0" t="s">
        <v>444</v>
      </c>
      <c r="F719" s="0" t="n">
        <v>0.5</v>
      </c>
      <c r="G719" s="0" t="n">
        <v>3.9</v>
      </c>
      <c r="H719" s="0" t="n">
        <v>1.95</v>
      </c>
      <c r="I719" s="0" t="n">
        <f aca="false">IF(ABS(ROUND(F719*G719,2)-H719)&lt;=0.01,1,0)</f>
        <v>1</v>
      </c>
      <c r="J719" s="0" t="n">
        <v>1</v>
      </c>
    </row>
    <row r="720" customFormat="false" ht="15" hidden="false" customHeight="false" outlineLevel="0" collapsed="false">
      <c r="A720" s="0" t="s">
        <v>216</v>
      </c>
      <c r="B720" s="0" t="s">
        <v>136</v>
      </c>
      <c r="C720" s="0" t="s">
        <v>217</v>
      </c>
      <c r="D720" s="0" t="s">
        <v>492</v>
      </c>
      <c r="E720" s="0" t="s">
        <v>406</v>
      </c>
      <c r="F720" s="0" t="n">
        <v>0.5</v>
      </c>
      <c r="G720" s="0" t="n">
        <v>18.6</v>
      </c>
      <c r="H720" s="0" t="n">
        <v>9.3</v>
      </c>
      <c r="I720" s="0" t="n">
        <f aca="false">IF(ABS(ROUND(F720*G720,2)-H720)&lt;=0.01,1,0)</f>
        <v>1</v>
      </c>
      <c r="J720" s="0" t="n">
        <v>0</v>
      </c>
    </row>
    <row r="721" customFormat="false" ht="15" hidden="false" customHeight="false" outlineLevel="0" collapsed="false">
      <c r="A721" s="0" t="s">
        <v>216</v>
      </c>
      <c r="B721" s="0" t="s">
        <v>136</v>
      </c>
      <c r="C721" s="0" t="s">
        <v>217</v>
      </c>
      <c r="D721" s="0" t="s">
        <v>492</v>
      </c>
      <c r="E721" s="0" t="s">
        <v>425</v>
      </c>
      <c r="F721" s="0" t="n">
        <v>0.5</v>
      </c>
      <c r="G721" s="0" t="n">
        <v>18.6</v>
      </c>
      <c r="H721" s="0" t="n">
        <v>9.3</v>
      </c>
      <c r="I721" s="0" t="n">
        <f aca="false">IF(ABS(ROUND(F721*G721,2)-H721)&lt;=0.01,1,0)</f>
        <v>1</v>
      </c>
      <c r="J721" s="0" t="n">
        <v>0</v>
      </c>
    </row>
    <row r="722" customFormat="false" ht="15" hidden="false" customHeight="false" outlineLevel="0" collapsed="false">
      <c r="A722" s="0" t="s">
        <v>216</v>
      </c>
      <c r="B722" s="0" t="s">
        <v>136</v>
      </c>
      <c r="C722" s="0" t="s">
        <v>217</v>
      </c>
      <c r="D722" s="0" t="s">
        <v>492</v>
      </c>
      <c r="E722" s="0" t="s">
        <v>445</v>
      </c>
      <c r="F722" s="0" t="n">
        <v>0.5</v>
      </c>
      <c r="G722" s="0" t="n">
        <v>19</v>
      </c>
      <c r="H722" s="0" t="n">
        <v>9.5</v>
      </c>
      <c r="I722" s="0" t="n">
        <f aca="false">IF(ABS(ROUND(F722*G722,2)-H722)&lt;=0.01,1,0)</f>
        <v>1</v>
      </c>
      <c r="J722" s="0" t="n">
        <v>1</v>
      </c>
    </row>
    <row r="723" customFormat="false" ht="15" hidden="false" customHeight="false" outlineLevel="0" collapsed="false">
      <c r="A723" s="0" t="s">
        <v>216</v>
      </c>
      <c r="B723" s="0" t="s">
        <v>136</v>
      </c>
      <c r="C723" s="0" t="s">
        <v>217</v>
      </c>
      <c r="D723" s="0" t="s">
        <v>492</v>
      </c>
      <c r="E723" s="0" t="s">
        <v>637</v>
      </c>
      <c r="F723" s="0" t="n">
        <v>1</v>
      </c>
      <c r="G723" s="0" t="n">
        <v>7.9</v>
      </c>
      <c r="H723" s="0" t="n">
        <v>7.9</v>
      </c>
      <c r="I723" s="0" t="n">
        <f aca="false">IF(ABS(ROUND(F723*G723,2)-H723)&lt;=0.01,1,0)</f>
        <v>1</v>
      </c>
      <c r="J723" s="0" t="n">
        <v>0</v>
      </c>
    </row>
    <row r="724" customFormat="false" ht="15" hidden="false" customHeight="false" outlineLevel="0" collapsed="false">
      <c r="A724" s="0" t="s">
        <v>216</v>
      </c>
      <c r="B724" s="0" t="s">
        <v>136</v>
      </c>
      <c r="C724" s="0" t="s">
        <v>217</v>
      </c>
      <c r="D724" s="0" t="s">
        <v>492</v>
      </c>
      <c r="E724" s="0" t="s">
        <v>654</v>
      </c>
      <c r="F724" s="0" t="n">
        <v>0.5</v>
      </c>
      <c r="G724" s="0" t="n">
        <v>9.3</v>
      </c>
      <c r="H724" s="0" t="n">
        <v>4.65</v>
      </c>
      <c r="I724" s="0" t="n">
        <f aca="false">IF(ABS(ROUND(F724*G724,2)-H724)&lt;=0.01,1,0)</f>
        <v>1</v>
      </c>
      <c r="J724" s="0" t="n">
        <v>0</v>
      </c>
    </row>
    <row r="725" customFormat="false" ht="15" hidden="false" customHeight="false" outlineLevel="0" collapsed="false">
      <c r="A725" s="0" t="s">
        <v>219</v>
      </c>
      <c r="B725" s="0" t="s">
        <v>136</v>
      </c>
      <c r="C725" s="0" t="s">
        <v>220</v>
      </c>
      <c r="D725" s="0" t="s">
        <v>532</v>
      </c>
      <c r="E725" s="0" t="s">
        <v>405</v>
      </c>
      <c r="F725" s="0" t="n">
        <v>0.5</v>
      </c>
      <c r="G725" s="0" t="n">
        <v>5.9</v>
      </c>
      <c r="H725" s="0" t="n">
        <v>2.95</v>
      </c>
      <c r="I725" s="0" t="n">
        <f aca="false">IF(ABS(ROUND(F725*G725,2)-H725)&lt;=0.01,1,0)</f>
        <v>1</v>
      </c>
      <c r="J725" s="0" t="n">
        <v>0</v>
      </c>
    </row>
    <row r="726" customFormat="false" ht="15" hidden="false" customHeight="false" outlineLevel="0" collapsed="false">
      <c r="A726" s="0" t="s">
        <v>219</v>
      </c>
      <c r="B726" s="0" t="s">
        <v>136</v>
      </c>
      <c r="C726" s="0" t="s">
        <v>220</v>
      </c>
      <c r="D726" s="0" t="s">
        <v>532</v>
      </c>
      <c r="E726" s="0" t="s">
        <v>607</v>
      </c>
      <c r="F726" s="0" t="n">
        <v>0.5</v>
      </c>
      <c r="G726" s="0" t="n">
        <v>5.9</v>
      </c>
      <c r="H726" s="0" t="n">
        <v>2.95</v>
      </c>
      <c r="I726" s="0" t="n">
        <f aca="false">IF(ABS(ROUND(F726*G726,2)-H726)&lt;=0.01,1,0)</f>
        <v>1</v>
      </c>
      <c r="J726" s="0" t="n">
        <v>0</v>
      </c>
    </row>
    <row r="727" customFormat="false" ht="15" hidden="false" customHeight="false" outlineLevel="0" collapsed="false">
      <c r="A727" s="0" t="s">
        <v>219</v>
      </c>
      <c r="B727" s="0" t="s">
        <v>136</v>
      </c>
      <c r="C727" s="0" t="s">
        <v>220</v>
      </c>
      <c r="D727" s="0" t="s">
        <v>532</v>
      </c>
      <c r="E727" s="0" t="s">
        <v>683</v>
      </c>
      <c r="F727" s="0" t="n">
        <v>0.5</v>
      </c>
      <c r="G727" s="0" t="n">
        <v>9</v>
      </c>
      <c r="H727" s="0" t="n">
        <v>4.5</v>
      </c>
      <c r="I727" s="0" t="n">
        <f aca="false">IF(ABS(ROUND(F727*G727,2)-H727)&lt;=0.01,1,0)</f>
        <v>1</v>
      </c>
      <c r="J727" s="0" t="n">
        <v>0</v>
      </c>
    </row>
    <row r="728" customFormat="false" ht="15" hidden="false" customHeight="false" outlineLevel="0" collapsed="false">
      <c r="A728" s="0" t="s">
        <v>219</v>
      </c>
      <c r="B728" s="0" t="s">
        <v>136</v>
      </c>
      <c r="C728" s="0" t="s">
        <v>220</v>
      </c>
      <c r="D728" s="0" t="s">
        <v>532</v>
      </c>
      <c r="E728" s="0" t="s">
        <v>395</v>
      </c>
      <c r="F728" s="0" t="n">
        <v>0.5</v>
      </c>
      <c r="G728" s="0" t="n">
        <v>5.9</v>
      </c>
      <c r="H728" s="0" t="n">
        <v>2.95</v>
      </c>
      <c r="I728" s="0" t="n">
        <f aca="false">IF(ABS(ROUND(F728*G728,2)-H728)&lt;=0.01,1,0)</f>
        <v>1</v>
      </c>
      <c r="J728" s="0" t="n">
        <v>0</v>
      </c>
    </row>
    <row r="729" customFormat="false" ht="15" hidden="false" customHeight="false" outlineLevel="0" collapsed="false">
      <c r="A729" s="0" t="s">
        <v>219</v>
      </c>
      <c r="B729" s="0" t="s">
        <v>136</v>
      </c>
      <c r="C729" s="0" t="s">
        <v>220</v>
      </c>
      <c r="D729" s="0" t="s">
        <v>532</v>
      </c>
      <c r="E729" s="0" t="s">
        <v>684</v>
      </c>
      <c r="F729" s="0" t="n">
        <v>0.5</v>
      </c>
      <c r="G729" s="0" t="n">
        <v>49</v>
      </c>
      <c r="H729" s="0" t="n">
        <v>24.5</v>
      </c>
      <c r="I729" s="0" t="n">
        <f aca="false">IF(ABS(ROUND(F729*G729,2)-H729)&lt;=0.01,1,0)</f>
        <v>1</v>
      </c>
      <c r="J729" s="0" t="n">
        <v>0</v>
      </c>
    </row>
    <row r="730" customFormat="false" ht="15" hidden="false" customHeight="false" outlineLevel="0" collapsed="false">
      <c r="A730" s="0" t="s">
        <v>219</v>
      </c>
      <c r="B730" s="0" t="s">
        <v>136</v>
      </c>
      <c r="C730" s="0" t="s">
        <v>220</v>
      </c>
      <c r="D730" s="0" t="s">
        <v>532</v>
      </c>
      <c r="E730" s="0" t="s">
        <v>685</v>
      </c>
      <c r="F730" s="0" t="n">
        <v>3</v>
      </c>
      <c r="G730" s="0" t="n">
        <v>8</v>
      </c>
      <c r="H730" s="0" t="n">
        <v>24</v>
      </c>
      <c r="I730" s="0" t="n">
        <f aca="false">IF(ABS(ROUND(F730*G730,2)-H730)&lt;=0.01,1,0)</f>
        <v>1</v>
      </c>
      <c r="J730" s="0" t="n">
        <v>0</v>
      </c>
    </row>
    <row r="731" customFormat="false" ht="15" hidden="false" customHeight="false" outlineLevel="0" collapsed="false">
      <c r="A731" s="0" t="s">
        <v>219</v>
      </c>
      <c r="B731" s="0" t="s">
        <v>136</v>
      </c>
      <c r="C731" s="0" t="s">
        <v>220</v>
      </c>
      <c r="D731" s="0" t="s">
        <v>532</v>
      </c>
      <c r="E731" s="0" t="s">
        <v>350</v>
      </c>
      <c r="F731" s="0" t="n">
        <v>0.5</v>
      </c>
      <c r="G731" s="0" t="n">
        <v>16.9</v>
      </c>
      <c r="H731" s="0" t="n">
        <v>8.45</v>
      </c>
      <c r="I731" s="0" t="n">
        <f aca="false">IF(ABS(ROUND(F731*G731,2)-H731)&lt;=0.01,1,0)</f>
        <v>1</v>
      </c>
      <c r="J731" s="0" t="n">
        <v>0</v>
      </c>
    </row>
    <row r="732" customFormat="false" ht="15" hidden="false" customHeight="false" outlineLevel="0" collapsed="false">
      <c r="A732" s="0" t="s">
        <v>219</v>
      </c>
      <c r="B732" s="0" t="s">
        <v>136</v>
      </c>
      <c r="C732" s="0" t="s">
        <v>220</v>
      </c>
      <c r="D732" s="0" t="s">
        <v>532</v>
      </c>
      <c r="E732" s="0" t="s">
        <v>631</v>
      </c>
      <c r="F732" s="0" t="n">
        <v>0.5</v>
      </c>
      <c r="G732" s="0" t="n">
        <v>10.9</v>
      </c>
      <c r="H732" s="0" t="n">
        <v>5.45</v>
      </c>
      <c r="I732" s="0" t="n">
        <f aca="false">IF(ABS(ROUND(F732*G732,2)-H732)&lt;=0.01,1,0)</f>
        <v>1</v>
      </c>
      <c r="J732" s="0" t="n">
        <v>0</v>
      </c>
    </row>
    <row r="733" customFormat="false" ht="15" hidden="false" customHeight="false" outlineLevel="0" collapsed="false">
      <c r="A733" s="0" t="s">
        <v>219</v>
      </c>
      <c r="B733" s="0" t="s">
        <v>136</v>
      </c>
      <c r="C733" s="0" t="s">
        <v>220</v>
      </c>
      <c r="D733" s="0" t="s">
        <v>532</v>
      </c>
      <c r="E733" s="0" t="s">
        <v>425</v>
      </c>
      <c r="F733" s="0" t="n">
        <v>0.5</v>
      </c>
      <c r="G733" s="0" t="n">
        <v>18.6</v>
      </c>
      <c r="H733" s="0" t="n">
        <v>9.3</v>
      </c>
      <c r="I733" s="0" t="n">
        <f aca="false">IF(ABS(ROUND(F733*G733,2)-H733)&lt;=0.01,1,0)</f>
        <v>1</v>
      </c>
      <c r="J733" s="0" t="n">
        <v>1</v>
      </c>
    </row>
    <row r="734" customFormat="false" ht="15" hidden="false" customHeight="false" outlineLevel="0" collapsed="false">
      <c r="A734" s="0" t="s">
        <v>219</v>
      </c>
      <c r="B734" s="0" t="s">
        <v>136</v>
      </c>
      <c r="C734" s="0" t="s">
        <v>220</v>
      </c>
      <c r="D734" s="0" t="s">
        <v>532</v>
      </c>
      <c r="E734" s="0" t="s">
        <v>686</v>
      </c>
      <c r="F734" s="0" t="n">
        <v>0.5</v>
      </c>
      <c r="G734" s="0" t="n">
        <v>19.6</v>
      </c>
      <c r="H734" s="0" t="n">
        <v>9.8</v>
      </c>
      <c r="I734" s="0" t="n">
        <f aca="false">IF(ABS(ROUND(F734*G734,2)-H734)&lt;=0.01,1,0)</f>
        <v>1</v>
      </c>
      <c r="J734" s="0" t="n">
        <v>0</v>
      </c>
    </row>
    <row r="735" customFormat="false" ht="15" hidden="false" customHeight="false" outlineLevel="0" collapsed="false">
      <c r="A735" s="0" t="s">
        <v>219</v>
      </c>
      <c r="B735" s="0" t="s">
        <v>136</v>
      </c>
      <c r="C735" s="0" t="s">
        <v>220</v>
      </c>
      <c r="D735" s="0" t="s">
        <v>532</v>
      </c>
      <c r="E735" s="0" t="s">
        <v>447</v>
      </c>
      <c r="F735" s="0" t="n">
        <v>0.5</v>
      </c>
      <c r="G735" s="0" t="n">
        <v>17.8</v>
      </c>
      <c r="H735" s="0" t="n">
        <v>8.9</v>
      </c>
      <c r="I735" s="0" t="n">
        <f aca="false">IF(ABS(ROUND(F735*G735,2)-H735)&lt;=0.01,1,0)</f>
        <v>1</v>
      </c>
      <c r="J735" s="0" t="n">
        <v>1</v>
      </c>
    </row>
    <row r="736" customFormat="false" ht="15" hidden="false" customHeight="false" outlineLevel="0" collapsed="false">
      <c r="A736" s="0" t="s">
        <v>219</v>
      </c>
      <c r="B736" s="0" t="s">
        <v>136</v>
      </c>
      <c r="C736" s="0" t="s">
        <v>220</v>
      </c>
      <c r="D736" s="0" t="s">
        <v>532</v>
      </c>
      <c r="E736" s="0" t="s">
        <v>441</v>
      </c>
      <c r="F736" s="0" t="n">
        <v>0.5</v>
      </c>
      <c r="G736" s="0" t="n">
        <v>19.9</v>
      </c>
      <c r="H736" s="0" t="n">
        <v>9.95</v>
      </c>
      <c r="I736" s="0" t="n">
        <f aca="false">IF(ABS(ROUND(F736*G736,2)-H736)&lt;=0.01,1,0)</f>
        <v>1</v>
      </c>
      <c r="J736" s="0" t="n">
        <v>0</v>
      </c>
    </row>
    <row r="737" customFormat="false" ht="15" hidden="false" customHeight="false" outlineLevel="0" collapsed="false">
      <c r="A737" s="0" t="s">
        <v>219</v>
      </c>
      <c r="B737" s="0" t="s">
        <v>136</v>
      </c>
      <c r="C737" s="0" t="s">
        <v>220</v>
      </c>
      <c r="D737" s="0" t="s">
        <v>532</v>
      </c>
      <c r="E737" s="0" t="s">
        <v>366</v>
      </c>
      <c r="F737" s="0" t="n">
        <v>2</v>
      </c>
      <c r="G737" s="0" t="n">
        <v>2.2</v>
      </c>
      <c r="H737" s="0" t="n">
        <v>4.4</v>
      </c>
      <c r="I737" s="0" t="n">
        <f aca="false">IF(ABS(ROUND(F737*G737,2)-H737)&lt;=0.01,1,0)</f>
        <v>1</v>
      </c>
      <c r="J737" s="0" t="n">
        <v>0</v>
      </c>
    </row>
    <row r="738" customFormat="false" ht="15" hidden="false" customHeight="false" outlineLevel="0" collapsed="false">
      <c r="A738" s="0" t="s">
        <v>219</v>
      </c>
      <c r="B738" s="0" t="s">
        <v>136</v>
      </c>
      <c r="C738" s="0" t="s">
        <v>220</v>
      </c>
      <c r="D738" s="0" t="s">
        <v>493</v>
      </c>
      <c r="E738" s="0" t="s">
        <v>405</v>
      </c>
      <c r="F738" s="0" t="n">
        <v>0.5</v>
      </c>
      <c r="G738" s="0" t="n">
        <v>5.9</v>
      </c>
      <c r="H738" s="0" t="n">
        <v>2.95</v>
      </c>
      <c r="I738" s="0" t="n">
        <f aca="false">IF(ABS(ROUND(F738*G738,2)-H738)&lt;=0.01,1,0)</f>
        <v>1</v>
      </c>
      <c r="J738" s="0" t="n">
        <v>0</v>
      </c>
    </row>
    <row r="739" customFormat="false" ht="15" hidden="false" customHeight="false" outlineLevel="0" collapsed="false">
      <c r="A739" s="0" t="s">
        <v>219</v>
      </c>
      <c r="B739" s="0" t="s">
        <v>136</v>
      </c>
      <c r="C739" s="0" t="s">
        <v>220</v>
      </c>
      <c r="D739" s="0" t="s">
        <v>493</v>
      </c>
      <c r="E739" s="0" t="s">
        <v>607</v>
      </c>
      <c r="F739" s="0" t="n">
        <v>0.5</v>
      </c>
      <c r="G739" s="0" t="n">
        <v>5.9</v>
      </c>
      <c r="H739" s="0" t="n">
        <v>2.95</v>
      </c>
      <c r="I739" s="0" t="n">
        <f aca="false">IF(ABS(ROUND(F739*G739,2)-H739)&lt;=0.01,1,0)</f>
        <v>1</v>
      </c>
      <c r="J739" s="0" t="n">
        <v>0</v>
      </c>
    </row>
    <row r="740" customFormat="false" ht="15" hidden="false" customHeight="false" outlineLevel="0" collapsed="false">
      <c r="A740" s="0" t="s">
        <v>219</v>
      </c>
      <c r="B740" s="0" t="s">
        <v>136</v>
      </c>
      <c r="C740" s="0" t="s">
        <v>220</v>
      </c>
      <c r="D740" s="0" t="s">
        <v>493</v>
      </c>
      <c r="E740" s="0" t="s">
        <v>683</v>
      </c>
      <c r="F740" s="0" t="n">
        <v>0.5</v>
      </c>
      <c r="G740" s="0" t="n">
        <v>9</v>
      </c>
      <c r="H740" s="0" t="n">
        <v>4.5</v>
      </c>
      <c r="I740" s="0" t="n">
        <f aca="false">IF(ABS(ROUND(F740*G740,2)-H740)&lt;=0.01,1,0)</f>
        <v>1</v>
      </c>
      <c r="J740" s="0" t="n">
        <v>0</v>
      </c>
    </row>
    <row r="741" customFormat="false" ht="15" hidden="false" customHeight="false" outlineLevel="0" collapsed="false">
      <c r="A741" s="0" t="s">
        <v>219</v>
      </c>
      <c r="B741" s="0" t="s">
        <v>136</v>
      </c>
      <c r="C741" s="0" t="s">
        <v>220</v>
      </c>
      <c r="D741" s="0" t="s">
        <v>493</v>
      </c>
      <c r="E741" s="0" t="s">
        <v>395</v>
      </c>
      <c r="F741" s="0" t="n">
        <v>0.5</v>
      </c>
      <c r="G741" s="0" t="n">
        <v>5.9</v>
      </c>
      <c r="H741" s="0" t="n">
        <v>2.95</v>
      </c>
      <c r="I741" s="0" t="n">
        <f aca="false">IF(ABS(ROUND(F741*G741,2)-H741)&lt;=0.01,1,0)</f>
        <v>1</v>
      </c>
      <c r="J741" s="0" t="n">
        <v>0</v>
      </c>
    </row>
    <row r="742" customFormat="false" ht="15" hidden="false" customHeight="false" outlineLevel="0" collapsed="false">
      <c r="A742" s="0" t="s">
        <v>219</v>
      </c>
      <c r="B742" s="0" t="s">
        <v>136</v>
      </c>
      <c r="C742" s="0" t="s">
        <v>220</v>
      </c>
      <c r="D742" s="0" t="s">
        <v>493</v>
      </c>
      <c r="E742" s="0" t="s">
        <v>684</v>
      </c>
      <c r="F742" s="0" t="n">
        <v>0.5</v>
      </c>
      <c r="G742" s="0" t="n">
        <v>49</v>
      </c>
      <c r="H742" s="0" t="n">
        <v>24.5</v>
      </c>
      <c r="I742" s="0" t="n">
        <f aca="false">IF(ABS(ROUND(F742*G742,2)-H742)&lt;=0.01,1,0)</f>
        <v>1</v>
      </c>
      <c r="J742" s="0" t="n">
        <v>0</v>
      </c>
    </row>
    <row r="743" customFormat="false" ht="15" hidden="false" customHeight="false" outlineLevel="0" collapsed="false">
      <c r="A743" s="0" t="s">
        <v>219</v>
      </c>
      <c r="B743" s="0" t="s">
        <v>136</v>
      </c>
      <c r="C743" s="0" t="s">
        <v>220</v>
      </c>
      <c r="D743" s="0" t="s">
        <v>493</v>
      </c>
      <c r="E743" s="0" t="s">
        <v>685</v>
      </c>
      <c r="F743" s="0" t="n">
        <v>3</v>
      </c>
      <c r="G743" s="0" t="n">
        <v>8</v>
      </c>
      <c r="H743" s="0" t="n">
        <v>24</v>
      </c>
      <c r="I743" s="0" t="n">
        <f aca="false">IF(ABS(ROUND(F743*G743,2)-H743)&lt;=0.01,1,0)</f>
        <v>1</v>
      </c>
      <c r="J743" s="0" t="n">
        <v>0</v>
      </c>
    </row>
    <row r="744" customFormat="false" ht="15" hidden="false" customHeight="false" outlineLevel="0" collapsed="false">
      <c r="A744" s="0" t="s">
        <v>219</v>
      </c>
      <c r="B744" s="0" t="s">
        <v>136</v>
      </c>
      <c r="C744" s="0" t="s">
        <v>220</v>
      </c>
      <c r="D744" s="0" t="s">
        <v>493</v>
      </c>
      <c r="E744" s="0" t="s">
        <v>350</v>
      </c>
      <c r="F744" s="0" t="n">
        <v>0.5</v>
      </c>
      <c r="G744" s="0" t="n">
        <v>16.9</v>
      </c>
      <c r="H744" s="0" t="n">
        <v>8.45</v>
      </c>
      <c r="I744" s="0" t="n">
        <f aca="false">IF(ABS(ROUND(F744*G744,2)-H744)&lt;=0.01,1,0)</f>
        <v>1</v>
      </c>
      <c r="J744" s="0" t="n">
        <v>0</v>
      </c>
    </row>
    <row r="745" customFormat="false" ht="15" hidden="false" customHeight="false" outlineLevel="0" collapsed="false">
      <c r="A745" s="0" t="s">
        <v>219</v>
      </c>
      <c r="B745" s="0" t="s">
        <v>136</v>
      </c>
      <c r="C745" s="0" t="s">
        <v>220</v>
      </c>
      <c r="D745" s="0" t="s">
        <v>493</v>
      </c>
      <c r="E745" s="0" t="s">
        <v>631</v>
      </c>
      <c r="F745" s="0" t="n">
        <v>0.5</v>
      </c>
      <c r="G745" s="0" t="n">
        <v>10.9</v>
      </c>
      <c r="H745" s="0" t="n">
        <v>5.45</v>
      </c>
      <c r="I745" s="0" t="n">
        <f aca="false">IF(ABS(ROUND(F745*G745,2)-H745)&lt;=0.01,1,0)</f>
        <v>1</v>
      </c>
      <c r="J745" s="0" t="n">
        <v>0</v>
      </c>
    </row>
    <row r="746" customFormat="false" ht="15" hidden="false" customHeight="false" outlineLevel="0" collapsed="false">
      <c r="A746" s="0" t="s">
        <v>219</v>
      </c>
      <c r="B746" s="0" t="s">
        <v>136</v>
      </c>
      <c r="C746" s="0" t="s">
        <v>220</v>
      </c>
      <c r="D746" s="0" t="s">
        <v>493</v>
      </c>
      <c r="E746" s="0" t="s">
        <v>425</v>
      </c>
      <c r="F746" s="0" t="n">
        <v>0.5</v>
      </c>
      <c r="G746" s="0" t="n">
        <v>18.6</v>
      </c>
      <c r="H746" s="0" t="n">
        <v>9.3</v>
      </c>
      <c r="I746" s="0" t="n">
        <f aca="false">IF(ABS(ROUND(F746*G746,2)-H746)&lt;=0.01,1,0)</f>
        <v>1</v>
      </c>
      <c r="J746" s="0" t="n">
        <v>1</v>
      </c>
    </row>
    <row r="747" customFormat="false" ht="15" hidden="false" customHeight="false" outlineLevel="0" collapsed="false">
      <c r="A747" s="0" t="s">
        <v>219</v>
      </c>
      <c r="B747" s="0" t="s">
        <v>136</v>
      </c>
      <c r="C747" s="0" t="s">
        <v>220</v>
      </c>
      <c r="D747" s="0" t="s">
        <v>493</v>
      </c>
      <c r="E747" s="0" t="s">
        <v>686</v>
      </c>
      <c r="F747" s="0" t="n">
        <v>0.5</v>
      </c>
      <c r="G747" s="0" t="n">
        <v>19.6</v>
      </c>
      <c r="H747" s="0" t="n">
        <v>9.8</v>
      </c>
      <c r="I747" s="0" t="n">
        <f aca="false">IF(ABS(ROUND(F747*G747,2)-H747)&lt;=0.01,1,0)</f>
        <v>1</v>
      </c>
      <c r="J747" s="0" t="n">
        <v>0</v>
      </c>
    </row>
    <row r="748" customFormat="false" ht="15" hidden="false" customHeight="false" outlineLevel="0" collapsed="false">
      <c r="A748" s="0" t="s">
        <v>219</v>
      </c>
      <c r="B748" s="0" t="s">
        <v>136</v>
      </c>
      <c r="C748" s="0" t="s">
        <v>220</v>
      </c>
      <c r="D748" s="0" t="s">
        <v>493</v>
      </c>
      <c r="E748" s="0" t="s">
        <v>447</v>
      </c>
      <c r="F748" s="0" t="n">
        <v>0.5</v>
      </c>
      <c r="G748" s="0" t="n">
        <v>17.8</v>
      </c>
      <c r="H748" s="0" t="n">
        <v>8.9</v>
      </c>
      <c r="I748" s="0" t="n">
        <f aca="false">IF(ABS(ROUND(F748*G748,2)-H748)&lt;=0.01,1,0)</f>
        <v>1</v>
      </c>
      <c r="J748" s="0" t="n">
        <v>1</v>
      </c>
    </row>
    <row r="749" customFormat="false" ht="15" hidden="false" customHeight="false" outlineLevel="0" collapsed="false">
      <c r="A749" s="0" t="s">
        <v>219</v>
      </c>
      <c r="B749" s="0" t="s">
        <v>136</v>
      </c>
      <c r="C749" s="0" t="s">
        <v>220</v>
      </c>
      <c r="D749" s="0" t="s">
        <v>493</v>
      </c>
      <c r="E749" s="0" t="s">
        <v>441</v>
      </c>
      <c r="F749" s="0" t="n">
        <v>0.5</v>
      </c>
      <c r="G749" s="0" t="n">
        <v>19.9</v>
      </c>
      <c r="H749" s="0" t="n">
        <v>9.95</v>
      </c>
      <c r="I749" s="0" t="n">
        <f aca="false">IF(ABS(ROUND(F749*G749,2)-H749)&lt;=0.01,1,0)</f>
        <v>1</v>
      </c>
      <c r="J749" s="0" t="n">
        <v>0</v>
      </c>
    </row>
    <row r="750" customFormat="false" ht="15" hidden="false" customHeight="false" outlineLevel="0" collapsed="false">
      <c r="A750" s="0" t="s">
        <v>219</v>
      </c>
      <c r="B750" s="0" t="s">
        <v>136</v>
      </c>
      <c r="C750" s="0" t="s">
        <v>220</v>
      </c>
      <c r="D750" s="0" t="s">
        <v>493</v>
      </c>
      <c r="E750" s="0" t="s">
        <v>366</v>
      </c>
      <c r="F750" s="0" t="n">
        <v>2</v>
      </c>
      <c r="G750" s="0" t="n">
        <v>2.2</v>
      </c>
      <c r="H750" s="0" t="n">
        <v>4.4</v>
      </c>
      <c r="I750" s="0" t="n">
        <f aca="false">IF(ABS(ROUND(F750*G750,2)-H750)&lt;=0.01,1,0)</f>
        <v>1</v>
      </c>
      <c r="J750" s="0" t="n">
        <v>0</v>
      </c>
    </row>
    <row r="751" customFormat="false" ht="15" hidden="false" customHeight="false" outlineLevel="0" collapsed="false">
      <c r="A751" s="0" t="s">
        <v>219</v>
      </c>
      <c r="B751" s="0" t="s">
        <v>136</v>
      </c>
      <c r="C751" s="0" t="s">
        <v>220</v>
      </c>
      <c r="D751" s="0" t="s">
        <v>498</v>
      </c>
      <c r="E751" s="0" t="s">
        <v>368</v>
      </c>
      <c r="F751" s="0" t="n">
        <v>0.5</v>
      </c>
      <c r="G751" s="0" t="n">
        <v>5.9</v>
      </c>
      <c r="H751" s="0" t="n">
        <v>2.95</v>
      </c>
      <c r="I751" s="0" t="n">
        <f aca="false">IF(ABS(ROUND(F751*G751,2)-H751)&lt;=0.01,1,0)</f>
        <v>1</v>
      </c>
      <c r="J751" s="0" t="n">
        <v>0</v>
      </c>
    </row>
    <row r="752" customFormat="false" ht="15" hidden="false" customHeight="false" outlineLevel="0" collapsed="false">
      <c r="A752" s="0" t="s">
        <v>219</v>
      </c>
      <c r="B752" s="0" t="s">
        <v>136</v>
      </c>
      <c r="C752" s="0" t="s">
        <v>220</v>
      </c>
      <c r="D752" s="0" t="s">
        <v>498</v>
      </c>
      <c r="E752" s="0" t="s">
        <v>382</v>
      </c>
      <c r="F752" s="0" t="n">
        <v>0.5</v>
      </c>
      <c r="G752" s="0" t="n">
        <v>4.2</v>
      </c>
      <c r="H752" s="0" t="n">
        <v>2.1</v>
      </c>
      <c r="I752" s="0" t="n">
        <f aca="false">IF(ABS(ROUND(F752*G752,2)-H752)&lt;=0.01,1,0)</f>
        <v>1</v>
      </c>
      <c r="J752" s="0" t="n">
        <v>0</v>
      </c>
    </row>
    <row r="753" customFormat="false" ht="15" hidden="false" customHeight="false" outlineLevel="0" collapsed="false">
      <c r="A753" s="0" t="s">
        <v>219</v>
      </c>
      <c r="B753" s="0" t="s">
        <v>136</v>
      </c>
      <c r="C753" s="0" t="s">
        <v>220</v>
      </c>
      <c r="D753" s="0" t="s">
        <v>498</v>
      </c>
      <c r="E753" s="0" t="s">
        <v>450</v>
      </c>
      <c r="F753" s="0" t="n">
        <v>0.5</v>
      </c>
      <c r="G753" s="0" t="n">
        <v>27.8</v>
      </c>
      <c r="H753" s="0" t="n">
        <v>13.9</v>
      </c>
      <c r="I753" s="0" t="n">
        <f aca="false">IF(ABS(ROUND(F753*G753,2)-H753)&lt;=0.01,1,0)</f>
        <v>1</v>
      </c>
      <c r="J753" s="0" t="n">
        <v>1</v>
      </c>
    </row>
    <row r="754" customFormat="false" ht="15" hidden="false" customHeight="false" outlineLevel="0" collapsed="false">
      <c r="A754" s="0" t="s">
        <v>219</v>
      </c>
      <c r="B754" s="0" t="s">
        <v>136</v>
      </c>
      <c r="C754" s="0" t="s">
        <v>220</v>
      </c>
      <c r="D754" s="0" t="s">
        <v>498</v>
      </c>
      <c r="E754" s="0" t="s">
        <v>392</v>
      </c>
      <c r="F754" s="0" t="n">
        <v>0.5</v>
      </c>
      <c r="G754" s="0" t="n">
        <v>18.6</v>
      </c>
      <c r="H754" s="0" t="n">
        <v>9.3</v>
      </c>
      <c r="I754" s="0" t="n">
        <f aca="false">IF(ABS(ROUND(F754*G754,2)-H754)&lt;=0.01,1,0)</f>
        <v>1</v>
      </c>
      <c r="J754" s="0" t="n">
        <v>1</v>
      </c>
    </row>
    <row r="755" customFormat="false" ht="15" hidden="false" customHeight="false" outlineLevel="0" collapsed="false">
      <c r="A755" s="0" t="s">
        <v>219</v>
      </c>
      <c r="B755" s="0" t="s">
        <v>136</v>
      </c>
      <c r="C755" s="0" t="s">
        <v>220</v>
      </c>
      <c r="D755" s="0" t="s">
        <v>498</v>
      </c>
      <c r="E755" s="0" t="s">
        <v>687</v>
      </c>
      <c r="F755" s="0" t="n">
        <v>0.5</v>
      </c>
      <c r="G755" s="0" t="n">
        <v>14.6</v>
      </c>
      <c r="H755" s="0" t="n">
        <v>7.3</v>
      </c>
      <c r="I755" s="0" t="n">
        <f aca="false">IF(ABS(ROUND(F755*G755,2)-H755)&lt;=0.01,1,0)</f>
        <v>1</v>
      </c>
      <c r="J755" s="0" t="n">
        <v>0</v>
      </c>
    </row>
    <row r="756" customFormat="false" ht="15" hidden="false" customHeight="false" outlineLevel="0" collapsed="false">
      <c r="A756" s="0" t="s">
        <v>219</v>
      </c>
      <c r="B756" s="0" t="s">
        <v>136</v>
      </c>
      <c r="C756" s="0" t="s">
        <v>220</v>
      </c>
      <c r="D756" s="0" t="s">
        <v>498</v>
      </c>
      <c r="E756" s="0" t="s">
        <v>661</v>
      </c>
      <c r="F756" s="0" t="n">
        <v>0.5</v>
      </c>
      <c r="G756" s="0" t="n">
        <v>11.9</v>
      </c>
      <c r="H756" s="0" t="n">
        <v>5.95</v>
      </c>
      <c r="I756" s="0" t="n">
        <f aca="false">IF(ABS(ROUND(F756*G756,2)-H756)&lt;=0.01,1,0)</f>
        <v>1</v>
      </c>
      <c r="J756" s="0" t="n">
        <v>0</v>
      </c>
    </row>
    <row r="757" customFormat="false" ht="15" hidden="false" customHeight="false" outlineLevel="0" collapsed="false">
      <c r="A757" s="0" t="s">
        <v>219</v>
      </c>
      <c r="B757" s="0" t="s">
        <v>136</v>
      </c>
      <c r="C757" s="0" t="s">
        <v>220</v>
      </c>
      <c r="D757" s="0" t="s">
        <v>498</v>
      </c>
      <c r="E757" s="0" t="s">
        <v>366</v>
      </c>
      <c r="F757" s="0" t="n">
        <v>0.5</v>
      </c>
      <c r="G757" s="0" t="n">
        <v>2.2</v>
      </c>
      <c r="H757" s="0" t="n">
        <v>1.1</v>
      </c>
      <c r="I757" s="0" t="n">
        <f aca="false">IF(ABS(ROUND(F757*G757,2)-H757)&lt;=0.01,1,0)</f>
        <v>1</v>
      </c>
      <c r="J757" s="0" t="n">
        <v>0</v>
      </c>
    </row>
    <row r="758" customFormat="false" ht="15" hidden="false" customHeight="false" outlineLevel="0" collapsed="false">
      <c r="A758" s="0" t="s">
        <v>219</v>
      </c>
      <c r="B758" s="0" t="s">
        <v>136</v>
      </c>
      <c r="C758" s="0" t="s">
        <v>220</v>
      </c>
      <c r="D758" s="0" t="s">
        <v>516</v>
      </c>
      <c r="E758" s="0" t="s">
        <v>368</v>
      </c>
      <c r="F758" s="0" t="n">
        <v>0.5</v>
      </c>
      <c r="G758" s="0" t="n">
        <v>5.9</v>
      </c>
      <c r="H758" s="0" t="n">
        <v>2.95</v>
      </c>
      <c r="I758" s="0" t="n">
        <f aca="false">IF(ABS(ROUND(F758*G758,2)-H758)&lt;=0.01,1,0)</f>
        <v>1</v>
      </c>
      <c r="J758" s="0" t="n">
        <v>0</v>
      </c>
    </row>
    <row r="759" customFormat="false" ht="15" hidden="false" customHeight="false" outlineLevel="0" collapsed="false">
      <c r="A759" s="0" t="s">
        <v>219</v>
      </c>
      <c r="B759" s="0" t="s">
        <v>136</v>
      </c>
      <c r="C759" s="0" t="s">
        <v>220</v>
      </c>
      <c r="D759" s="0" t="s">
        <v>516</v>
      </c>
      <c r="E759" s="0" t="s">
        <v>382</v>
      </c>
      <c r="F759" s="0" t="n">
        <v>0.5</v>
      </c>
      <c r="G759" s="0" t="n">
        <v>4.2</v>
      </c>
      <c r="H759" s="0" t="n">
        <v>2.1</v>
      </c>
      <c r="I759" s="0" t="n">
        <f aca="false">IF(ABS(ROUND(F759*G759,2)-H759)&lt;=0.01,1,0)</f>
        <v>1</v>
      </c>
      <c r="J759" s="0" t="n">
        <v>0</v>
      </c>
    </row>
    <row r="760" customFormat="false" ht="15" hidden="false" customHeight="false" outlineLevel="0" collapsed="false">
      <c r="A760" s="0" t="s">
        <v>219</v>
      </c>
      <c r="B760" s="0" t="s">
        <v>136</v>
      </c>
      <c r="C760" s="0" t="s">
        <v>220</v>
      </c>
      <c r="D760" s="0" t="s">
        <v>516</v>
      </c>
      <c r="E760" s="0" t="s">
        <v>450</v>
      </c>
      <c r="F760" s="0" t="n">
        <v>0.5</v>
      </c>
      <c r="G760" s="0" t="n">
        <v>27.8</v>
      </c>
      <c r="H760" s="0" t="n">
        <v>13.9</v>
      </c>
      <c r="I760" s="0" t="n">
        <f aca="false">IF(ABS(ROUND(F760*G760,2)-H760)&lt;=0.01,1,0)</f>
        <v>1</v>
      </c>
      <c r="J760" s="0" t="n">
        <v>1</v>
      </c>
    </row>
    <row r="761" customFormat="false" ht="15" hidden="false" customHeight="false" outlineLevel="0" collapsed="false">
      <c r="A761" s="0" t="s">
        <v>219</v>
      </c>
      <c r="B761" s="0" t="s">
        <v>136</v>
      </c>
      <c r="C761" s="0" t="s">
        <v>220</v>
      </c>
      <c r="D761" s="0" t="s">
        <v>516</v>
      </c>
      <c r="E761" s="0" t="s">
        <v>392</v>
      </c>
      <c r="F761" s="0" t="n">
        <v>0.5</v>
      </c>
      <c r="G761" s="0" t="n">
        <v>18.6</v>
      </c>
      <c r="H761" s="0" t="n">
        <v>9.3</v>
      </c>
      <c r="I761" s="0" t="n">
        <f aca="false">IF(ABS(ROUND(F761*G761,2)-H761)&lt;=0.01,1,0)</f>
        <v>1</v>
      </c>
      <c r="J761" s="0" t="n">
        <v>1</v>
      </c>
    </row>
    <row r="762" customFormat="false" ht="15" hidden="false" customHeight="false" outlineLevel="0" collapsed="false">
      <c r="A762" s="0" t="s">
        <v>219</v>
      </c>
      <c r="B762" s="0" t="s">
        <v>136</v>
      </c>
      <c r="C762" s="0" t="s">
        <v>220</v>
      </c>
      <c r="D762" s="0" t="s">
        <v>516</v>
      </c>
      <c r="E762" s="0" t="s">
        <v>687</v>
      </c>
      <c r="F762" s="0" t="n">
        <v>0.5</v>
      </c>
      <c r="G762" s="0" t="n">
        <v>14.6</v>
      </c>
      <c r="H762" s="0" t="n">
        <v>7.3</v>
      </c>
      <c r="I762" s="0" t="n">
        <f aca="false">IF(ABS(ROUND(F762*G762,2)-H762)&lt;=0.01,1,0)</f>
        <v>1</v>
      </c>
      <c r="J762" s="0" t="n">
        <v>0</v>
      </c>
    </row>
    <row r="763" customFormat="false" ht="15" hidden="false" customHeight="false" outlineLevel="0" collapsed="false">
      <c r="A763" s="0" t="s">
        <v>219</v>
      </c>
      <c r="B763" s="0" t="s">
        <v>136</v>
      </c>
      <c r="C763" s="0" t="s">
        <v>220</v>
      </c>
      <c r="D763" s="0" t="s">
        <v>516</v>
      </c>
      <c r="E763" s="0" t="s">
        <v>661</v>
      </c>
      <c r="F763" s="0" t="n">
        <v>0.5</v>
      </c>
      <c r="G763" s="0" t="n">
        <v>11.9</v>
      </c>
      <c r="H763" s="0" t="n">
        <v>5.95</v>
      </c>
      <c r="I763" s="0" t="n">
        <f aca="false">IF(ABS(ROUND(F763*G763,2)-H763)&lt;=0.01,1,0)</f>
        <v>1</v>
      </c>
      <c r="J763" s="0" t="n">
        <v>0</v>
      </c>
    </row>
    <row r="764" customFormat="false" ht="15" hidden="false" customHeight="false" outlineLevel="0" collapsed="false">
      <c r="A764" s="0" t="s">
        <v>219</v>
      </c>
      <c r="B764" s="0" t="s">
        <v>136</v>
      </c>
      <c r="C764" s="0" t="s">
        <v>220</v>
      </c>
      <c r="D764" s="0" t="s">
        <v>516</v>
      </c>
      <c r="E764" s="0" t="s">
        <v>366</v>
      </c>
      <c r="F764" s="0" t="n">
        <v>0.5</v>
      </c>
      <c r="G764" s="0" t="n">
        <v>2.2</v>
      </c>
      <c r="H764" s="0" t="n">
        <v>1.1</v>
      </c>
      <c r="I764" s="0" t="n">
        <f aca="false">IF(ABS(ROUND(F764*G764,2)-H764)&lt;=0.01,1,0)</f>
        <v>1</v>
      </c>
      <c r="J764" s="0" t="n">
        <v>0</v>
      </c>
    </row>
    <row r="765" customFormat="false" ht="15" hidden="false" customHeight="false" outlineLevel="0" collapsed="false">
      <c r="A765" s="0" t="s">
        <v>219</v>
      </c>
      <c r="B765" s="0" t="s">
        <v>136</v>
      </c>
      <c r="C765" s="0" t="s">
        <v>220</v>
      </c>
      <c r="D765" s="0" t="s">
        <v>518</v>
      </c>
      <c r="E765" s="0" t="s">
        <v>676</v>
      </c>
      <c r="F765" s="0" t="n">
        <v>0.5</v>
      </c>
      <c r="G765" s="0" t="n">
        <v>36</v>
      </c>
      <c r="H765" s="0" t="n">
        <v>18</v>
      </c>
      <c r="I765" s="0" t="n">
        <f aca="false">IF(ABS(ROUND(F765*G765,2)-H765)&lt;=0.01,1,0)</f>
        <v>1</v>
      </c>
      <c r="J765" s="0" t="n">
        <v>0</v>
      </c>
    </row>
    <row r="766" customFormat="false" ht="15" hidden="false" customHeight="false" outlineLevel="0" collapsed="false">
      <c r="A766" s="0" t="s">
        <v>219</v>
      </c>
      <c r="B766" s="0" t="s">
        <v>136</v>
      </c>
      <c r="C766" s="0" t="s">
        <v>220</v>
      </c>
      <c r="D766" s="0" t="s">
        <v>518</v>
      </c>
      <c r="E766" s="0" t="s">
        <v>579</v>
      </c>
      <c r="F766" s="0" t="n">
        <v>0.5</v>
      </c>
      <c r="G766" s="0" t="n">
        <v>34</v>
      </c>
      <c r="H766" s="0" t="n">
        <v>17</v>
      </c>
      <c r="I766" s="0" t="n">
        <f aca="false">IF(ABS(ROUND(F766*G766,2)-H766)&lt;=0.01,1,0)</f>
        <v>1</v>
      </c>
      <c r="J766" s="0" t="n">
        <v>0</v>
      </c>
    </row>
    <row r="767" customFormat="false" ht="15" hidden="false" customHeight="false" outlineLevel="0" collapsed="false">
      <c r="A767" s="0" t="s">
        <v>219</v>
      </c>
      <c r="B767" s="0" t="s">
        <v>136</v>
      </c>
      <c r="C767" s="0" t="s">
        <v>220</v>
      </c>
      <c r="D767" s="0" t="s">
        <v>518</v>
      </c>
      <c r="E767" s="0" t="s">
        <v>685</v>
      </c>
      <c r="F767" s="0" t="n">
        <v>1.5</v>
      </c>
      <c r="G767" s="0" t="n">
        <v>8</v>
      </c>
      <c r="H767" s="0" t="n">
        <v>12</v>
      </c>
      <c r="I767" s="0" t="n">
        <f aca="false">IF(ABS(ROUND(F767*G767,2)-H767)&lt;=0.01,1,0)</f>
        <v>1</v>
      </c>
      <c r="J767" s="0" t="n">
        <v>0</v>
      </c>
    </row>
    <row r="768" customFormat="false" ht="15" hidden="false" customHeight="false" outlineLevel="0" collapsed="false">
      <c r="A768" s="0" t="s">
        <v>219</v>
      </c>
      <c r="B768" s="0" t="s">
        <v>136</v>
      </c>
      <c r="C768" s="0" t="s">
        <v>220</v>
      </c>
      <c r="D768" s="0" t="s">
        <v>518</v>
      </c>
      <c r="E768" s="0" t="s">
        <v>425</v>
      </c>
      <c r="F768" s="0" t="n">
        <v>0.5</v>
      </c>
      <c r="G768" s="0" t="n">
        <v>18.6</v>
      </c>
      <c r="H768" s="0" t="n">
        <v>9.3</v>
      </c>
      <c r="I768" s="0" t="n">
        <f aca="false">IF(ABS(ROUND(F768*G768,2)-H768)&lt;=0.01,1,0)</f>
        <v>1</v>
      </c>
      <c r="J768" s="0" t="n">
        <v>1</v>
      </c>
    </row>
    <row r="769" customFormat="false" ht="15" hidden="false" customHeight="false" outlineLevel="0" collapsed="false">
      <c r="A769" s="0" t="s">
        <v>219</v>
      </c>
      <c r="B769" s="0" t="s">
        <v>136</v>
      </c>
      <c r="C769" s="0" t="s">
        <v>220</v>
      </c>
      <c r="D769" s="0" t="s">
        <v>518</v>
      </c>
      <c r="E769" s="0" t="s">
        <v>605</v>
      </c>
      <c r="F769" s="0" t="n">
        <v>0.5</v>
      </c>
      <c r="G769" s="0" t="n">
        <v>18.6</v>
      </c>
      <c r="H769" s="0" t="n">
        <v>9.3</v>
      </c>
      <c r="I769" s="0" t="n">
        <f aca="false">IF(ABS(ROUND(F769*G769,2)-H769)&lt;=0.01,1,0)</f>
        <v>1</v>
      </c>
      <c r="J769" s="0" t="n">
        <v>1</v>
      </c>
    </row>
    <row r="770" customFormat="false" ht="15" hidden="false" customHeight="false" outlineLevel="0" collapsed="false">
      <c r="A770" s="0" t="s">
        <v>219</v>
      </c>
      <c r="B770" s="0" t="s">
        <v>136</v>
      </c>
      <c r="C770" s="0" t="s">
        <v>220</v>
      </c>
      <c r="D770" s="0" t="s">
        <v>518</v>
      </c>
      <c r="E770" s="0" t="s">
        <v>650</v>
      </c>
      <c r="F770" s="0" t="n">
        <v>0.5</v>
      </c>
      <c r="G770" s="0" t="n">
        <v>19.9</v>
      </c>
      <c r="H770" s="0" t="n">
        <v>9.95</v>
      </c>
      <c r="I770" s="0" t="n">
        <f aca="false">IF(ABS(ROUND(F770*G770,2)-H770)&lt;=0.01,1,0)</f>
        <v>1</v>
      </c>
      <c r="J770" s="0" t="n">
        <v>0</v>
      </c>
    </row>
    <row r="771" customFormat="false" ht="15" hidden="false" customHeight="false" outlineLevel="0" collapsed="false">
      <c r="A771" s="0" t="s">
        <v>219</v>
      </c>
      <c r="B771" s="0" t="s">
        <v>136</v>
      </c>
      <c r="C771" s="0" t="s">
        <v>220</v>
      </c>
      <c r="D771" s="0" t="s">
        <v>518</v>
      </c>
      <c r="E771" s="0" t="s">
        <v>428</v>
      </c>
      <c r="F771" s="0" t="n">
        <v>1</v>
      </c>
      <c r="G771" s="0" t="n">
        <v>8.3</v>
      </c>
      <c r="H771" s="0" t="n">
        <v>8.3</v>
      </c>
      <c r="I771" s="0" t="n">
        <f aca="false">IF(ABS(ROUND(F771*G771,2)-H771)&lt;=0.01,1,0)</f>
        <v>1</v>
      </c>
      <c r="J771" s="0" t="n">
        <v>0</v>
      </c>
    </row>
    <row r="772" customFormat="false" ht="15" hidden="false" customHeight="false" outlineLevel="0" collapsed="false">
      <c r="A772" s="0" t="s">
        <v>219</v>
      </c>
      <c r="B772" s="0" t="s">
        <v>136</v>
      </c>
      <c r="C772" s="0" t="s">
        <v>220</v>
      </c>
      <c r="D772" s="0" t="s">
        <v>518</v>
      </c>
      <c r="E772" s="0" t="s">
        <v>364</v>
      </c>
      <c r="F772" s="0" t="n">
        <v>1</v>
      </c>
      <c r="G772" s="0" t="n">
        <v>6.5</v>
      </c>
      <c r="H772" s="0" t="n">
        <v>6.5</v>
      </c>
      <c r="I772" s="0" t="n">
        <f aca="false">IF(ABS(ROUND(F772*G772,2)-H772)&lt;=0.01,1,0)</f>
        <v>1</v>
      </c>
      <c r="J772" s="0" t="n">
        <v>0</v>
      </c>
    </row>
    <row r="773" customFormat="false" ht="15" hidden="false" customHeight="false" outlineLevel="0" collapsed="false">
      <c r="A773" s="0" t="s">
        <v>219</v>
      </c>
      <c r="B773" s="0" t="s">
        <v>136</v>
      </c>
      <c r="C773" s="0" t="s">
        <v>220</v>
      </c>
      <c r="D773" s="0" t="s">
        <v>518</v>
      </c>
      <c r="E773" s="0" t="s">
        <v>366</v>
      </c>
      <c r="F773" s="0" t="n">
        <v>1</v>
      </c>
      <c r="G773" s="0" t="n">
        <v>2.2</v>
      </c>
      <c r="H773" s="0" t="n">
        <v>2.2</v>
      </c>
      <c r="I773" s="0" t="n">
        <f aca="false">IF(ABS(ROUND(F773*G773,2)-H773)&lt;=0.01,1,0)</f>
        <v>1</v>
      </c>
      <c r="J773" s="0" t="n">
        <v>0</v>
      </c>
    </row>
    <row r="774" customFormat="false" ht="15" hidden="false" customHeight="false" outlineLevel="0" collapsed="false">
      <c r="A774" s="0" t="s">
        <v>219</v>
      </c>
      <c r="B774" s="0" t="s">
        <v>136</v>
      </c>
      <c r="C774" s="0" t="s">
        <v>220</v>
      </c>
      <c r="D774" s="0" t="s">
        <v>489</v>
      </c>
      <c r="E774" s="0" t="s">
        <v>676</v>
      </c>
      <c r="F774" s="0" t="n">
        <v>0.5</v>
      </c>
      <c r="G774" s="0" t="n">
        <v>36</v>
      </c>
      <c r="H774" s="0" t="n">
        <v>18</v>
      </c>
      <c r="I774" s="0" t="n">
        <f aca="false">IF(ABS(ROUND(F774*G774,2)-H774)&lt;=0.01,1,0)</f>
        <v>1</v>
      </c>
      <c r="J774" s="0" t="n">
        <v>0</v>
      </c>
    </row>
    <row r="775" customFormat="false" ht="15" hidden="false" customHeight="false" outlineLevel="0" collapsed="false">
      <c r="A775" s="0" t="s">
        <v>219</v>
      </c>
      <c r="B775" s="0" t="s">
        <v>136</v>
      </c>
      <c r="C775" s="0" t="s">
        <v>220</v>
      </c>
      <c r="D775" s="0" t="s">
        <v>489</v>
      </c>
      <c r="E775" s="0" t="s">
        <v>579</v>
      </c>
      <c r="F775" s="0" t="n">
        <v>0.5</v>
      </c>
      <c r="G775" s="0" t="n">
        <v>34</v>
      </c>
      <c r="H775" s="0" t="n">
        <v>17</v>
      </c>
      <c r="I775" s="0" t="n">
        <f aca="false">IF(ABS(ROUND(F775*G775,2)-H775)&lt;=0.01,1,0)</f>
        <v>1</v>
      </c>
      <c r="J775" s="0" t="n">
        <v>0</v>
      </c>
    </row>
    <row r="776" customFormat="false" ht="15" hidden="false" customHeight="false" outlineLevel="0" collapsed="false">
      <c r="A776" s="0" t="s">
        <v>219</v>
      </c>
      <c r="B776" s="0" t="s">
        <v>136</v>
      </c>
      <c r="C776" s="0" t="s">
        <v>220</v>
      </c>
      <c r="D776" s="0" t="s">
        <v>489</v>
      </c>
      <c r="E776" s="0" t="s">
        <v>685</v>
      </c>
      <c r="F776" s="0" t="n">
        <v>1.5</v>
      </c>
      <c r="G776" s="0" t="n">
        <v>8</v>
      </c>
      <c r="H776" s="0" t="n">
        <v>12</v>
      </c>
      <c r="I776" s="0" t="n">
        <f aca="false">IF(ABS(ROUND(F776*G776,2)-H776)&lt;=0.01,1,0)</f>
        <v>1</v>
      </c>
      <c r="J776" s="0" t="n">
        <v>0</v>
      </c>
    </row>
    <row r="777" customFormat="false" ht="15" hidden="false" customHeight="false" outlineLevel="0" collapsed="false">
      <c r="A777" s="0" t="s">
        <v>219</v>
      </c>
      <c r="B777" s="0" t="s">
        <v>136</v>
      </c>
      <c r="C777" s="0" t="s">
        <v>220</v>
      </c>
      <c r="D777" s="0" t="s">
        <v>489</v>
      </c>
      <c r="E777" s="0" t="s">
        <v>425</v>
      </c>
      <c r="F777" s="0" t="n">
        <v>0.5</v>
      </c>
      <c r="G777" s="0" t="n">
        <v>18.6</v>
      </c>
      <c r="H777" s="0" t="n">
        <v>9.3</v>
      </c>
      <c r="I777" s="0" t="n">
        <f aca="false">IF(ABS(ROUND(F777*G777,2)-H777)&lt;=0.01,1,0)</f>
        <v>1</v>
      </c>
      <c r="J777" s="0" t="n">
        <v>1</v>
      </c>
    </row>
    <row r="778" customFormat="false" ht="15" hidden="false" customHeight="false" outlineLevel="0" collapsed="false">
      <c r="A778" s="0" t="s">
        <v>219</v>
      </c>
      <c r="B778" s="0" t="s">
        <v>136</v>
      </c>
      <c r="C778" s="0" t="s">
        <v>220</v>
      </c>
      <c r="D778" s="0" t="s">
        <v>489</v>
      </c>
      <c r="E778" s="0" t="s">
        <v>605</v>
      </c>
      <c r="F778" s="0" t="n">
        <v>0.5</v>
      </c>
      <c r="G778" s="0" t="n">
        <v>18.6</v>
      </c>
      <c r="H778" s="0" t="n">
        <v>9.3</v>
      </c>
      <c r="I778" s="0" t="n">
        <f aca="false">IF(ABS(ROUND(F778*G778,2)-H778)&lt;=0.01,1,0)</f>
        <v>1</v>
      </c>
      <c r="J778" s="0" t="n">
        <v>1</v>
      </c>
    </row>
    <row r="779" customFormat="false" ht="15" hidden="false" customHeight="false" outlineLevel="0" collapsed="false">
      <c r="A779" s="0" t="s">
        <v>219</v>
      </c>
      <c r="B779" s="0" t="s">
        <v>136</v>
      </c>
      <c r="C779" s="0" t="s">
        <v>220</v>
      </c>
      <c r="D779" s="0" t="s">
        <v>489</v>
      </c>
      <c r="E779" s="0" t="s">
        <v>650</v>
      </c>
      <c r="F779" s="0" t="n">
        <v>0.5</v>
      </c>
      <c r="G779" s="0" t="n">
        <v>19.9</v>
      </c>
      <c r="H779" s="0" t="n">
        <v>9.95</v>
      </c>
      <c r="I779" s="0" t="n">
        <f aca="false">IF(ABS(ROUND(F779*G779,2)-H779)&lt;=0.01,1,0)</f>
        <v>1</v>
      </c>
      <c r="J779" s="0" t="n">
        <v>0</v>
      </c>
    </row>
    <row r="780" customFormat="false" ht="15" hidden="false" customHeight="false" outlineLevel="0" collapsed="false">
      <c r="A780" s="0" t="s">
        <v>219</v>
      </c>
      <c r="B780" s="0" t="s">
        <v>136</v>
      </c>
      <c r="C780" s="0" t="s">
        <v>220</v>
      </c>
      <c r="D780" s="0" t="s">
        <v>489</v>
      </c>
      <c r="E780" s="0" t="s">
        <v>428</v>
      </c>
      <c r="F780" s="0" t="n">
        <v>1</v>
      </c>
      <c r="G780" s="0" t="n">
        <v>8.3</v>
      </c>
      <c r="H780" s="0" t="n">
        <v>8.3</v>
      </c>
      <c r="I780" s="0" t="n">
        <f aca="false">IF(ABS(ROUND(F780*G780,2)-H780)&lt;=0.01,1,0)</f>
        <v>1</v>
      </c>
      <c r="J780" s="0" t="n">
        <v>0</v>
      </c>
    </row>
    <row r="781" customFormat="false" ht="15" hidden="false" customHeight="false" outlineLevel="0" collapsed="false">
      <c r="A781" s="0" t="s">
        <v>219</v>
      </c>
      <c r="B781" s="0" t="s">
        <v>136</v>
      </c>
      <c r="C781" s="0" t="s">
        <v>220</v>
      </c>
      <c r="D781" s="0" t="s">
        <v>489</v>
      </c>
      <c r="E781" s="0" t="s">
        <v>364</v>
      </c>
      <c r="F781" s="0" t="n">
        <v>1</v>
      </c>
      <c r="G781" s="0" t="n">
        <v>6.5</v>
      </c>
      <c r="H781" s="0" t="n">
        <v>6.5</v>
      </c>
      <c r="I781" s="0" t="n">
        <f aca="false">IF(ABS(ROUND(F781*G781,2)-H781)&lt;=0.01,1,0)</f>
        <v>1</v>
      </c>
      <c r="J781" s="0" t="n">
        <v>0</v>
      </c>
    </row>
    <row r="782" customFormat="false" ht="15" hidden="false" customHeight="false" outlineLevel="0" collapsed="false">
      <c r="A782" s="0" t="s">
        <v>219</v>
      </c>
      <c r="B782" s="0" t="s">
        <v>136</v>
      </c>
      <c r="C782" s="0" t="s">
        <v>220</v>
      </c>
      <c r="D782" s="0" t="s">
        <v>489</v>
      </c>
      <c r="E782" s="0" t="s">
        <v>366</v>
      </c>
      <c r="F782" s="0" t="n">
        <v>1</v>
      </c>
      <c r="G782" s="0" t="n">
        <v>2.2</v>
      </c>
      <c r="H782" s="0" t="n">
        <v>2.2</v>
      </c>
      <c r="I782" s="0" t="n">
        <f aca="false">IF(ABS(ROUND(F782*G782,2)-H782)&lt;=0.01,1,0)</f>
        <v>1</v>
      </c>
      <c r="J782" s="0" t="n">
        <v>0</v>
      </c>
    </row>
    <row r="783" customFormat="false" ht="15" hidden="false" customHeight="false" outlineLevel="0" collapsed="false">
      <c r="A783" s="0" t="s">
        <v>222</v>
      </c>
      <c r="B783" s="0" t="s">
        <v>136</v>
      </c>
      <c r="C783" s="0" t="s">
        <v>223</v>
      </c>
      <c r="D783" s="0" t="s">
        <v>522</v>
      </c>
      <c r="E783" s="0" t="s">
        <v>452</v>
      </c>
      <c r="F783" s="0" t="n">
        <v>0.5</v>
      </c>
      <c r="G783" s="0" t="n">
        <v>25</v>
      </c>
      <c r="H783" s="0" t="n">
        <v>12.5</v>
      </c>
      <c r="I783" s="0" t="n">
        <f aca="false">IF(ABS(ROUND(F783*G783,2)-H783)&lt;=0.01,1,0)</f>
        <v>1</v>
      </c>
      <c r="J783" s="0" t="n">
        <v>1</v>
      </c>
    </row>
    <row r="784" customFormat="false" ht="15" hidden="false" customHeight="false" outlineLevel="0" collapsed="false">
      <c r="A784" s="0" t="s">
        <v>222</v>
      </c>
      <c r="B784" s="0" t="s">
        <v>136</v>
      </c>
      <c r="C784" s="0" t="s">
        <v>223</v>
      </c>
      <c r="D784" s="0" t="s">
        <v>522</v>
      </c>
      <c r="E784" s="0" t="s">
        <v>579</v>
      </c>
      <c r="F784" s="0" t="n">
        <v>0.5</v>
      </c>
      <c r="G784" s="0" t="n">
        <v>34</v>
      </c>
      <c r="H784" s="0" t="n">
        <v>17</v>
      </c>
      <c r="I784" s="0" t="n">
        <f aca="false">IF(ABS(ROUND(F784*G784,2)-H784)&lt;=0.01,1,0)</f>
        <v>1</v>
      </c>
      <c r="J784" s="0" t="n">
        <v>0</v>
      </c>
    </row>
    <row r="785" customFormat="false" ht="15" hidden="false" customHeight="false" outlineLevel="0" collapsed="false">
      <c r="A785" s="0" t="s">
        <v>222</v>
      </c>
      <c r="B785" s="0" t="s">
        <v>136</v>
      </c>
      <c r="C785" s="0" t="s">
        <v>223</v>
      </c>
      <c r="D785" s="0" t="s">
        <v>522</v>
      </c>
      <c r="E785" s="0" t="s">
        <v>409</v>
      </c>
      <c r="F785" s="0" t="n">
        <v>0.5</v>
      </c>
      <c r="G785" s="0" t="n">
        <v>34</v>
      </c>
      <c r="H785" s="0" t="n">
        <v>17</v>
      </c>
      <c r="I785" s="0" t="n">
        <f aca="false">IF(ABS(ROUND(F785*G785,2)-H785)&lt;=0.01,1,0)</f>
        <v>1</v>
      </c>
      <c r="J785" s="0" t="n">
        <v>0</v>
      </c>
    </row>
    <row r="786" customFormat="false" ht="15" hidden="false" customHeight="false" outlineLevel="0" collapsed="false">
      <c r="A786" s="0" t="s">
        <v>222</v>
      </c>
      <c r="B786" s="0" t="s">
        <v>136</v>
      </c>
      <c r="C786" s="0" t="s">
        <v>223</v>
      </c>
      <c r="D786" s="0" t="s">
        <v>522</v>
      </c>
      <c r="E786" s="0" t="s">
        <v>391</v>
      </c>
      <c r="F786" s="0" t="n">
        <v>0.5</v>
      </c>
      <c r="G786" s="0" t="n">
        <v>7.2</v>
      </c>
      <c r="H786" s="0" t="n">
        <v>3.6</v>
      </c>
      <c r="I786" s="0" t="n">
        <f aca="false">IF(ABS(ROUND(F786*G786,2)-H786)&lt;=0.01,1,0)</f>
        <v>1</v>
      </c>
      <c r="J786" s="0" t="n">
        <v>0</v>
      </c>
    </row>
    <row r="787" customFormat="false" ht="15" hidden="false" customHeight="false" outlineLevel="0" collapsed="false">
      <c r="A787" s="0" t="s">
        <v>222</v>
      </c>
      <c r="B787" s="0" t="s">
        <v>136</v>
      </c>
      <c r="C787" s="0" t="s">
        <v>223</v>
      </c>
      <c r="D787" s="0" t="s">
        <v>522</v>
      </c>
      <c r="E787" s="0" t="s">
        <v>582</v>
      </c>
      <c r="F787" s="0" t="n">
        <v>0.5</v>
      </c>
      <c r="G787" s="0" t="n">
        <v>8.9</v>
      </c>
      <c r="H787" s="0" t="n">
        <v>4.45</v>
      </c>
      <c r="I787" s="0" t="n">
        <f aca="false">IF(ABS(ROUND(F787*G787,2)-H787)&lt;=0.01,1,0)</f>
        <v>1</v>
      </c>
      <c r="J787" s="0" t="n">
        <v>0</v>
      </c>
    </row>
    <row r="788" customFormat="false" ht="15" hidden="false" customHeight="false" outlineLevel="0" collapsed="false">
      <c r="A788" s="0" t="s">
        <v>222</v>
      </c>
      <c r="B788" s="0" t="s">
        <v>136</v>
      </c>
      <c r="C788" s="0" t="s">
        <v>223</v>
      </c>
      <c r="D788" s="0" t="s">
        <v>522</v>
      </c>
      <c r="E788" s="0" t="s">
        <v>636</v>
      </c>
      <c r="F788" s="0" t="n">
        <v>0.5</v>
      </c>
      <c r="G788" s="0" t="n">
        <v>19</v>
      </c>
      <c r="H788" s="0" t="n">
        <v>9.5</v>
      </c>
      <c r="I788" s="0" t="n">
        <f aca="false">IF(ABS(ROUND(F788*G788,2)-H788)&lt;=0.01,1,0)</f>
        <v>1</v>
      </c>
      <c r="J788" s="0" t="n">
        <v>0</v>
      </c>
    </row>
    <row r="789" customFormat="false" ht="15" hidden="false" customHeight="false" outlineLevel="0" collapsed="false">
      <c r="A789" s="0" t="s">
        <v>222</v>
      </c>
      <c r="B789" s="0" t="s">
        <v>136</v>
      </c>
      <c r="C789" s="0" t="s">
        <v>223</v>
      </c>
      <c r="D789" s="0" t="s">
        <v>522</v>
      </c>
      <c r="E789" s="0" t="s">
        <v>406</v>
      </c>
      <c r="F789" s="0" t="n">
        <v>0.5</v>
      </c>
      <c r="G789" s="0" t="n">
        <v>18.6</v>
      </c>
      <c r="H789" s="0" t="n">
        <v>9.3</v>
      </c>
      <c r="I789" s="0" t="n">
        <f aca="false">IF(ABS(ROUND(F789*G789,2)-H789)&lt;=0.01,1,0)</f>
        <v>1</v>
      </c>
      <c r="J789" s="0" t="n">
        <v>1</v>
      </c>
    </row>
    <row r="790" customFormat="false" ht="15" hidden="false" customHeight="false" outlineLevel="0" collapsed="false">
      <c r="A790" s="0" t="s">
        <v>222</v>
      </c>
      <c r="B790" s="0" t="s">
        <v>136</v>
      </c>
      <c r="C790" s="0" t="s">
        <v>223</v>
      </c>
      <c r="D790" s="0" t="s">
        <v>522</v>
      </c>
      <c r="E790" s="0" t="s">
        <v>614</v>
      </c>
      <c r="F790" s="0" t="n">
        <v>1</v>
      </c>
      <c r="G790" s="0" t="n">
        <v>21.9</v>
      </c>
      <c r="H790" s="0" t="n">
        <v>21.9</v>
      </c>
      <c r="I790" s="0" t="n">
        <f aca="false">IF(ABS(ROUND(F790*G790,2)-H790)&lt;=0.01,1,0)</f>
        <v>1</v>
      </c>
      <c r="J790" s="0" t="n">
        <v>0</v>
      </c>
    </row>
    <row r="791" customFormat="false" ht="15" hidden="false" customHeight="false" outlineLevel="0" collapsed="false">
      <c r="A791" s="0" t="s">
        <v>222</v>
      </c>
      <c r="B791" s="0" t="s">
        <v>136</v>
      </c>
      <c r="C791" s="0" t="s">
        <v>223</v>
      </c>
      <c r="D791" s="0" t="s">
        <v>522</v>
      </c>
      <c r="E791" s="0" t="s">
        <v>355</v>
      </c>
      <c r="F791" s="0" t="n">
        <v>0.5</v>
      </c>
      <c r="G791" s="0" t="n">
        <v>3.9</v>
      </c>
      <c r="H791" s="0" t="n">
        <v>1.95</v>
      </c>
      <c r="I791" s="0" t="n">
        <f aca="false">IF(ABS(ROUND(F791*G791,2)-H791)&lt;=0.01,1,0)</f>
        <v>1</v>
      </c>
      <c r="J791" s="0" t="n">
        <v>0</v>
      </c>
    </row>
    <row r="792" customFormat="false" ht="15" hidden="false" customHeight="false" outlineLevel="0" collapsed="false">
      <c r="A792" s="0" t="s">
        <v>222</v>
      </c>
      <c r="B792" s="0" t="s">
        <v>136</v>
      </c>
      <c r="C792" s="0" t="s">
        <v>223</v>
      </c>
      <c r="D792" s="0" t="s">
        <v>522</v>
      </c>
      <c r="E792" s="0" t="s">
        <v>688</v>
      </c>
      <c r="F792" s="0" t="n">
        <v>0.5</v>
      </c>
      <c r="G792" s="0" t="n">
        <v>13.1</v>
      </c>
      <c r="H792" s="0" t="n">
        <v>6.55</v>
      </c>
      <c r="I792" s="0" t="n">
        <f aca="false">IF(ABS(ROUND(F792*G792,2)-H792)&lt;=0.01,1,0)</f>
        <v>1</v>
      </c>
      <c r="J792" s="0" t="n">
        <v>0</v>
      </c>
    </row>
    <row r="793" customFormat="false" ht="15" hidden="false" customHeight="false" outlineLevel="0" collapsed="false">
      <c r="A793" s="0" t="s">
        <v>222</v>
      </c>
      <c r="B793" s="0" t="s">
        <v>136</v>
      </c>
      <c r="C793" s="0" t="s">
        <v>223</v>
      </c>
      <c r="D793" s="0" t="s">
        <v>522</v>
      </c>
      <c r="E793" s="0" t="s">
        <v>642</v>
      </c>
      <c r="F793" s="0" t="n">
        <v>1.5</v>
      </c>
      <c r="G793" s="0" t="n">
        <v>4.9</v>
      </c>
      <c r="H793" s="0" t="n">
        <v>7.35</v>
      </c>
      <c r="I793" s="0" t="n">
        <f aca="false">IF(ABS(ROUND(F793*G793,2)-H793)&lt;=0.01,1,0)</f>
        <v>1</v>
      </c>
      <c r="J793" s="0" t="n">
        <v>0</v>
      </c>
    </row>
    <row r="794" customFormat="false" ht="15" hidden="false" customHeight="false" outlineLevel="0" collapsed="false">
      <c r="A794" s="0" t="s">
        <v>222</v>
      </c>
      <c r="B794" s="0" t="s">
        <v>136</v>
      </c>
      <c r="C794" s="0" t="s">
        <v>223</v>
      </c>
      <c r="D794" s="0" t="s">
        <v>522</v>
      </c>
      <c r="E794" s="0" t="s">
        <v>689</v>
      </c>
      <c r="F794" s="0" t="n">
        <v>0.5</v>
      </c>
      <c r="G794" s="0" t="n">
        <v>2.7</v>
      </c>
      <c r="H794" s="0" t="n">
        <v>1.35</v>
      </c>
      <c r="I794" s="0" t="n">
        <f aca="false">IF(ABS(ROUND(F794*G794,2)-H794)&lt;=0.01,1,0)</f>
        <v>1</v>
      </c>
      <c r="J794" s="0" t="n">
        <v>0</v>
      </c>
    </row>
    <row r="795" customFormat="false" ht="15" hidden="false" customHeight="false" outlineLevel="0" collapsed="false">
      <c r="A795" s="0" t="s">
        <v>222</v>
      </c>
      <c r="B795" s="0" t="s">
        <v>136</v>
      </c>
      <c r="C795" s="0" t="s">
        <v>223</v>
      </c>
      <c r="D795" s="0" t="s">
        <v>522</v>
      </c>
      <c r="E795" s="0" t="s">
        <v>682</v>
      </c>
      <c r="F795" s="0" t="n">
        <v>0.5</v>
      </c>
      <c r="G795" s="0" t="n">
        <v>2.5</v>
      </c>
      <c r="H795" s="0" t="n">
        <v>1.25</v>
      </c>
      <c r="I795" s="0" t="n">
        <f aca="false">IF(ABS(ROUND(F795*G795,2)-H795)&lt;=0.01,1,0)</f>
        <v>1</v>
      </c>
      <c r="J795" s="0" t="n">
        <v>0</v>
      </c>
    </row>
    <row r="796" customFormat="false" ht="15" hidden="false" customHeight="false" outlineLevel="0" collapsed="false">
      <c r="A796" s="0" t="s">
        <v>222</v>
      </c>
      <c r="B796" s="0" t="s">
        <v>136</v>
      </c>
      <c r="C796" s="0" t="s">
        <v>223</v>
      </c>
      <c r="D796" s="0" t="s">
        <v>522</v>
      </c>
      <c r="E796" s="0" t="s">
        <v>672</v>
      </c>
      <c r="F796" s="0" t="n">
        <v>0.5</v>
      </c>
      <c r="G796" s="0" t="n">
        <v>3.5</v>
      </c>
      <c r="H796" s="0" t="n">
        <v>1.75</v>
      </c>
      <c r="I796" s="0" t="n">
        <f aca="false">IF(ABS(ROUND(F796*G796,2)-H796)&lt;=0.01,1,0)</f>
        <v>1</v>
      </c>
      <c r="J796" s="0" t="n">
        <v>0</v>
      </c>
    </row>
    <row r="797" customFormat="false" ht="15" hidden="false" customHeight="false" outlineLevel="0" collapsed="false">
      <c r="A797" s="0" t="s">
        <v>222</v>
      </c>
      <c r="B797" s="0" t="s">
        <v>136</v>
      </c>
      <c r="C797" s="0" t="s">
        <v>223</v>
      </c>
      <c r="D797" s="0" t="s">
        <v>512</v>
      </c>
      <c r="E797" s="0" t="s">
        <v>452</v>
      </c>
      <c r="F797" s="0" t="n">
        <v>0.5</v>
      </c>
      <c r="G797" s="0" t="n">
        <v>25</v>
      </c>
      <c r="H797" s="0" t="n">
        <v>12.5</v>
      </c>
      <c r="I797" s="0" t="n">
        <f aca="false">IF(ABS(ROUND(F797*G797,2)-H797)&lt;=0.01,1,0)</f>
        <v>1</v>
      </c>
      <c r="J797" s="0" t="n">
        <v>1</v>
      </c>
    </row>
    <row r="798" customFormat="false" ht="15" hidden="false" customHeight="false" outlineLevel="0" collapsed="false">
      <c r="A798" s="0" t="s">
        <v>222</v>
      </c>
      <c r="B798" s="0" t="s">
        <v>136</v>
      </c>
      <c r="C798" s="0" t="s">
        <v>223</v>
      </c>
      <c r="D798" s="0" t="s">
        <v>512</v>
      </c>
      <c r="E798" s="0" t="s">
        <v>579</v>
      </c>
      <c r="F798" s="0" t="n">
        <v>0.5</v>
      </c>
      <c r="G798" s="0" t="n">
        <v>34</v>
      </c>
      <c r="H798" s="0" t="n">
        <v>17</v>
      </c>
      <c r="I798" s="0" t="n">
        <f aca="false">IF(ABS(ROUND(F798*G798,2)-H798)&lt;=0.01,1,0)</f>
        <v>1</v>
      </c>
      <c r="J798" s="0" t="n">
        <v>0</v>
      </c>
    </row>
    <row r="799" customFormat="false" ht="15" hidden="false" customHeight="false" outlineLevel="0" collapsed="false">
      <c r="A799" s="0" t="s">
        <v>222</v>
      </c>
      <c r="B799" s="0" t="s">
        <v>136</v>
      </c>
      <c r="C799" s="0" t="s">
        <v>223</v>
      </c>
      <c r="D799" s="0" t="s">
        <v>512</v>
      </c>
      <c r="E799" s="0" t="s">
        <v>409</v>
      </c>
      <c r="F799" s="0" t="n">
        <v>0.5</v>
      </c>
      <c r="G799" s="0" t="n">
        <v>34</v>
      </c>
      <c r="H799" s="0" t="n">
        <v>17</v>
      </c>
      <c r="I799" s="0" t="n">
        <f aca="false">IF(ABS(ROUND(F799*G799,2)-H799)&lt;=0.01,1,0)</f>
        <v>1</v>
      </c>
      <c r="J799" s="0" t="n">
        <v>0</v>
      </c>
    </row>
    <row r="800" customFormat="false" ht="15" hidden="false" customHeight="false" outlineLevel="0" collapsed="false">
      <c r="A800" s="0" t="s">
        <v>222</v>
      </c>
      <c r="B800" s="0" t="s">
        <v>136</v>
      </c>
      <c r="C800" s="0" t="s">
        <v>223</v>
      </c>
      <c r="D800" s="0" t="s">
        <v>512</v>
      </c>
      <c r="E800" s="0" t="s">
        <v>391</v>
      </c>
      <c r="F800" s="0" t="n">
        <v>0.5</v>
      </c>
      <c r="G800" s="0" t="n">
        <v>7.2</v>
      </c>
      <c r="H800" s="0" t="n">
        <v>3.6</v>
      </c>
      <c r="I800" s="0" t="n">
        <f aca="false">IF(ABS(ROUND(F800*G800,2)-H800)&lt;=0.01,1,0)</f>
        <v>1</v>
      </c>
      <c r="J800" s="0" t="n">
        <v>0</v>
      </c>
    </row>
    <row r="801" customFormat="false" ht="15" hidden="false" customHeight="false" outlineLevel="0" collapsed="false">
      <c r="A801" s="0" t="s">
        <v>222</v>
      </c>
      <c r="B801" s="0" t="s">
        <v>136</v>
      </c>
      <c r="C801" s="0" t="s">
        <v>223</v>
      </c>
      <c r="D801" s="0" t="s">
        <v>512</v>
      </c>
      <c r="E801" s="0" t="s">
        <v>582</v>
      </c>
      <c r="F801" s="0" t="n">
        <v>0.5</v>
      </c>
      <c r="G801" s="0" t="n">
        <v>8.9</v>
      </c>
      <c r="H801" s="0" t="n">
        <v>4.45</v>
      </c>
      <c r="I801" s="0" t="n">
        <f aca="false">IF(ABS(ROUND(F801*G801,2)-H801)&lt;=0.01,1,0)</f>
        <v>1</v>
      </c>
      <c r="J801" s="0" t="n">
        <v>0</v>
      </c>
    </row>
    <row r="802" customFormat="false" ht="15" hidden="false" customHeight="false" outlineLevel="0" collapsed="false">
      <c r="A802" s="0" t="s">
        <v>222</v>
      </c>
      <c r="B802" s="0" t="s">
        <v>136</v>
      </c>
      <c r="C802" s="0" t="s">
        <v>223</v>
      </c>
      <c r="D802" s="0" t="s">
        <v>512</v>
      </c>
      <c r="E802" s="0" t="s">
        <v>636</v>
      </c>
      <c r="F802" s="0" t="n">
        <v>0.5</v>
      </c>
      <c r="G802" s="0" t="n">
        <v>19</v>
      </c>
      <c r="H802" s="0" t="n">
        <v>9.5</v>
      </c>
      <c r="I802" s="0" t="n">
        <f aca="false">IF(ABS(ROUND(F802*G802,2)-H802)&lt;=0.01,1,0)</f>
        <v>1</v>
      </c>
      <c r="J802" s="0" t="n">
        <v>0</v>
      </c>
    </row>
    <row r="803" customFormat="false" ht="15" hidden="false" customHeight="false" outlineLevel="0" collapsed="false">
      <c r="A803" s="0" t="s">
        <v>222</v>
      </c>
      <c r="B803" s="0" t="s">
        <v>136</v>
      </c>
      <c r="C803" s="0" t="s">
        <v>223</v>
      </c>
      <c r="D803" s="0" t="s">
        <v>512</v>
      </c>
      <c r="E803" s="0" t="s">
        <v>406</v>
      </c>
      <c r="F803" s="0" t="n">
        <v>0.5</v>
      </c>
      <c r="G803" s="0" t="n">
        <v>18.6</v>
      </c>
      <c r="H803" s="0" t="n">
        <v>9.3</v>
      </c>
      <c r="I803" s="0" t="n">
        <f aca="false">IF(ABS(ROUND(F803*G803,2)-H803)&lt;=0.01,1,0)</f>
        <v>1</v>
      </c>
      <c r="J803" s="0" t="n">
        <v>1</v>
      </c>
    </row>
    <row r="804" customFormat="false" ht="15" hidden="false" customHeight="false" outlineLevel="0" collapsed="false">
      <c r="A804" s="0" t="s">
        <v>222</v>
      </c>
      <c r="B804" s="0" t="s">
        <v>136</v>
      </c>
      <c r="C804" s="0" t="s">
        <v>223</v>
      </c>
      <c r="D804" s="0" t="s">
        <v>512</v>
      </c>
      <c r="E804" s="0" t="s">
        <v>614</v>
      </c>
      <c r="F804" s="0" t="n">
        <v>1</v>
      </c>
      <c r="G804" s="0" t="n">
        <v>21.9</v>
      </c>
      <c r="H804" s="0" t="n">
        <v>21.9</v>
      </c>
      <c r="I804" s="0" t="n">
        <f aca="false">IF(ABS(ROUND(F804*G804,2)-H804)&lt;=0.01,1,0)</f>
        <v>1</v>
      </c>
      <c r="J804" s="0" t="n">
        <v>0</v>
      </c>
    </row>
    <row r="805" customFormat="false" ht="15" hidden="false" customHeight="false" outlineLevel="0" collapsed="false">
      <c r="A805" s="0" t="s">
        <v>222</v>
      </c>
      <c r="B805" s="0" t="s">
        <v>136</v>
      </c>
      <c r="C805" s="0" t="s">
        <v>223</v>
      </c>
      <c r="D805" s="0" t="s">
        <v>512</v>
      </c>
      <c r="E805" s="0" t="s">
        <v>355</v>
      </c>
      <c r="F805" s="0" t="n">
        <v>0.5</v>
      </c>
      <c r="G805" s="0" t="n">
        <v>3.9</v>
      </c>
      <c r="H805" s="0" t="n">
        <v>1.95</v>
      </c>
      <c r="I805" s="0" t="n">
        <f aca="false">IF(ABS(ROUND(F805*G805,2)-H805)&lt;=0.01,1,0)</f>
        <v>1</v>
      </c>
      <c r="J805" s="0" t="n">
        <v>0</v>
      </c>
    </row>
    <row r="806" customFormat="false" ht="15" hidden="false" customHeight="false" outlineLevel="0" collapsed="false">
      <c r="A806" s="0" t="s">
        <v>222</v>
      </c>
      <c r="B806" s="0" t="s">
        <v>136</v>
      </c>
      <c r="C806" s="0" t="s">
        <v>223</v>
      </c>
      <c r="D806" s="0" t="s">
        <v>512</v>
      </c>
      <c r="E806" s="0" t="s">
        <v>688</v>
      </c>
      <c r="F806" s="0" t="n">
        <v>0.5</v>
      </c>
      <c r="G806" s="0" t="n">
        <v>13.1</v>
      </c>
      <c r="H806" s="0" t="n">
        <v>6.55</v>
      </c>
      <c r="I806" s="0" t="n">
        <f aca="false">IF(ABS(ROUND(F806*G806,2)-H806)&lt;=0.01,1,0)</f>
        <v>1</v>
      </c>
      <c r="J806" s="0" t="n">
        <v>0</v>
      </c>
    </row>
    <row r="807" customFormat="false" ht="15" hidden="false" customHeight="false" outlineLevel="0" collapsed="false">
      <c r="A807" s="0" t="s">
        <v>222</v>
      </c>
      <c r="B807" s="0" t="s">
        <v>136</v>
      </c>
      <c r="C807" s="0" t="s">
        <v>223</v>
      </c>
      <c r="D807" s="0" t="s">
        <v>512</v>
      </c>
      <c r="E807" s="0" t="s">
        <v>642</v>
      </c>
      <c r="F807" s="0" t="n">
        <v>1.5</v>
      </c>
      <c r="G807" s="0" t="n">
        <v>4.9</v>
      </c>
      <c r="H807" s="0" t="n">
        <v>7.35</v>
      </c>
      <c r="I807" s="0" t="n">
        <f aca="false">IF(ABS(ROUND(F807*G807,2)-H807)&lt;=0.01,1,0)</f>
        <v>1</v>
      </c>
      <c r="J807" s="0" t="n">
        <v>0</v>
      </c>
    </row>
    <row r="808" customFormat="false" ht="15" hidden="false" customHeight="false" outlineLevel="0" collapsed="false">
      <c r="A808" s="0" t="s">
        <v>222</v>
      </c>
      <c r="B808" s="0" t="s">
        <v>136</v>
      </c>
      <c r="C808" s="0" t="s">
        <v>223</v>
      </c>
      <c r="D808" s="0" t="s">
        <v>512</v>
      </c>
      <c r="E808" s="0" t="s">
        <v>689</v>
      </c>
      <c r="F808" s="0" t="n">
        <v>0.5</v>
      </c>
      <c r="G808" s="0" t="n">
        <v>2.7</v>
      </c>
      <c r="H808" s="0" t="n">
        <v>1.35</v>
      </c>
      <c r="I808" s="0" t="n">
        <f aca="false">IF(ABS(ROUND(F808*G808,2)-H808)&lt;=0.01,1,0)</f>
        <v>1</v>
      </c>
      <c r="J808" s="0" t="n">
        <v>0</v>
      </c>
    </row>
    <row r="809" customFormat="false" ht="15" hidden="false" customHeight="false" outlineLevel="0" collapsed="false">
      <c r="A809" s="0" t="s">
        <v>222</v>
      </c>
      <c r="B809" s="0" t="s">
        <v>136</v>
      </c>
      <c r="C809" s="0" t="s">
        <v>223</v>
      </c>
      <c r="D809" s="0" t="s">
        <v>512</v>
      </c>
      <c r="E809" s="0" t="s">
        <v>682</v>
      </c>
      <c r="F809" s="0" t="n">
        <v>0.5</v>
      </c>
      <c r="G809" s="0" t="n">
        <v>2.5</v>
      </c>
      <c r="H809" s="0" t="n">
        <v>1.25</v>
      </c>
      <c r="I809" s="0" t="n">
        <f aca="false">IF(ABS(ROUND(F809*G809,2)-H809)&lt;=0.01,1,0)</f>
        <v>1</v>
      </c>
      <c r="J809" s="0" t="n">
        <v>0</v>
      </c>
    </row>
    <row r="810" customFormat="false" ht="15" hidden="false" customHeight="false" outlineLevel="0" collapsed="false">
      <c r="A810" s="0" t="s">
        <v>222</v>
      </c>
      <c r="B810" s="0" t="s">
        <v>136</v>
      </c>
      <c r="C810" s="0" t="s">
        <v>223</v>
      </c>
      <c r="D810" s="0" t="s">
        <v>512</v>
      </c>
      <c r="E810" s="0" t="s">
        <v>672</v>
      </c>
      <c r="F810" s="0" t="n">
        <v>0.5</v>
      </c>
      <c r="G810" s="0" t="n">
        <v>3.5</v>
      </c>
      <c r="H810" s="0" t="n">
        <v>1.75</v>
      </c>
      <c r="I810" s="0" t="n">
        <f aca="false">IF(ABS(ROUND(F810*G810,2)-H810)&lt;=0.01,1,0)</f>
        <v>1</v>
      </c>
      <c r="J810" s="0" t="n">
        <v>0</v>
      </c>
    </row>
    <row r="811" customFormat="false" ht="15" hidden="false" customHeight="false" outlineLevel="0" collapsed="false">
      <c r="A811" s="0" t="s">
        <v>225</v>
      </c>
      <c r="B811" s="0" t="s">
        <v>136</v>
      </c>
      <c r="C811" s="0" t="s">
        <v>226</v>
      </c>
      <c r="D811" s="0" t="s">
        <v>499</v>
      </c>
      <c r="E811" s="0" t="s">
        <v>454</v>
      </c>
      <c r="F811" s="0" t="n">
        <v>0.5</v>
      </c>
      <c r="G811" s="0" t="n">
        <v>4.2</v>
      </c>
      <c r="H811" s="0" t="n">
        <v>2.1</v>
      </c>
      <c r="I811" s="0" t="n">
        <f aca="false">IF(ABS(ROUND(F811*G811,2)-H811)&lt;=0.01,1,0)</f>
        <v>1</v>
      </c>
      <c r="J811" s="0" t="n">
        <v>1</v>
      </c>
    </row>
    <row r="812" customFormat="false" ht="15" hidden="false" customHeight="false" outlineLevel="0" collapsed="false">
      <c r="A812" s="0" t="s">
        <v>225</v>
      </c>
      <c r="B812" s="0" t="s">
        <v>136</v>
      </c>
      <c r="C812" s="0" t="s">
        <v>226</v>
      </c>
      <c r="D812" s="0" t="s">
        <v>499</v>
      </c>
      <c r="E812" s="0" t="s">
        <v>586</v>
      </c>
      <c r="F812" s="0" t="n">
        <v>0.5</v>
      </c>
      <c r="G812" s="0" t="n">
        <v>6.9</v>
      </c>
      <c r="H812" s="0" t="n">
        <v>3.45</v>
      </c>
      <c r="I812" s="0" t="n">
        <f aca="false">IF(ABS(ROUND(F812*G812,2)-H812)&lt;=0.01,1,0)</f>
        <v>1</v>
      </c>
      <c r="J812" s="0" t="n">
        <v>0</v>
      </c>
    </row>
    <row r="813" customFormat="false" ht="15" hidden="false" customHeight="false" outlineLevel="0" collapsed="false">
      <c r="A813" s="0" t="s">
        <v>225</v>
      </c>
      <c r="B813" s="0" t="s">
        <v>136</v>
      </c>
      <c r="C813" s="0" t="s">
        <v>226</v>
      </c>
      <c r="D813" s="0" t="s">
        <v>499</v>
      </c>
      <c r="E813" s="0" t="s">
        <v>690</v>
      </c>
      <c r="F813" s="0" t="n">
        <v>0.5</v>
      </c>
      <c r="G813" s="0" t="n">
        <v>16.6</v>
      </c>
      <c r="H813" s="0" t="n">
        <v>8.3</v>
      </c>
      <c r="I813" s="0" t="n">
        <f aca="false">IF(ABS(ROUND(F813*G813,2)-H813)&lt;=0.01,1,0)</f>
        <v>1</v>
      </c>
      <c r="J813" s="0" t="n">
        <v>0</v>
      </c>
    </row>
    <row r="814" customFormat="false" ht="15" hidden="false" customHeight="false" outlineLevel="0" collapsed="false">
      <c r="A814" s="0" t="s">
        <v>225</v>
      </c>
      <c r="B814" s="0" t="s">
        <v>136</v>
      </c>
      <c r="C814" s="0" t="s">
        <v>226</v>
      </c>
      <c r="D814" s="0" t="s">
        <v>499</v>
      </c>
      <c r="E814" s="0" t="s">
        <v>680</v>
      </c>
      <c r="F814" s="0" t="n">
        <v>0.5</v>
      </c>
      <c r="G814" s="0" t="n">
        <v>18.6</v>
      </c>
      <c r="H814" s="0" t="n">
        <v>9.3</v>
      </c>
      <c r="I814" s="0" t="n">
        <f aca="false">IF(ABS(ROUND(F814*G814,2)-H814)&lt;=0.01,1,0)</f>
        <v>1</v>
      </c>
      <c r="J814" s="0" t="n">
        <v>0</v>
      </c>
    </row>
    <row r="815" customFormat="false" ht="15" hidden="false" customHeight="false" outlineLevel="0" collapsed="false">
      <c r="A815" s="0" t="s">
        <v>225</v>
      </c>
      <c r="B815" s="0" t="s">
        <v>136</v>
      </c>
      <c r="C815" s="0" t="s">
        <v>226</v>
      </c>
      <c r="D815" s="0" t="s">
        <v>499</v>
      </c>
      <c r="E815" s="0" t="s">
        <v>691</v>
      </c>
      <c r="F815" s="0" t="n">
        <v>0.5</v>
      </c>
      <c r="G815" s="0" t="n">
        <v>8.4</v>
      </c>
      <c r="H815" s="0" t="n">
        <v>4.2</v>
      </c>
      <c r="I815" s="0" t="n">
        <f aca="false">IF(ABS(ROUND(F815*G815,2)-H815)&lt;=0.01,1,0)</f>
        <v>1</v>
      </c>
      <c r="J815" s="0" t="n">
        <v>0</v>
      </c>
    </row>
    <row r="816" customFormat="false" ht="15" hidden="false" customHeight="false" outlineLevel="0" collapsed="false">
      <c r="A816" s="0" t="s">
        <v>225</v>
      </c>
      <c r="B816" s="0" t="s">
        <v>136</v>
      </c>
      <c r="C816" s="0" t="s">
        <v>226</v>
      </c>
      <c r="D816" s="0" t="s">
        <v>499</v>
      </c>
      <c r="E816" s="0" t="s">
        <v>377</v>
      </c>
      <c r="F816" s="0" t="n">
        <v>0.5</v>
      </c>
      <c r="G816" s="0" t="n">
        <v>5.5</v>
      </c>
      <c r="H816" s="0" t="n">
        <v>2.75</v>
      </c>
      <c r="I816" s="0" t="n">
        <f aca="false">IF(ABS(ROUND(F816*G816,2)-H816)&lt;=0.01,1,0)</f>
        <v>1</v>
      </c>
      <c r="J816" s="0" t="n">
        <v>0</v>
      </c>
    </row>
    <row r="817" customFormat="false" ht="15" hidden="false" customHeight="false" outlineLevel="0" collapsed="false">
      <c r="A817" s="0" t="s">
        <v>225</v>
      </c>
      <c r="B817" s="0" t="s">
        <v>136</v>
      </c>
      <c r="C817" s="0" t="s">
        <v>226</v>
      </c>
      <c r="D817" s="0" t="s">
        <v>499</v>
      </c>
      <c r="E817" s="0" t="s">
        <v>358</v>
      </c>
      <c r="F817" s="0" t="n">
        <v>0.5</v>
      </c>
      <c r="G817" s="0" t="n">
        <v>2</v>
      </c>
      <c r="H817" s="0" t="n">
        <v>1</v>
      </c>
      <c r="I817" s="0" t="n">
        <f aca="false">IF(ABS(ROUND(F817*G817,2)-H817)&lt;=0.01,1,0)</f>
        <v>1</v>
      </c>
      <c r="J817" s="0" t="n">
        <v>0</v>
      </c>
    </row>
    <row r="818" customFormat="false" ht="15" hidden="false" customHeight="false" outlineLevel="0" collapsed="false">
      <c r="A818" s="0" t="s">
        <v>225</v>
      </c>
      <c r="B818" s="0" t="s">
        <v>136</v>
      </c>
      <c r="C818" s="0" t="s">
        <v>226</v>
      </c>
      <c r="D818" s="0" t="s">
        <v>560</v>
      </c>
      <c r="E818" s="0" t="s">
        <v>454</v>
      </c>
      <c r="F818" s="0" t="n">
        <v>0.5</v>
      </c>
      <c r="G818" s="0" t="n">
        <v>4.2</v>
      </c>
      <c r="H818" s="0" t="n">
        <v>2.1</v>
      </c>
      <c r="I818" s="0" t="n">
        <f aca="false">IF(ABS(ROUND(F818*G818,2)-H818)&lt;=0.01,1,0)</f>
        <v>1</v>
      </c>
      <c r="J818" s="0" t="n">
        <v>1</v>
      </c>
    </row>
    <row r="819" customFormat="false" ht="15" hidden="false" customHeight="false" outlineLevel="0" collapsed="false">
      <c r="A819" s="0" t="s">
        <v>225</v>
      </c>
      <c r="B819" s="0" t="s">
        <v>136</v>
      </c>
      <c r="C819" s="0" t="s">
        <v>226</v>
      </c>
      <c r="D819" s="0" t="s">
        <v>560</v>
      </c>
      <c r="E819" s="0" t="s">
        <v>586</v>
      </c>
      <c r="F819" s="0" t="n">
        <v>0.5</v>
      </c>
      <c r="G819" s="0" t="n">
        <v>6.9</v>
      </c>
      <c r="H819" s="0" t="n">
        <v>3.45</v>
      </c>
      <c r="I819" s="0" t="n">
        <f aca="false">IF(ABS(ROUND(F819*G819,2)-H819)&lt;=0.01,1,0)</f>
        <v>1</v>
      </c>
      <c r="J819" s="0" t="n">
        <v>0</v>
      </c>
    </row>
    <row r="820" customFormat="false" ht="15" hidden="false" customHeight="false" outlineLevel="0" collapsed="false">
      <c r="A820" s="0" t="s">
        <v>225</v>
      </c>
      <c r="B820" s="0" t="s">
        <v>136</v>
      </c>
      <c r="C820" s="0" t="s">
        <v>226</v>
      </c>
      <c r="D820" s="0" t="s">
        <v>560</v>
      </c>
      <c r="E820" s="0" t="s">
        <v>690</v>
      </c>
      <c r="F820" s="0" t="n">
        <v>0.5</v>
      </c>
      <c r="G820" s="0" t="n">
        <v>16.6</v>
      </c>
      <c r="H820" s="0" t="n">
        <v>8.3</v>
      </c>
      <c r="I820" s="0" t="n">
        <f aca="false">IF(ABS(ROUND(F820*G820,2)-H820)&lt;=0.01,1,0)</f>
        <v>1</v>
      </c>
      <c r="J820" s="0" t="n">
        <v>0</v>
      </c>
    </row>
    <row r="821" customFormat="false" ht="15" hidden="false" customHeight="false" outlineLevel="0" collapsed="false">
      <c r="A821" s="0" t="s">
        <v>225</v>
      </c>
      <c r="B821" s="0" t="s">
        <v>136</v>
      </c>
      <c r="C821" s="0" t="s">
        <v>226</v>
      </c>
      <c r="D821" s="0" t="s">
        <v>560</v>
      </c>
      <c r="E821" s="0" t="s">
        <v>680</v>
      </c>
      <c r="F821" s="0" t="n">
        <v>0.5</v>
      </c>
      <c r="G821" s="0" t="n">
        <v>18.6</v>
      </c>
      <c r="H821" s="0" t="n">
        <v>9.3</v>
      </c>
      <c r="I821" s="0" t="n">
        <f aca="false">IF(ABS(ROUND(F821*G821,2)-H821)&lt;=0.01,1,0)</f>
        <v>1</v>
      </c>
      <c r="J821" s="0" t="n">
        <v>0</v>
      </c>
    </row>
    <row r="822" customFormat="false" ht="15" hidden="false" customHeight="false" outlineLevel="0" collapsed="false">
      <c r="A822" s="0" t="s">
        <v>225</v>
      </c>
      <c r="B822" s="0" t="s">
        <v>136</v>
      </c>
      <c r="C822" s="0" t="s">
        <v>226</v>
      </c>
      <c r="D822" s="0" t="s">
        <v>560</v>
      </c>
      <c r="E822" s="0" t="s">
        <v>691</v>
      </c>
      <c r="F822" s="0" t="n">
        <v>0.5</v>
      </c>
      <c r="G822" s="0" t="n">
        <v>8.4</v>
      </c>
      <c r="H822" s="0" t="n">
        <v>4.2</v>
      </c>
      <c r="I822" s="0" t="n">
        <f aca="false">IF(ABS(ROUND(F822*G822,2)-H822)&lt;=0.01,1,0)</f>
        <v>1</v>
      </c>
      <c r="J822" s="0" t="n">
        <v>0</v>
      </c>
    </row>
    <row r="823" customFormat="false" ht="15" hidden="false" customHeight="false" outlineLevel="0" collapsed="false">
      <c r="A823" s="0" t="s">
        <v>225</v>
      </c>
      <c r="B823" s="0" t="s">
        <v>136</v>
      </c>
      <c r="C823" s="0" t="s">
        <v>226</v>
      </c>
      <c r="D823" s="0" t="s">
        <v>560</v>
      </c>
      <c r="E823" s="0" t="s">
        <v>377</v>
      </c>
      <c r="F823" s="0" t="n">
        <v>0.5</v>
      </c>
      <c r="G823" s="0" t="n">
        <v>5.5</v>
      </c>
      <c r="H823" s="0" t="n">
        <v>2.75</v>
      </c>
      <c r="I823" s="0" t="n">
        <f aca="false">IF(ABS(ROUND(F823*G823,2)-H823)&lt;=0.01,1,0)</f>
        <v>1</v>
      </c>
      <c r="J823" s="0" t="n">
        <v>0</v>
      </c>
    </row>
    <row r="824" customFormat="false" ht="15" hidden="false" customHeight="false" outlineLevel="0" collapsed="false">
      <c r="A824" s="0" t="s">
        <v>225</v>
      </c>
      <c r="B824" s="0" t="s">
        <v>136</v>
      </c>
      <c r="C824" s="0" t="s">
        <v>226</v>
      </c>
      <c r="D824" s="0" t="s">
        <v>560</v>
      </c>
      <c r="E824" s="0" t="s">
        <v>358</v>
      </c>
      <c r="F824" s="0" t="n">
        <v>0.5</v>
      </c>
      <c r="G824" s="0" t="n">
        <v>2</v>
      </c>
      <c r="H824" s="0" t="n">
        <v>1</v>
      </c>
      <c r="I824" s="0" t="n">
        <f aca="false">IF(ABS(ROUND(F824*G824,2)-H824)&lt;=0.01,1,0)</f>
        <v>1</v>
      </c>
      <c r="J824" s="0" t="n">
        <v>0</v>
      </c>
    </row>
    <row r="825" customFormat="false" ht="15" hidden="false" customHeight="false" outlineLevel="0" collapsed="false">
      <c r="A825" s="0" t="s">
        <v>228</v>
      </c>
      <c r="B825" s="0" t="s">
        <v>136</v>
      </c>
      <c r="C825" s="0" t="s">
        <v>130</v>
      </c>
      <c r="D825" s="0" t="s">
        <v>518</v>
      </c>
      <c r="E825" s="0" t="s">
        <v>593</v>
      </c>
      <c r="F825" s="0" t="n">
        <v>0.5</v>
      </c>
      <c r="G825" s="0" t="n">
        <v>3.9</v>
      </c>
      <c r="H825" s="0" t="n">
        <v>1.95</v>
      </c>
      <c r="I825" s="0" t="n">
        <f aca="false">IF(ABS(ROUND(F825*G825,2)-H825)&lt;=0.01,1,0)</f>
        <v>1</v>
      </c>
      <c r="J825" s="0" t="n">
        <v>0</v>
      </c>
    </row>
    <row r="826" customFormat="false" ht="15" hidden="false" customHeight="false" outlineLevel="0" collapsed="false">
      <c r="A826" s="0" t="s">
        <v>228</v>
      </c>
      <c r="B826" s="0" t="s">
        <v>136</v>
      </c>
      <c r="C826" s="0" t="s">
        <v>130</v>
      </c>
      <c r="D826" s="0" t="s">
        <v>518</v>
      </c>
      <c r="E826" s="0" t="s">
        <v>641</v>
      </c>
      <c r="F826" s="0" t="n">
        <v>0.5</v>
      </c>
      <c r="G826" s="0" t="n">
        <v>3.9</v>
      </c>
      <c r="H826" s="0" t="n">
        <v>1.95</v>
      </c>
      <c r="I826" s="0" t="n">
        <f aca="false">IF(ABS(ROUND(F826*G826,2)-H826)&lt;=0.01,1,0)</f>
        <v>1</v>
      </c>
      <c r="J826" s="0" t="n">
        <v>0</v>
      </c>
    </row>
    <row r="827" customFormat="false" ht="15" hidden="false" customHeight="false" outlineLevel="0" collapsed="false">
      <c r="A827" s="0" t="s">
        <v>228</v>
      </c>
      <c r="B827" s="0" t="s">
        <v>136</v>
      </c>
      <c r="C827" s="0" t="s">
        <v>130</v>
      </c>
      <c r="D827" s="0" t="s">
        <v>518</v>
      </c>
      <c r="E827" s="0" t="s">
        <v>594</v>
      </c>
      <c r="F827" s="0" t="n">
        <v>0.5</v>
      </c>
      <c r="G827" s="0" t="n">
        <v>4.8</v>
      </c>
      <c r="H827" s="0" t="n">
        <v>2.4</v>
      </c>
      <c r="I827" s="0" t="n">
        <f aca="false">IF(ABS(ROUND(F827*G827,2)-H827)&lt;=0.01,1,0)</f>
        <v>1</v>
      </c>
      <c r="J827" s="0" t="n">
        <v>0</v>
      </c>
    </row>
    <row r="828" customFormat="false" ht="15" hidden="false" customHeight="false" outlineLevel="0" collapsed="false">
      <c r="A828" s="0" t="s">
        <v>228</v>
      </c>
      <c r="B828" s="0" t="s">
        <v>136</v>
      </c>
      <c r="C828" s="0" t="s">
        <v>130</v>
      </c>
      <c r="D828" s="0" t="s">
        <v>518</v>
      </c>
      <c r="E828" s="0" t="s">
        <v>368</v>
      </c>
      <c r="F828" s="0" t="n">
        <v>0.5</v>
      </c>
      <c r="G828" s="0" t="n">
        <v>5.9</v>
      </c>
      <c r="H828" s="0" t="n">
        <v>2.95</v>
      </c>
      <c r="I828" s="0" t="n">
        <f aca="false">IF(ABS(ROUND(F828*G828,2)-H828)&lt;=0.01,1,0)</f>
        <v>1</v>
      </c>
      <c r="J828" s="0" t="n">
        <v>1</v>
      </c>
    </row>
    <row r="829" customFormat="false" ht="15" hidden="false" customHeight="false" outlineLevel="0" collapsed="false">
      <c r="A829" s="0" t="s">
        <v>228</v>
      </c>
      <c r="B829" s="0" t="s">
        <v>136</v>
      </c>
      <c r="C829" s="0" t="s">
        <v>130</v>
      </c>
      <c r="D829" s="0" t="s">
        <v>518</v>
      </c>
      <c r="E829" s="0" t="s">
        <v>668</v>
      </c>
      <c r="F829" s="0" t="n">
        <v>0.5</v>
      </c>
      <c r="G829" s="0" t="n">
        <v>3.9</v>
      </c>
      <c r="H829" s="0" t="n">
        <v>1.95</v>
      </c>
      <c r="I829" s="0" t="n">
        <f aca="false">IF(ABS(ROUND(F829*G829,2)-H829)&lt;=0.01,1,0)</f>
        <v>1</v>
      </c>
      <c r="J829" s="0" t="n">
        <v>0</v>
      </c>
    </row>
    <row r="830" customFormat="false" ht="15" hidden="false" customHeight="false" outlineLevel="0" collapsed="false">
      <c r="A830" s="0" t="s">
        <v>228</v>
      </c>
      <c r="B830" s="0" t="s">
        <v>136</v>
      </c>
      <c r="C830" s="0" t="s">
        <v>130</v>
      </c>
      <c r="D830" s="0" t="s">
        <v>518</v>
      </c>
      <c r="E830" s="0" t="s">
        <v>577</v>
      </c>
      <c r="F830" s="0" t="n">
        <v>0.5</v>
      </c>
      <c r="G830" s="0" t="n">
        <v>18.6</v>
      </c>
      <c r="H830" s="0" t="n">
        <v>9.3</v>
      </c>
      <c r="I830" s="0" t="n">
        <f aca="false">IF(ABS(ROUND(F830*G830,2)-H830)&lt;=0.01,1,0)</f>
        <v>1</v>
      </c>
      <c r="J830" s="0" t="n">
        <v>0</v>
      </c>
    </row>
    <row r="831" customFormat="false" ht="15" hidden="false" customHeight="false" outlineLevel="0" collapsed="false">
      <c r="A831" s="0" t="s">
        <v>228</v>
      </c>
      <c r="B831" s="0" t="s">
        <v>136</v>
      </c>
      <c r="C831" s="0" t="s">
        <v>130</v>
      </c>
      <c r="D831" s="0" t="s">
        <v>518</v>
      </c>
      <c r="E831" s="0" t="s">
        <v>580</v>
      </c>
      <c r="F831" s="0" t="n">
        <v>0.5</v>
      </c>
      <c r="G831" s="0" t="n">
        <v>26.5</v>
      </c>
      <c r="H831" s="0" t="n">
        <v>13.25</v>
      </c>
      <c r="I831" s="0" t="n">
        <f aca="false">IF(ABS(ROUND(F831*G831,2)-H831)&lt;=0.01,1,0)</f>
        <v>1</v>
      </c>
      <c r="J831" s="0" t="n">
        <v>0</v>
      </c>
    </row>
    <row r="832" customFormat="false" ht="15" hidden="false" customHeight="false" outlineLevel="0" collapsed="false">
      <c r="A832" s="0" t="s">
        <v>228</v>
      </c>
      <c r="B832" s="0" t="s">
        <v>136</v>
      </c>
      <c r="C832" s="0" t="s">
        <v>130</v>
      </c>
      <c r="D832" s="0" t="s">
        <v>518</v>
      </c>
      <c r="E832" s="0" t="s">
        <v>636</v>
      </c>
      <c r="F832" s="0" t="n">
        <v>0.5</v>
      </c>
      <c r="G832" s="0" t="n">
        <v>19</v>
      </c>
      <c r="H832" s="0" t="n">
        <v>9.5</v>
      </c>
      <c r="I832" s="0" t="n">
        <f aca="false">IF(ABS(ROUND(F832*G832,2)-H832)&lt;=0.01,1,0)</f>
        <v>1</v>
      </c>
      <c r="J832" s="0" t="n">
        <v>0</v>
      </c>
    </row>
    <row r="833" customFormat="false" ht="15" hidden="false" customHeight="false" outlineLevel="0" collapsed="false">
      <c r="A833" s="0" t="s">
        <v>228</v>
      </c>
      <c r="B833" s="0" t="s">
        <v>136</v>
      </c>
      <c r="C833" s="0" t="s">
        <v>130</v>
      </c>
      <c r="D833" s="0" t="s">
        <v>518</v>
      </c>
      <c r="E833" s="0" t="s">
        <v>406</v>
      </c>
      <c r="F833" s="0" t="n">
        <v>1</v>
      </c>
      <c r="G833" s="0" t="n">
        <v>18.6</v>
      </c>
      <c r="H833" s="0" t="n">
        <v>18.6</v>
      </c>
      <c r="I833" s="0" t="n">
        <f aca="false">IF(ABS(ROUND(F833*G833,2)-H833)&lt;=0.01,1,0)</f>
        <v>1</v>
      </c>
      <c r="J833" s="0" t="n">
        <v>0</v>
      </c>
    </row>
    <row r="834" customFormat="false" ht="15" hidden="false" customHeight="false" outlineLevel="0" collapsed="false">
      <c r="A834" s="0" t="s">
        <v>228</v>
      </c>
      <c r="B834" s="0" t="s">
        <v>136</v>
      </c>
      <c r="C834" s="0" t="s">
        <v>130</v>
      </c>
      <c r="D834" s="0" t="s">
        <v>518</v>
      </c>
      <c r="E834" s="0" t="s">
        <v>427</v>
      </c>
      <c r="F834" s="0" t="n">
        <v>0.5</v>
      </c>
      <c r="G834" s="0" t="n">
        <v>27.8</v>
      </c>
      <c r="H834" s="0" t="n">
        <v>13.9</v>
      </c>
      <c r="I834" s="0" t="n">
        <f aca="false">IF(ABS(ROUND(F834*G834,2)-H834)&lt;=0.01,1,0)</f>
        <v>1</v>
      </c>
      <c r="J834" s="0" t="n">
        <v>0</v>
      </c>
    </row>
    <row r="835" customFormat="false" ht="15" hidden="false" customHeight="false" outlineLevel="0" collapsed="false">
      <c r="A835" s="0" t="s">
        <v>228</v>
      </c>
      <c r="B835" s="0" t="s">
        <v>136</v>
      </c>
      <c r="C835" s="0" t="s">
        <v>130</v>
      </c>
      <c r="D835" s="0" t="s">
        <v>518</v>
      </c>
      <c r="E835" s="0" t="s">
        <v>671</v>
      </c>
      <c r="F835" s="0" t="n">
        <v>0.5</v>
      </c>
      <c r="G835" s="0" t="n">
        <v>5.4</v>
      </c>
      <c r="H835" s="0" t="n">
        <v>2.7</v>
      </c>
      <c r="I835" s="0" t="n">
        <f aca="false">IF(ABS(ROUND(F835*G835,2)-H835)&lt;=0.01,1,0)</f>
        <v>1</v>
      </c>
      <c r="J835" s="0" t="n">
        <v>0</v>
      </c>
    </row>
    <row r="836" customFormat="false" ht="15" hidden="false" customHeight="false" outlineLevel="0" collapsed="false">
      <c r="A836" s="0" t="s">
        <v>228</v>
      </c>
      <c r="B836" s="0" t="s">
        <v>136</v>
      </c>
      <c r="C836" s="0" t="s">
        <v>130</v>
      </c>
      <c r="D836" s="0" t="s">
        <v>518</v>
      </c>
      <c r="E836" s="0" t="s">
        <v>343</v>
      </c>
      <c r="F836" s="0" t="n">
        <v>0.5</v>
      </c>
      <c r="G836" s="0" t="n">
        <v>6.4</v>
      </c>
      <c r="H836" s="0" t="n">
        <v>3.2</v>
      </c>
      <c r="I836" s="0" t="n">
        <f aca="false">IF(ABS(ROUND(F836*G836,2)-H836)&lt;=0.01,1,0)</f>
        <v>1</v>
      </c>
      <c r="J836" s="0" t="n">
        <v>0</v>
      </c>
    </row>
    <row r="837" customFormat="false" ht="15" hidden="false" customHeight="false" outlineLevel="0" collapsed="false">
      <c r="A837" s="0" t="s">
        <v>228</v>
      </c>
      <c r="B837" s="0" t="s">
        <v>136</v>
      </c>
      <c r="C837" s="0" t="s">
        <v>130</v>
      </c>
      <c r="D837" s="0" t="s">
        <v>518</v>
      </c>
      <c r="E837" s="0" t="s">
        <v>345</v>
      </c>
      <c r="F837" s="0" t="n">
        <v>0.5</v>
      </c>
      <c r="G837" s="0" t="n">
        <v>8.9</v>
      </c>
      <c r="H837" s="0" t="n">
        <v>4.45</v>
      </c>
      <c r="I837" s="0" t="n">
        <f aca="false">IF(ABS(ROUND(F837*G837,2)-H837)&lt;=0.01,1,0)</f>
        <v>1</v>
      </c>
      <c r="J837" s="0" t="n">
        <v>1</v>
      </c>
    </row>
    <row r="838" customFormat="false" ht="15" hidden="false" customHeight="false" outlineLevel="0" collapsed="false">
      <c r="A838" s="0" t="s">
        <v>228</v>
      </c>
      <c r="B838" s="0" t="s">
        <v>136</v>
      </c>
      <c r="C838" s="0" t="s">
        <v>130</v>
      </c>
      <c r="D838" s="0" t="s">
        <v>489</v>
      </c>
      <c r="E838" s="0" t="s">
        <v>593</v>
      </c>
      <c r="F838" s="0" t="n">
        <v>0.5</v>
      </c>
      <c r="G838" s="0" t="n">
        <v>3.9</v>
      </c>
      <c r="H838" s="0" t="n">
        <v>1.95</v>
      </c>
      <c r="I838" s="0" t="n">
        <f aca="false">IF(ABS(ROUND(F838*G838,2)-H838)&lt;=0.01,1,0)</f>
        <v>1</v>
      </c>
      <c r="J838" s="0" t="n">
        <v>0</v>
      </c>
    </row>
    <row r="839" customFormat="false" ht="15" hidden="false" customHeight="false" outlineLevel="0" collapsed="false">
      <c r="A839" s="0" t="s">
        <v>228</v>
      </c>
      <c r="B839" s="0" t="s">
        <v>136</v>
      </c>
      <c r="C839" s="0" t="s">
        <v>130</v>
      </c>
      <c r="D839" s="0" t="s">
        <v>489</v>
      </c>
      <c r="E839" s="0" t="s">
        <v>641</v>
      </c>
      <c r="F839" s="0" t="n">
        <v>0.5</v>
      </c>
      <c r="G839" s="0" t="n">
        <v>3.9</v>
      </c>
      <c r="H839" s="0" t="n">
        <v>1.95</v>
      </c>
      <c r="I839" s="0" t="n">
        <f aca="false">IF(ABS(ROUND(F839*G839,2)-H839)&lt;=0.01,1,0)</f>
        <v>1</v>
      </c>
      <c r="J839" s="0" t="n">
        <v>0</v>
      </c>
    </row>
    <row r="840" customFormat="false" ht="15" hidden="false" customHeight="false" outlineLevel="0" collapsed="false">
      <c r="A840" s="0" t="s">
        <v>228</v>
      </c>
      <c r="B840" s="0" t="s">
        <v>136</v>
      </c>
      <c r="C840" s="0" t="s">
        <v>130</v>
      </c>
      <c r="D840" s="0" t="s">
        <v>489</v>
      </c>
      <c r="E840" s="0" t="s">
        <v>594</v>
      </c>
      <c r="F840" s="0" t="n">
        <v>0.5</v>
      </c>
      <c r="G840" s="0" t="n">
        <v>4.8</v>
      </c>
      <c r="H840" s="0" t="n">
        <v>2.4</v>
      </c>
      <c r="I840" s="0" t="n">
        <f aca="false">IF(ABS(ROUND(F840*G840,2)-H840)&lt;=0.01,1,0)</f>
        <v>1</v>
      </c>
      <c r="J840" s="0" t="n">
        <v>0</v>
      </c>
    </row>
    <row r="841" customFormat="false" ht="15" hidden="false" customHeight="false" outlineLevel="0" collapsed="false">
      <c r="A841" s="0" t="s">
        <v>228</v>
      </c>
      <c r="B841" s="0" t="s">
        <v>136</v>
      </c>
      <c r="C841" s="0" t="s">
        <v>130</v>
      </c>
      <c r="D841" s="0" t="s">
        <v>489</v>
      </c>
      <c r="E841" s="0" t="s">
        <v>368</v>
      </c>
      <c r="F841" s="0" t="n">
        <v>0.5</v>
      </c>
      <c r="G841" s="0" t="n">
        <v>5.9</v>
      </c>
      <c r="H841" s="0" t="n">
        <v>2.95</v>
      </c>
      <c r="I841" s="0" t="n">
        <f aca="false">IF(ABS(ROUND(F841*G841,2)-H841)&lt;=0.01,1,0)</f>
        <v>1</v>
      </c>
      <c r="J841" s="0" t="n">
        <v>1</v>
      </c>
    </row>
    <row r="842" customFormat="false" ht="15" hidden="false" customHeight="false" outlineLevel="0" collapsed="false">
      <c r="A842" s="0" t="s">
        <v>228</v>
      </c>
      <c r="B842" s="0" t="s">
        <v>136</v>
      </c>
      <c r="C842" s="0" t="s">
        <v>130</v>
      </c>
      <c r="D842" s="0" t="s">
        <v>489</v>
      </c>
      <c r="E842" s="0" t="s">
        <v>668</v>
      </c>
      <c r="F842" s="0" t="n">
        <v>0.5</v>
      </c>
      <c r="G842" s="0" t="n">
        <v>3.9</v>
      </c>
      <c r="H842" s="0" t="n">
        <v>1.95</v>
      </c>
      <c r="I842" s="0" t="n">
        <f aca="false">IF(ABS(ROUND(F842*G842,2)-H842)&lt;=0.01,1,0)</f>
        <v>1</v>
      </c>
      <c r="J842" s="0" t="n">
        <v>0</v>
      </c>
    </row>
    <row r="843" customFormat="false" ht="15" hidden="false" customHeight="false" outlineLevel="0" collapsed="false">
      <c r="A843" s="0" t="s">
        <v>228</v>
      </c>
      <c r="B843" s="0" t="s">
        <v>136</v>
      </c>
      <c r="C843" s="0" t="s">
        <v>130</v>
      </c>
      <c r="D843" s="0" t="s">
        <v>489</v>
      </c>
      <c r="E843" s="0" t="s">
        <v>577</v>
      </c>
      <c r="F843" s="0" t="n">
        <v>0.5</v>
      </c>
      <c r="G843" s="0" t="n">
        <v>18.6</v>
      </c>
      <c r="H843" s="0" t="n">
        <v>9.3</v>
      </c>
      <c r="I843" s="0" t="n">
        <f aca="false">IF(ABS(ROUND(F843*G843,2)-H843)&lt;=0.01,1,0)</f>
        <v>1</v>
      </c>
      <c r="J843" s="0" t="n">
        <v>0</v>
      </c>
    </row>
    <row r="844" customFormat="false" ht="15" hidden="false" customHeight="false" outlineLevel="0" collapsed="false">
      <c r="A844" s="0" t="s">
        <v>228</v>
      </c>
      <c r="B844" s="0" t="s">
        <v>136</v>
      </c>
      <c r="C844" s="0" t="s">
        <v>130</v>
      </c>
      <c r="D844" s="0" t="s">
        <v>489</v>
      </c>
      <c r="E844" s="0" t="s">
        <v>580</v>
      </c>
      <c r="F844" s="0" t="n">
        <v>0.5</v>
      </c>
      <c r="G844" s="0" t="n">
        <v>26.5</v>
      </c>
      <c r="H844" s="0" t="n">
        <v>13.25</v>
      </c>
      <c r="I844" s="0" t="n">
        <f aca="false">IF(ABS(ROUND(F844*G844,2)-H844)&lt;=0.01,1,0)</f>
        <v>1</v>
      </c>
      <c r="J844" s="0" t="n">
        <v>0</v>
      </c>
    </row>
    <row r="845" customFormat="false" ht="15" hidden="false" customHeight="false" outlineLevel="0" collapsed="false">
      <c r="A845" s="0" t="s">
        <v>228</v>
      </c>
      <c r="B845" s="0" t="s">
        <v>136</v>
      </c>
      <c r="C845" s="0" t="s">
        <v>130</v>
      </c>
      <c r="D845" s="0" t="s">
        <v>489</v>
      </c>
      <c r="E845" s="0" t="s">
        <v>636</v>
      </c>
      <c r="F845" s="0" t="n">
        <v>0.5</v>
      </c>
      <c r="G845" s="0" t="n">
        <v>19</v>
      </c>
      <c r="H845" s="0" t="n">
        <v>9.5</v>
      </c>
      <c r="I845" s="0" t="n">
        <f aca="false">IF(ABS(ROUND(F845*G845,2)-H845)&lt;=0.01,1,0)</f>
        <v>1</v>
      </c>
      <c r="J845" s="0" t="n">
        <v>0</v>
      </c>
    </row>
    <row r="846" customFormat="false" ht="15" hidden="false" customHeight="false" outlineLevel="0" collapsed="false">
      <c r="A846" s="0" t="s">
        <v>228</v>
      </c>
      <c r="B846" s="0" t="s">
        <v>136</v>
      </c>
      <c r="C846" s="0" t="s">
        <v>130</v>
      </c>
      <c r="D846" s="0" t="s">
        <v>489</v>
      </c>
      <c r="E846" s="0" t="s">
        <v>406</v>
      </c>
      <c r="F846" s="0" t="n">
        <v>1</v>
      </c>
      <c r="G846" s="0" t="n">
        <v>18.6</v>
      </c>
      <c r="H846" s="0" t="n">
        <v>18.6</v>
      </c>
      <c r="I846" s="0" t="n">
        <f aca="false">IF(ABS(ROUND(F846*G846,2)-H846)&lt;=0.01,1,0)</f>
        <v>1</v>
      </c>
      <c r="J846" s="0" t="n">
        <v>0</v>
      </c>
    </row>
    <row r="847" customFormat="false" ht="15" hidden="false" customHeight="false" outlineLevel="0" collapsed="false">
      <c r="A847" s="0" t="s">
        <v>228</v>
      </c>
      <c r="B847" s="0" t="s">
        <v>136</v>
      </c>
      <c r="C847" s="0" t="s">
        <v>130</v>
      </c>
      <c r="D847" s="0" t="s">
        <v>489</v>
      </c>
      <c r="E847" s="0" t="s">
        <v>427</v>
      </c>
      <c r="F847" s="0" t="n">
        <v>0.5</v>
      </c>
      <c r="G847" s="0" t="n">
        <v>27.8</v>
      </c>
      <c r="H847" s="0" t="n">
        <v>13.9</v>
      </c>
      <c r="I847" s="0" t="n">
        <f aca="false">IF(ABS(ROUND(F847*G847,2)-H847)&lt;=0.01,1,0)</f>
        <v>1</v>
      </c>
      <c r="J847" s="0" t="n">
        <v>0</v>
      </c>
    </row>
    <row r="848" customFormat="false" ht="15" hidden="false" customHeight="false" outlineLevel="0" collapsed="false">
      <c r="A848" s="0" t="s">
        <v>228</v>
      </c>
      <c r="B848" s="0" t="s">
        <v>136</v>
      </c>
      <c r="C848" s="0" t="s">
        <v>130</v>
      </c>
      <c r="D848" s="0" t="s">
        <v>489</v>
      </c>
      <c r="E848" s="0" t="s">
        <v>671</v>
      </c>
      <c r="F848" s="0" t="n">
        <v>0.5</v>
      </c>
      <c r="G848" s="0" t="n">
        <v>5.4</v>
      </c>
      <c r="H848" s="0" t="n">
        <v>2.7</v>
      </c>
      <c r="I848" s="0" t="n">
        <f aca="false">IF(ABS(ROUND(F848*G848,2)-H848)&lt;=0.01,1,0)</f>
        <v>1</v>
      </c>
      <c r="J848" s="0" t="n">
        <v>0</v>
      </c>
    </row>
    <row r="849" customFormat="false" ht="15" hidden="false" customHeight="false" outlineLevel="0" collapsed="false">
      <c r="A849" s="0" t="s">
        <v>228</v>
      </c>
      <c r="B849" s="0" t="s">
        <v>136</v>
      </c>
      <c r="C849" s="0" t="s">
        <v>130</v>
      </c>
      <c r="D849" s="0" t="s">
        <v>489</v>
      </c>
      <c r="E849" s="0" t="s">
        <v>343</v>
      </c>
      <c r="F849" s="0" t="n">
        <v>0.5</v>
      </c>
      <c r="G849" s="0" t="n">
        <v>6.4</v>
      </c>
      <c r="H849" s="0" t="n">
        <v>3.2</v>
      </c>
      <c r="I849" s="0" t="n">
        <f aca="false">IF(ABS(ROUND(F849*G849,2)-H849)&lt;=0.01,1,0)</f>
        <v>1</v>
      </c>
      <c r="J849" s="0" t="n">
        <v>0</v>
      </c>
    </row>
    <row r="850" customFormat="false" ht="15" hidden="false" customHeight="false" outlineLevel="0" collapsed="false">
      <c r="A850" s="0" t="s">
        <v>228</v>
      </c>
      <c r="B850" s="0" t="s">
        <v>136</v>
      </c>
      <c r="C850" s="0" t="s">
        <v>130</v>
      </c>
      <c r="D850" s="0" t="s">
        <v>489</v>
      </c>
      <c r="E850" s="0" t="s">
        <v>345</v>
      </c>
      <c r="F850" s="0" t="n">
        <v>0.5</v>
      </c>
      <c r="G850" s="0" t="n">
        <v>8.9</v>
      </c>
      <c r="H850" s="0" t="n">
        <v>4.45</v>
      </c>
      <c r="I850" s="0" t="n">
        <f aca="false">IF(ABS(ROUND(F850*G850,2)-H850)&lt;=0.01,1,0)</f>
        <v>1</v>
      </c>
      <c r="J850" s="0" t="n">
        <v>1</v>
      </c>
    </row>
    <row r="851" customFormat="false" ht="15" hidden="false" customHeight="false" outlineLevel="0" collapsed="false">
      <c r="A851" s="0" t="s">
        <v>230</v>
      </c>
      <c r="B851" s="0" t="s">
        <v>136</v>
      </c>
      <c r="C851" s="0" t="s">
        <v>231</v>
      </c>
      <c r="D851" s="0" t="s">
        <v>522</v>
      </c>
      <c r="E851" s="0" t="s">
        <v>607</v>
      </c>
      <c r="F851" s="0" t="n">
        <v>1</v>
      </c>
      <c r="G851" s="0" t="n">
        <v>5.9</v>
      </c>
      <c r="H851" s="0" t="n">
        <v>5.9</v>
      </c>
      <c r="I851" s="0" t="n">
        <f aca="false">IF(ABS(ROUND(F851*G851,2)-H851)&lt;=0.01,1,0)</f>
        <v>1</v>
      </c>
      <c r="J851" s="0" t="n">
        <v>0</v>
      </c>
    </row>
    <row r="852" customFormat="false" ht="15" hidden="false" customHeight="false" outlineLevel="0" collapsed="false">
      <c r="A852" s="0" t="s">
        <v>230</v>
      </c>
      <c r="B852" s="0" t="s">
        <v>136</v>
      </c>
      <c r="C852" s="0" t="s">
        <v>231</v>
      </c>
      <c r="D852" s="0" t="s">
        <v>522</v>
      </c>
      <c r="E852" s="0" t="s">
        <v>382</v>
      </c>
      <c r="F852" s="0" t="n">
        <v>0.5</v>
      </c>
      <c r="G852" s="0" t="n">
        <v>4.2</v>
      </c>
      <c r="H852" s="0" t="n">
        <v>2.1</v>
      </c>
      <c r="I852" s="0" t="n">
        <f aca="false">IF(ABS(ROUND(F852*G852,2)-H852)&lt;=0.01,1,0)</f>
        <v>1</v>
      </c>
      <c r="J852" s="0" t="n">
        <v>1</v>
      </c>
    </row>
    <row r="853" customFormat="false" ht="15" hidden="false" customHeight="false" outlineLevel="0" collapsed="false">
      <c r="A853" s="0" t="s">
        <v>230</v>
      </c>
      <c r="B853" s="0" t="s">
        <v>136</v>
      </c>
      <c r="C853" s="0" t="s">
        <v>231</v>
      </c>
      <c r="D853" s="0" t="s">
        <v>522</v>
      </c>
      <c r="E853" s="0" t="s">
        <v>454</v>
      </c>
      <c r="F853" s="0" t="n">
        <v>0.5</v>
      </c>
      <c r="G853" s="0" t="n">
        <v>4.2</v>
      </c>
      <c r="H853" s="0" t="n">
        <v>2.1</v>
      </c>
      <c r="I853" s="0" t="n">
        <f aca="false">IF(ABS(ROUND(F853*G853,2)-H853)&lt;=0.01,1,0)</f>
        <v>1</v>
      </c>
      <c r="J853" s="0" t="n">
        <v>1</v>
      </c>
    </row>
    <row r="854" customFormat="false" ht="15" hidden="false" customHeight="false" outlineLevel="0" collapsed="false">
      <c r="A854" s="0" t="s">
        <v>230</v>
      </c>
      <c r="B854" s="0" t="s">
        <v>136</v>
      </c>
      <c r="C854" s="0" t="s">
        <v>231</v>
      </c>
      <c r="D854" s="0" t="s">
        <v>522</v>
      </c>
      <c r="E854" s="0" t="s">
        <v>362</v>
      </c>
      <c r="F854" s="0" t="n">
        <v>0.5</v>
      </c>
      <c r="G854" s="0" t="n">
        <v>7.6</v>
      </c>
      <c r="H854" s="0" t="n">
        <v>3.8</v>
      </c>
      <c r="I854" s="0" t="n">
        <f aca="false">IF(ABS(ROUND(F854*G854,2)-H854)&lt;=0.01,1,0)</f>
        <v>1</v>
      </c>
      <c r="J854" s="0" t="n">
        <v>0</v>
      </c>
    </row>
    <row r="855" customFormat="false" ht="15" hidden="false" customHeight="false" outlineLevel="0" collapsed="false">
      <c r="A855" s="0" t="s">
        <v>230</v>
      </c>
      <c r="B855" s="0" t="s">
        <v>136</v>
      </c>
      <c r="C855" s="0" t="s">
        <v>231</v>
      </c>
      <c r="D855" s="0" t="s">
        <v>522</v>
      </c>
      <c r="E855" s="0" t="s">
        <v>692</v>
      </c>
      <c r="F855" s="0" t="n">
        <v>0.5</v>
      </c>
      <c r="G855" s="0" t="n">
        <v>3.9</v>
      </c>
      <c r="H855" s="0" t="n">
        <v>1.95</v>
      </c>
      <c r="I855" s="0" t="n">
        <f aca="false">IF(ABS(ROUND(F855*G855,2)-H855)&lt;=0.01,1,0)</f>
        <v>1</v>
      </c>
      <c r="J855" s="0" t="n">
        <v>0</v>
      </c>
    </row>
    <row r="856" customFormat="false" ht="15" hidden="false" customHeight="false" outlineLevel="0" collapsed="false">
      <c r="A856" s="0" t="s">
        <v>230</v>
      </c>
      <c r="B856" s="0" t="s">
        <v>136</v>
      </c>
      <c r="C856" s="0" t="s">
        <v>231</v>
      </c>
      <c r="D856" s="0" t="s">
        <v>522</v>
      </c>
      <c r="E856" s="0" t="s">
        <v>634</v>
      </c>
      <c r="F856" s="0" t="n">
        <v>0.5</v>
      </c>
      <c r="G856" s="0" t="n">
        <v>4</v>
      </c>
      <c r="H856" s="0" t="n">
        <v>2</v>
      </c>
      <c r="I856" s="0" t="n">
        <f aca="false">IF(ABS(ROUND(F856*G856,2)-H856)&lt;=0.01,1,0)</f>
        <v>1</v>
      </c>
      <c r="J856" s="0" t="n">
        <v>0</v>
      </c>
    </row>
    <row r="857" customFormat="false" ht="15" hidden="false" customHeight="false" outlineLevel="0" collapsed="false">
      <c r="A857" s="0" t="s">
        <v>230</v>
      </c>
      <c r="B857" s="0" t="s">
        <v>136</v>
      </c>
      <c r="C857" s="0" t="s">
        <v>231</v>
      </c>
      <c r="D857" s="0" t="s">
        <v>522</v>
      </c>
      <c r="E857" s="0" t="s">
        <v>613</v>
      </c>
      <c r="F857" s="0" t="n">
        <v>1</v>
      </c>
      <c r="G857" s="0" t="n">
        <v>25.9</v>
      </c>
      <c r="H857" s="0" t="n">
        <v>25.9</v>
      </c>
      <c r="I857" s="0" t="n">
        <f aca="false">IF(ABS(ROUND(F857*G857,2)-H857)&lt;=0.01,1,0)</f>
        <v>1</v>
      </c>
      <c r="J857" s="0" t="n">
        <v>0</v>
      </c>
    </row>
    <row r="858" customFormat="false" ht="15" hidden="false" customHeight="false" outlineLevel="0" collapsed="false">
      <c r="A858" s="0" t="s">
        <v>230</v>
      </c>
      <c r="B858" s="0" t="s">
        <v>136</v>
      </c>
      <c r="C858" s="0" t="s">
        <v>231</v>
      </c>
      <c r="D858" s="0" t="s">
        <v>522</v>
      </c>
      <c r="E858" s="0" t="s">
        <v>387</v>
      </c>
      <c r="F858" s="0" t="n">
        <v>0.5</v>
      </c>
      <c r="G858" s="0" t="n">
        <v>8.9</v>
      </c>
      <c r="H858" s="0" t="n">
        <v>4.45</v>
      </c>
      <c r="I858" s="0" t="n">
        <f aca="false">IF(ABS(ROUND(F858*G858,2)-H858)&lt;=0.01,1,0)</f>
        <v>1</v>
      </c>
      <c r="J858" s="0" t="n">
        <v>0</v>
      </c>
    </row>
    <row r="859" customFormat="false" ht="15" hidden="false" customHeight="false" outlineLevel="0" collapsed="false">
      <c r="A859" s="0" t="s">
        <v>230</v>
      </c>
      <c r="B859" s="0" t="s">
        <v>136</v>
      </c>
      <c r="C859" s="0" t="s">
        <v>231</v>
      </c>
      <c r="D859" s="0" t="s">
        <v>522</v>
      </c>
      <c r="E859" s="0" t="s">
        <v>615</v>
      </c>
      <c r="F859" s="0" t="n">
        <v>0.5</v>
      </c>
      <c r="G859" s="0" t="n">
        <v>3.9</v>
      </c>
      <c r="H859" s="0" t="n">
        <v>1.95</v>
      </c>
      <c r="I859" s="0" t="n">
        <f aca="false">IF(ABS(ROUND(F859*G859,2)-H859)&lt;=0.01,1,0)</f>
        <v>1</v>
      </c>
      <c r="J859" s="0" t="n">
        <v>0</v>
      </c>
    </row>
    <row r="860" customFormat="false" ht="15" hidden="false" customHeight="false" outlineLevel="0" collapsed="false">
      <c r="A860" s="0" t="s">
        <v>230</v>
      </c>
      <c r="B860" s="0" t="s">
        <v>136</v>
      </c>
      <c r="C860" s="0" t="s">
        <v>231</v>
      </c>
      <c r="D860" s="0" t="s">
        <v>522</v>
      </c>
      <c r="E860" s="0" t="s">
        <v>406</v>
      </c>
      <c r="F860" s="0" t="n">
        <v>0.5</v>
      </c>
      <c r="G860" s="0" t="n">
        <v>18.6</v>
      </c>
      <c r="H860" s="0" t="n">
        <v>9.3</v>
      </c>
      <c r="I860" s="0" t="n">
        <f aca="false">IF(ABS(ROUND(F860*G860,2)-H860)&lt;=0.01,1,0)</f>
        <v>1</v>
      </c>
      <c r="J860" s="0" t="n">
        <v>1</v>
      </c>
    </row>
    <row r="861" customFormat="false" ht="15" hidden="false" customHeight="false" outlineLevel="0" collapsed="false">
      <c r="A861" s="0" t="s">
        <v>230</v>
      </c>
      <c r="B861" s="0" t="s">
        <v>136</v>
      </c>
      <c r="C861" s="0" t="s">
        <v>231</v>
      </c>
      <c r="D861" s="0" t="s">
        <v>522</v>
      </c>
      <c r="E861" s="0" t="s">
        <v>427</v>
      </c>
      <c r="F861" s="0" t="n">
        <v>0.5</v>
      </c>
      <c r="G861" s="0" t="n">
        <v>27.8</v>
      </c>
      <c r="H861" s="0" t="n">
        <v>13.9</v>
      </c>
      <c r="I861" s="0" t="n">
        <f aca="false">IF(ABS(ROUND(F861*G861,2)-H861)&lt;=0.01,1,0)</f>
        <v>1</v>
      </c>
      <c r="J861" s="0" t="n">
        <v>0</v>
      </c>
    </row>
    <row r="862" customFormat="false" ht="15" hidden="false" customHeight="false" outlineLevel="0" collapsed="false">
      <c r="A862" s="0" t="s">
        <v>230</v>
      </c>
      <c r="B862" s="0" t="s">
        <v>136</v>
      </c>
      <c r="C862" s="0" t="s">
        <v>231</v>
      </c>
      <c r="D862" s="0" t="s">
        <v>522</v>
      </c>
      <c r="E862" s="0" t="s">
        <v>366</v>
      </c>
      <c r="F862" s="0" t="n">
        <v>2</v>
      </c>
      <c r="G862" s="0" t="n">
        <v>2.2</v>
      </c>
      <c r="H862" s="0" t="n">
        <v>4.4</v>
      </c>
      <c r="I862" s="0" t="n">
        <f aca="false">IF(ABS(ROUND(F862*G862,2)-H862)&lt;=0.01,1,0)</f>
        <v>1</v>
      </c>
      <c r="J862" s="0" t="n">
        <v>0</v>
      </c>
    </row>
    <row r="863" customFormat="false" ht="15" hidden="false" customHeight="false" outlineLevel="0" collapsed="false">
      <c r="A863" s="0" t="s">
        <v>230</v>
      </c>
      <c r="B863" s="0" t="s">
        <v>136</v>
      </c>
      <c r="C863" s="0" t="s">
        <v>231</v>
      </c>
      <c r="D863" s="0" t="s">
        <v>512</v>
      </c>
      <c r="E863" s="0" t="s">
        <v>607</v>
      </c>
      <c r="F863" s="0" t="n">
        <v>1</v>
      </c>
      <c r="G863" s="0" t="n">
        <v>5.9</v>
      </c>
      <c r="H863" s="0" t="n">
        <v>5.9</v>
      </c>
      <c r="I863" s="0" t="n">
        <f aca="false">IF(ABS(ROUND(F863*G863,2)-H863)&lt;=0.01,1,0)</f>
        <v>1</v>
      </c>
      <c r="J863" s="0" t="n">
        <v>0</v>
      </c>
    </row>
    <row r="864" customFormat="false" ht="15" hidden="false" customHeight="false" outlineLevel="0" collapsed="false">
      <c r="A864" s="0" t="s">
        <v>230</v>
      </c>
      <c r="B864" s="0" t="s">
        <v>136</v>
      </c>
      <c r="C864" s="0" t="s">
        <v>231</v>
      </c>
      <c r="D864" s="0" t="s">
        <v>512</v>
      </c>
      <c r="E864" s="0" t="s">
        <v>382</v>
      </c>
      <c r="F864" s="0" t="n">
        <v>0.5</v>
      </c>
      <c r="G864" s="0" t="n">
        <v>4.2</v>
      </c>
      <c r="H864" s="0" t="n">
        <v>2.1</v>
      </c>
      <c r="I864" s="0" t="n">
        <f aca="false">IF(ABS(ROUND(F864*G864,2)-H864)&lt;=0.01,1,0)</f>
        <v>1</v>
      </c>
      <c r="J864" s="0" t="n">
        <v>1</v>
      </c>
    </row>
    <row r="865" customFormat="false" ht="15" hidden="false" customHeight="false" outlineLevel="0" collapsed="false">
      <c r="A865" s="0" t="s">
        <v>230</v>
      </c>
      <c r="B865" s="0" t="s">
        <v>136</v>
      </c>
      <c r="C865" s="0" t="s">
        <v>231</v>
      </c>
      <c r="D865" s="0" t="s">
        <v>512</v>
      </c>
      <c r="E865" s="0" t="s">
        <v>454</v>
      </c>
      <c r="F865" s="0" t="n">
        <v>0.5</v>
      </c>
      <c r="G865" s="0" t="n">
        <v>4.2</v>
      </c>
      <c r="H865" s="0" t="n">
        <v>2.1</v>
      </c>
      <c r="I865" s="0" t="n">
        <f aca="false">IF(ABS(ROUND(F865*G865,2)-H865)&lt;=0.01,1,0)</f>
        <v>1</v>
      </c>
      <c r="J865" s="0" t="n">
        <v>1</v>
      </c>
    </row>
    <row r="866" customFormat="false" ht="15" hidden="false" customHeight="false" outlineLevel="0" collapsed="false">
      <c r="A866" s="0" t="s">
        <v>230</v>
      </c>
      <c r="B866" s="0" t="s">
        <v>136</v>
      </c>
      <c r="C866" s="0" t="s">
        <v>231</v>
      </c>
      <c r="D866" s="0" t="s">
        <v>512</v>
      </c>
      <c r="E866" s="0" t="s">
        <v>362</v>
      </c>
      <c r="F866" s="0" t="n">
        <v>0.5</v>
      </c>
      <c r="G866" s="0" t="n">
        <v>7.6</v>
      </c>
      <c r="H866" s="0" t="n">
        <v>3.8</v>
      </c>
      <c r="I866" s="0" t="n">
        <f aca="false">IF(ABS(ROUND(F866*G866,2)-H866)&lt;=0.01,1,0)</f>
        <v>1</v>
      </c>
      <c r="J866" s="0" t="n">
        <v>0</v>
      </c>
    </row>
    <row r="867" customFormat="false" ht="15" hidden="false" customHeight="false" outlineLevel="0" collapsed="false">
      <c r="A867" s="0" t="s">
        <v>230</v>
      </c>
      <c r="B867" s="0" t="s">
        <v>136</v>
      </c>
      <c r="C867" s="0" t="s">
        <v>231</v>
      </c>
      <c r="D867" s="0" t="s">
        <v>512</v>
      </c>
      <c r="E867" s="0" t="s">
        <v>692</v>
      </c>
      <c r="F867" s="0" t="n">
        <v>0.5</v>
      </c>
      <c r="G867" s="0" t="n">
        <v>3.9</v>
      </c>
      <c r="H867" s="0" t="n">
        <v>1.95</v>
      </c>
      <c r="I867" s="0" t="n">
        <f aca="false">IF(ABS(ROUND(F867*G867,2)-H867)&lt;=0.01,1,0)</f>
        <v>1</v>
      </c>
      <c r="J867" s="0" t="n">
        <v>0</v>
      </c>
    </row>
    <row r="868" customFormat="false" ht="15" hidden="false" customHeight="false" outlineLevel="0" collapsed="false">
      <c r="A868" s="0" t="s">
        <v>230</v>
      </c>
      <c r="B868" s="0" t="s">
        <v>136</v>
      </c>
      <c r="C868" s="0" t="s">
        <v>231</v>
      </c>
      <c r="D868" s="0" t="s">
        <v>512</v>
      </c>
      <c r="E868" s="0" t="s">
        <v>634</v>
      </c>
      <c r="F868" s="0" t="n">
        <v>0.5</v>
      </c>
      <c r="G868" s="0" t="n">
        <v>4</v>
      </c>
      <c r="H868" s="0" t="n">
        <v>2</v>
      </c>
      <c r="I868" s="0" t="n">
        <f aca="false">IF(ABS(ROUND(F868*G868,2)-H868)&lt;=0.01,1,0)</f>
        <v>1</v>
      </c>
      <c r="J868" s="0" t="n">
        <v>0</v>
      </c>
    </row>
    <row r="869" customFormat="false" ht="15" hidden="false" customHeight="false" outlineLevel="0" collapsed="false">
      <c r="A869" s="0" t="s">
        <v>230</v>
      </c>
      <c r="B869" s="0" t="s">
        <v>136</v>
      </c>
      <c r="C869" s="0" t="s">
        <v>231</v>
      </c>
      <c r="D869" s="0" t="s">
        <v>512</v>
      </c>
      <c r="E869" s="0" t="s">
        <v>613</v>
      </c>
      <c r="F869" s="0" t="n">
        <v>1</v>
      </c>
      <c r="G869" s="0" t="n">
        <v>25.9</v>
      </c>
      <c r="H869" s="0" t="n">
        <v>25.9</v>
      </c>
      <c r="I869" s="0" t="n">
        <f aca="false">IF(ABS(ROUND(F869*G869,2)-H869)&lt;=0.01,1,0)</f>
        <v>1</v>
      </c>
      <c r="J869" s="0" t="n">
        <v>0</v>
      </c>
    </row>
    <row r="870" customFormat="false" ht="15" hidden="false" customHeight="false" outlineLevel="0" collapsed="false">
      <c r="A870" s="0" t="s">
        <v>230</v>
      </c>
      <c r="B870" s="0" t="s">
        <v>136</v>
      </c>
      <c r="C870" s="0" t="s">
        <v>231</v>
      </c>
      <c r="D870" s="0" t="s">
        <v>512</v>
      </c>
      <c r="E870" s="0" t="s">
        <v>387</v>
      </c>
      <c r="F870" s="0" t="n">
        <v>0.5</v>
      </c>
      <c r="G870" s="0" t="n">
        <v>8.9</v>
      </c>
      <c r="H870" s="0" t="n">
        <v>4.45</v>
      </c>
      <c r="I870" s="0" t="n">
        <f aca="false">IF(ABS(ROUND(F870*G870,2)-H870)&lt;=0.01,1,0)</f>
        <v>1</v>
      </c>
      <c r="J870" s="0" t="n">
        <v>0</v>
      </c>
    </row>
    <row r="871" customFormat="false" ht="15" hidden="false" customHeight="false" outlineLevel="0" collapsed="false">
      <c r="A871" s="0" t="s">
        <v>230</v>
      </c>
      <c r="B871" s="0" t="s">
        <v>136</v>
      </c>
      <c r="C871" s="0" t="s">
        <v>231</v>
      </c>
      <c r="D871" s="0" t="s">
        <v>512</v>
      </c>
      <c r="E871" s="0" t="s">
        <v>615</v>
      </c>
      <c r="F871" s="0" t="n">
        <v>0.5</v>
      </c>
      <c r="G871" s="0" t="n">
        <v>3.9</v>
      </c>
      <c r="H871" s="0" t="n">
        <v>1.95</v>
      </c>
      <c r="I871" s="0" t="n">
        <f aca="false">IF(ABS(ROUND(F871*G871,2)-H871)&lt;=0.01,1,0)</f>
        <v>1</v>
      </c>
      <c r="J871" s="0" t="n">
        <v>0</v>
      </c>
    </row>
    <row r="872" customFormat="false" ht="15" hidden="false" customHeight="false" outlineLevel="0" collapsed="false">
      <c r="A872" s="0" t="s">
        <v>230</v>
      </c>
      <c r="B872" s="0" t="s">
        <v>136</v>
      </c>
      <c r="C872" s="0" t="s">
        <v>231</v>
      </c>
      <c r="D872" s="0" t="s">
        <v>512</v>
      </c>
      <c r="E872" s="0" t="s">
        <v>406</v>
      </c>
      <c r="F872" s="0" t="n">
        <v>0.5</v>
      </c>
      <c r="G872" s="0" t="n">
        <v>18.6</v>
      </c>
      <c r="H872" s="0" t="n">
        <v>9.3</v>
      </c>
      <c r="I872" s="0" t="n">
        <f aca="false">IF(ABS(ROUND(F872*G872,2)-H872)&lt;=0.01,1,0)</f>
        <v>1</v>
      </c>
      <c r="J872" s="0" t="n">
        <v>1</v>
      </c>
    </row>
    <row r="873" customFormat="false" ht="15" hidden="false" customHeight="false" outlineLevel="0" collapsed="false">
      <c r="A873" s="0" t="s">
        <v>230</v>
      </c>
      <c r="B873" s="0" t="s">
        <v>136</v>
      </c>
      <c r="C873" s="0" t="s">
        <v>231</v>
      </c>
      <c r="D873" s="0" t="s">
        <v>512</v>
      </c>
      <c r="E873" s="0" t="s">
        <v>427</v>
      </c>
      <c r="F873" s="0" t="n">
        <v>0.5</v>
      </c>
      <c r="G873" s="0" t="n">
        <v>27.8</v>
      </c>
      <c r="H873" s="0" t="n">
        <v>13.9</v>
      </c>
      <c r="I873" s="0" t="n">
        <f aca="false">IF(ABS(ROUND(F873*G873,2)-H873)&lt;=0.01,1,0)</f>
        <v>1</v>
      </c>
      <c r="J873" s="0" t="n">
        <v>0</v>
      </c>
    </row>
    <row r="874" customFormat="false" ht="15" hidden="false" customHeight="false" outlineLevel="0" collapsed="false">
      <c r="A874" s="0" t="s">
        <v>230</v>
      </c>
      <c r="B874" s="0" t="s">
        <v>136</v>
      </c>
      <c r="C874" s="0" t="s">
        <v>231</v>
      </c>
      <c r="D874" s="0" t="s">
        <v>512</v>
      </c>
      <c r="E874" s="0" t="s">
        <v>366</v>
      </c>
      <c r="F874" s="0" t="n">
        <v>2</v>
      </c>
      <c r="G874" s="0" t="n">
        <v>2.2</v>
      </c>
      <c r="H874" s="0" t="n">
        <v>4.4</v>
      </c>
      <c r="I874" s="0" t="n">
        <f aca="false">IF(ABS(ROUND(F874*G874,2)-H874)&lt;=0.01,1,0)</f>
        <v>1</v>
      </c>
      <c r="J874" s="0" t="n">
        <v>0</v>
      </c>
    </row>
    <row r="875" customFormat="false" ht="15" hidden="false" customHeight="false" outlineLevel="0" collapsed="false">
      <c r="A875" s="0" t="s">
        <v>233</v>
      </c>
      <c r="B875" s="0" t="s">
        <v>136</v>
      </c>
      <c r="C875" s="0" t="s">
        <v>133</v>
      </c>
      <c r="D875" s="0" t="s">
        <v>505</v>
      </c>
      <c r="E875" s="0" t="s">
        <v>344</v>
      </c>
      <c r="F875" s="0" t="n">
        <v>0.5</v>
      </c>
      <c r="G875" s="0" t="n">
        <v>8</v>
      </c>
      <c r="H875" s="0" t="n">
        <v>4</v>
      </c>
      <c r="I875" s="0" t="n">
        <f aca="false">IF(ABS(ROUND(F875*G875,2)-H875)&lt;=0.01,1,0)</f>
        <v>1</v>
      </c>
      <c r="J875" s="0" t="n">
        <v>0</v>
      </c>
    </row>
    <row r="876" customFormat="false" ht="15" hidden="false" customHeight="false" outlineLevel="0" collapsed="false">
      <c r="A876" s="0" t="s">
        <v>233</v>
      </c>
      <c r="B876" s="0" t="s">
        <v>136</v>
      </c>
      <c r="C876" s="0" t="s">
        <v>133</v>
      </c>
      <c r="D876" s="0" t="s">
        <v>505</v>
      </c>
      <c r="E876" s="0" t="s">
        <v>464</v>
      </c>
      <c r="F876" s="0" t="n">
        <v>0.5</v>
      </c>
      <c r="G876" s="0" t="n">
        <v>9</v>
      </c>
      <c r="H876" s="0" t="n">
        <v>4.5</v>
      </c>
      <c r="I876" s="0" t="n">
        <f aca="false">IF(ABS(ROUND(F876*G876,2)-H876)&lt;=0.01,1,0)</f>
        <v>1</v>
      </c>
      <c r="J876" s="0" t="n">
        <v>1</v>
      </c>
    </row>
    <row r="877" customFormat="false" ht="15" hidden="false" customHeight="false" outlineLevel="0" collapsed="false">
      <c r="A877" s="0" t="s">
        <v>233</v>
      </c>
      <c r="B877" s="0" t="s">
        <v>136</v>
      </c>
      <c r="C877" s="0" t="s">
        <v>133</v>
      </c>
      <c r="D877" s="0" t="s">
        <v>505</v>
      </c>
      <c r="E877" s="0" t="s">
        <v>444</v>
      </c>
      <c r="F877" s="0" t="n">
        <v>0.5</v>
      </c>
      <c r="G877" s="0" t="n">
        <v>3.9</v>
      </c>
      <c r="H877" s="0" t="n">
        <v>1.95</v>
      </c>
      <c r="I877" s="0" t="n">
        <f aca="false">IF(ABS(ROUND(F877*G877,2)-H877)&lt;=0.01,1,0)</f>
        <v>1</v>
      </c>
      <c r="J877" s="0" t="n">
        <v>1</v>
      </c>
    </row>
    <row r="878" customFormat="false" ht="15" hidden="false" customHeight="false" outlineLevel="0" collapsed="false">
      <c r="A878" s="0" t="s">
        <v>233</v>
      </c>
      <c r="B878" s="0" t="s">
        <v>136</v>
      </c>
      <c r="C878" s="0" t="s">
        <v>133</v>
      </c>
      <c r="D878" s="0" t="s">
        <v>505</v>
      </c>
      <c r="E878" s="0" t="s">
        <v>660</v>
      </c>
      <c r="F878" s="0" t="n">
        <v>0.5</v>
      </c>
      <c r="G878" s="0" t="n">
        <v>6.1</v>
      </c>
      <c r="H878" s="0" t="n">
        <v>3.05</v>
      </c>
      <c r="I878" s="0" t="n">
        <f aca="false">IF(ABS(ROUND(F878*G878,2)-H878)&lt;=0.01,1,0)</f>
        <v>1</v>
      </c>
      <c r="J878" s="0" t="n">
        <v>0</v>
      </c>
    </row>
    <row r="879" customFormat="false" ht="15" hidden="false" customHeight="false" outlineLevel="0" collapsed="false">
      <c r="A879" s="0" t="s">
        <v>233</v>
      </c>
      <c r="B879" s="0" t="s">
        <v>136</v>
      </c>
      <c r="C879" s="0" t="s">
        <v>133</v>
      </c>
      <c r="D879" s="0" t="s">
        <v>505</v>
      </c>
      <c r="E879" s="0" t="s">
        <v>419</v>
      </c>
      <c r="F879" s="0" t="n">
        <v>0.5</v>
      </c>
      <c r="G879" s="0" t="n">
        <v>8.9</v>
      </c>
      <c r="H879" s="0" t="n">
        <v>4.45</v>
      </c>
      <c r="I879" s="0" t="n">
        <f aca="false">IF(ABS(ROUND(F879*G879,2)-H879)&lt;=0.01,1,0)</f>
        <v>1</v>
      </c>
      <c r="J879" s="0" t="n">
        <v>0</v>
      </c>
    </row>
    <row r="880" customFormat="false" ht="15" hidden="false" customHeight="false" outlineLevel="0" collapsed="false">
      <c r="A880" s="0" t="s">
        <v>233</v>
      </c>
      <c r="B880" s="0" t="s">
        <v>136</v>
      </c>
      <c r="C880" s="0" t="s">
        <v>133</v>
      </c>
      <c r="D880" s="0" t="s">
        <v>505</v>
      </c>
      <c r="E880" s="0" t="s">
        <v>693</v>
      </c>
      <c r="F880" s="0" t="n">
        <v>0.5</v>
      </c>
      <c r="G880" s="0" t="n">
        <v>14</v>
      </c>
      <c r="H880" s="0" t="n">
        <v>7</v>
      </c>
      <c r="I880" s="0" t="n">
        <f aca="false">IF(ABS(ROUND(F880*G880,2)-H880)&lt;=0.01,1,0)</f>
        <v>1</v>
      </c>
      <c r="J880" s="0" t="n">
        <v>0</v>
      </c>
    </row>
    <row r="881" customFormat="false" ht="15" hidden="false" customHeight="false" outlineLevel="0" collapsed="false">
      <c r="A881" s="0" t="s">
        <v>233</v>
      </c>
      <c r="B881" s="0" t="s">
        <v>136</v>
      </c>
      <c r="C881" s="0" t="s">
        <v>133</v>
      </c>
      <c r="D881" s="0" t="s">
        <v>505</v>
      </c>
      <c r="E881" s="0" t="s">
        <v>656</v>
      </c>
      <c r="F881" s="0" t="n">
        <v>0.5</v>
      </c>
      <c r="G881" s="0" t="n">
        <v>0.9</v>
      </c>
      <c r="H881" s="0" t="n">
        <v>0.45</v>
      </c>
      <c r="I881" s="0" t="n">
        <f aca="false">IF(ABS(ROUND(F881*G881,2)-H881)&lt;=0.01,1,0)</f>
        <v>1</v>
      </c>
      <c r="J881" s="0" t="n">
        <v>0</v>
      </c>
    </row>
    <row r="882" customFormat="false" ht="15" hidden="false" customHeight="false" outlineLevel="0" collapsed="false">
      <c r="A882" s="0" t="s">
        <v>233</v>
      </c>
      <c r="B882" s="0" t="s">
        <v>136</v>
      </c>
      <c r="C882" s="0" t="s">
        <v>133</v>
      </c>
      <c r="D882" s="0" t="s">
        <v>505</v>
      </c>
      <c r="E882" s="0" t="s">
        <v>589</v>
      </c>
      <c r="F882" s="0" t="n">
        <v>0.5</v>
      </c>
      <c r="G882" s="0" t="n">
        <v>17.4</v>
      </c>
      <c r="H882" s="0" t="n">
        <v>8.7</v>
      </c>
      <c r="I882" s="0" t="n">
        <f aca="false">IF(ABS(ROUND(F882*G882,2)-H882)&lt;=0.01,1,0)</f>
        <v>1</v>
      </c>
      <c r="J882" s="0" t="n">
        <v>0</v>
      </c>
    </row>
    <row r="883" customFormat="false" ht="15" hidden="false" customHeight="false" outlineLevel="0" collapsed="false">
      <c r="A883" s="0" t="s">
        <v>233</v>
      </c>
      <c r="B883" s="0" t="s">
        <v>136</v>
      </c>
      <c r="C883" s="0" t="s">
        <v>133</v>
      </c>
      <c r="D883" s="0" t="s">
        <v>505</v>
      </c>
      <c r="E883" s="0" t="s">
        <v>591</v>
      </c>
      <c r="F883" s="0" t="n">
        <v>1</v>
      </c>
      <c r="G883" s="0" t="n">
        <v>3.9</v>
      </c>
      <c r="H883" s="0" t="n">
        <v>3.9</v>
      </c>
      <c r="I883" s="0" t="n">
        <f aca="false">IF(ABS(ROUND(F883*G883,2)-H883)&lt;=0.01,1,0)</f>
        <v>1</v>
      </c>
      <c r="J883" s="0" t="n">
        <v>0</v>
      </c>
    </row>
    <row r="884" customFormat="false" ht="15" hidden="false" customHeight="false" outlineLevel="0" collapsed="false">
      <c r="A884" s="0" t="s">
        <v>233</v>
      </c>
      <c r="B884" s="0" t="s">
        <v>136</v>
      </c>
      <c r="C884" s="0" t="s">
        <v>133</v>
      </c>
      <c r="D884" s="0" t="s">
        <v>505</v>
      </c>
      <c r="E884" s="0" t="s">
        <v>463</v>
      </c>
      <c r="F884" s="0" t="n">
        <v>0.5</v>
      </c>
      <c r="G884" s="0" t="n">
        <v>7.9</v>
      </c>
      <c r="H884" s="0" t="n">
        <v>3.95</v>
      </c>
      <c r="I884" s="0" t="n">
        <f aca="false">IF(ABS(ROUND(F884*G884,2)-H884)&lt;=0.01,1,0)</f>
        <v>1</v>
      </c>
      <c r="J884" s="0" t="n">
        <v>1</v>
      </c>
    </row>
    <row r="885" customFormat="false" ht="15" hidden="false" customHeight="false" outlineLevel="0" collapsed="false">
      <c r="A885" s="0" t="s">
        <v>233</v>
      </c>
      <c r="B885" s="0" t="s">
        <v>136</v>
      </c>
      <c r="C885" s="0" t="s">
        <v>133</v>
      </c>
      <c r="D885" s="0" t="s">
        <v>505</v>
      </c>
      <c r="E885" s="0" t="s">
        <v>669</v>
      </c>
      <c r="F885" s="0" t="n">
        <v>0.5</v>
      </c>
      <c r="G885" s="0" t="n">
        <v>3.5</v>
      </c>
      <c r="H885" s="0" t="n">
        <v>1.75</v>
      </c>
      <c r="I885" s="0" t="n">
        <f aca="false">IF(ABS(ROUND(F885*G885,2)-H885)&lt;=0.01,1,0)</f>
        <v>1</v>
      </c>
      <c r="J885" s="0" t="n">
        <v>1</v>
      </c>
    </row>
    <row r="886" customFormat="false" ht="15" hidden="false" customHeight="false" outlineLevel="0" collapsed="false">
      <c r="A886" s="0" t="s">
        <v>233</v>
      </c>
      <c r="B886" s="0" t="s">
        <v>136</v>
      </c>
      <c r="C886" s="0" t="s">
        <v>133</v>
      </c>
      <c r="D886" s="0" t="s">
        <v>505</v>
      </c>
      <c r="E886" s="0" t="s">
        <v>627</v>
      </c>
      <c r="F886" s="0" t="n">
        <v>0.5</v>
      </c>
      <c r="G886" s="0" t="n">
        <v>3.2</v>
      </c>
      <c r="H886" s="0" t="n">
        <v>1.6</v>
      </c>
      <c r="I886" s="0" t="n">
        <f aca="false">IF(ABS(ROUND(F886*G886,2)-H886)&lt;=0.01,1,0)</f>
        <v>1</v>
      </c>
      <c r="J886" s="0" t="n">
        <v>0</v>
      </c>
    </row>
    <row r="887" customFormat="false" ht="15" hidden="false" customHeight="false" outlineLevel="0" collapsed="false">
      <c r="A887" s="0" t="s">
        <v>233</v>
      </c>
      <c r="B887" s="0" t="s">
        <v>136</v>
      </c>
      <c r="C887" s="0" t="s">
        <v>133</v>
      </c>
      <c r="D887" s="0" t="s">
        <v>505</v>
      </c>
      <c r="E887" s="0" t="s">
        <v>694</v>
      </c>
      <c r="F887" s="0" t="n">
        <v>0.5</v>
      </c>
      <c r="G887" s="0" t="n">
        <v>7.1</v>
      </c>
      <c r="H887" s="0" t="n">
        <v>3.55</v>
      </c>
      <c r="I887" s="0" t="n">
        <f aca="false">IF(ABS(ROUND(F887*G887,2)-H887)&lt;=0.01,1,0)</f>
        <v>1</v>
      </c>
      <c r="J887" s="0" t="n">
        <v>0</v>
      </c>
    </row>
    <row r="888" customFormat="false" ht="15" hidden="false" customHeight="false" outlineLevel="0" collapsed="false">
      <c r="A888" s="0" t="s">
        <v>233</v>
      </c>
      <c r="B888" s="0" t="s">
        <v>136</v>
      </c>
      <c r="C888" s="0" t="s">
        <v>133</v>
      </c>
      <c r="D888" s="0" t="s">
        <v>505</v>
      </c>
      <c r="E888" s="0" t="s">
        <v>672</v>
      </c>
      <c r="F888" s="0" t="n">
        <v>0.5</v>
      </c>
      <c r="G888" s="0" t="n">
        <v>3.5</v>
      </c>
      <c r="H888" s="0" t="n">
        <v>1.75</v>
      </c>
      <c r="I888" s="0" t="n">
        <f aca="false">IF(ABS(ROUND(F888*G888,2)-H888)&lt;=0.01,1,0)</f>
        <v>1</v>
      </c>
      <c r="J888" s="0" t="n">
        <v>1</v>
      </c>
    </row>
    <row r="889" customFormat="false" ht="15" hidden="false" customHeight="false" outlineLevel="0" collapsed="false">
      <c r="A889" s="0" t="s">
        <v>233</v>
      </c>
      <c r="B889" s="0" t="s">
        <v>136</v>
      </c>
      <c r="C889" s="0" t="s">
        <v>133</v>
      </c>
      <c r="D889" s="0" t="s">
        <v>505</v>
      </c>
      <c r="E889" s="0" t="s">
        <v>642</v>
      </c>
      <c r="F889" s="0" t="n">
        <v>0.5</v>
      </c>
      <c r="G889" s="0" t="n">
        <v>4.9</v>
      </c>
      <c r="H889" s="0" t="n">
        <v>2.45</v>
      </c>
      <c r="I889" s="0" t="n">
        <f aca="false">IF(ABS(ROUND(F889*G889,2)-H889)&lt;=0.01,1,0)</f>
        <v>1</v>
      </c>
      <c r="J889" s="0" t="n">
        <v>0</v>
      </c>
    </row>
    <row r="890" customFormat="false" ht="15" hidden="false" customHeight="false" outlineLevel="0" collapsed="false">
      <c r="A890" s="0" t="s">
        <v>233</v>
      </c>
      <c r="B890" s="0" t="s">
        <v>136</v>
      </c>
      <c r="C890" s="0" t="s">
        <v>133</v>
      </c>
      <c r="D890" s="0" t="s">
        <v>500</v>
      </c>
      <c r="E890" s="0" t="s">
        <v>344</v>
      </c>
      <c r="F890" s="0" t="n">
        <v>0.5</v>
      </c>
      <c r="G890" s="0" t="n">
        <v>8</v>
      </c>
      <c r="H890" s="0" t="n">
        <v>4</v>
      </c>
      <c r="I890" s="0" t="n">
        <f aca="false">IF(ABS(ROUND(F890*G890,2)-H890)&lt;=0.01,1,0)</f>
        <v>1</v>
      </c>
      <c r="J890" s="0" t="n">
        <v>0</v>
      </c>
    </row>
    <row r="891" customFormat="false" ht="15" hidden="false" customHeight="false" outlineLevel="0" collapsed="false">
      <c r="A891" s="0" t="s">
        <v>233</v>
      </c>
      <c r="B891" s="0" t="s">
        <v>136</v>
      </c>
      <c r="C891" s="0" t="s">
        <v>133</v>
      </c>
      <c r="D891" s="0" t="s">
        <v>500</v>
      </c>
      <c r="E891" s="0" t="s">
        <v>464</v>
      </c>
      <c r="F891" s="0" t="n">
        <v>0.5</v>
      </c>
      <c r="G891" s="0" t="n">
        <v>9</v>
      </c>
      <c r="H891" s="0" t="n">
        <v>4.5</v>
      </c>
      <c r="I891" s="0" t="n">
        <f aca="false">IF(ABS(ROUND(F891*G891,2)-H891)&lt;=0.01,1,0)</f>
        <v>1</v>
      </c>
      <c r="J891" s="0" t="n">
        <v>1</v>
      </c>
    </row>
    <row r="892" customFormat="false" ht="15" hidden="false" customHeight="false" outlineLevel="0" collapsed="false">
      <c r="A892" s="0" t="s">
        <v>233</v>
      </c>
      <c r="B892" s="0" t="s">
        <v>136</v>
      </c>
      <c r="C892" s="0" t="s">
        <v>133</v>
      </c>
      <c r="D892" s="0" t="s">
        <v>500</v>
      </c>
      <c r="E892" s="0" t="s">
        <v>444</v>
      </c>
      <c r="F892" s="0" t="n">
        <v>0.5</v>
      </c>
      <c r="G892" s="0" t="n">
        <v>3.9</v>
      </c>
      <c r="H892" s="0" t="n">
        <v>1.95</v>
      </c>
      <c r="I892" s="0" t="n">
        <f aca="false">IF(ABS(ROUND(F892*G892,2)-H892)&lt;=0.01,1,0)</f>
        <v>1</v>
      </c>
      <c r="J892" s="0" t="n">
        <v>1</v>
      </c>
    </row>
    <row r="893" customFormat="false" ht="15" hidden="false" customHeight="false" outlineLevel="0" collapsed="false">
      <c r="A893" s="0" t="s">
        <v>233</v>
      </c>
      <c r="B893" s="0" t="s">
        <v>136</v>
      </c>
      <c r="C893" s="0" t="s">
        <v>133</v>
      </c>
      <c r="D893" s="0" t="s">
        <v>500</v>
      </c>
      <c r="E893" s="0" t="s">
        <v>660</v>
      </c>
      <c r="F893" s="0" t="n">
        <v>0.5</v>
      </c>
      <c r="G893" s="0" t="n">
        <v>6.1</v>
      </c>
      <c r="H893" s="0" t="n">
        <v>3.05</v>
      </c>
      <c r="I893" s="0" t="n">
        <f aca="false">IF(ABS(ROUND(F893*G893,2)-H893)&lt;=0.01,1,0)</f>
        <v>1</v>
      </c>
      <c r="J893" s="0" t="n">
        <v>0</v>
      </c>
    </row>
    <row r="894" customFormat="false" ht="15" hidden="false" customHeight="false" outlineLevel="0" collapsed="false">
      <c r="A894" s="0" t="s">
        <v>233</v>
      </c>
      <c r="B894" s="0" t="s">
        <v>136</v>
      </c>
      <c r="C894" s="0" t="s">
        <v>133</v>
      </c>
      <c r="D894" s="0" t="s">
        <v>500</v>
      </c>
      <c r="E894" s="0" t="s">
        <v>419</v>
      </c>
      <c r="F894" s="0" t="n">
        <v>0.5</v>
      </c>
      <c r="G894" s="0" t="n">
        <v>8.9</v>
      </c>
      <c r="H894" s="0" t="n">
        <v>4.45</v>
      </c>
      <c r="I894" s="0" t="n">
        <f aca="false">IF(ABS(ROUND(F894*G894,2)-H894)&lt;=0.01,1,0)</f>
        <v>1</v>
      </c>
      <c r="J894" s="0" t="n">
        <v>0</v>
      </c>
    </row>
    <row r="895" customFormat="false" ht="15" hidden="false" customHeight="false" outlineLevel="0" collapsed="false">
      <c r="A895" s="0" t="s">
        <v>233</v>
      </c>
      <c r="B895" s="0" t="s">
        <v>136</v>
      </c>
      <c r="C895" s="0" t="s">
        <v>133</v>
      </c>
      <c r="D895" s="0" t="s">
        <v>500</v>
      </c>
      <c r="E895" s="0" t="s">
        <v>693</v>
      </c>
      <c r="F895" s="0" t="n">
        <v>0.5</v>
      </c>
      <c r="G895" s="0" t="n">
        <v>14</v>
      </c>
      <c r="H895" s="0" t="n">
        <v>7</v>
      </c>
      <c r="I895" s="0" t="n">
        <f aca="false">IF(ABS(ROUND(F895*G895,2)-H895)&lt;=0.01,1,0)</f>
        <v>1</v>
      </c>
      <c r="J895" s="0" t="n">
        <v>0</v>
      </c>
    </row>
    <row r="896" customFormat="false" ht="15" hidden="false" customHeight="false" outlineLevel="0" collapsed="false">
      <c r="A896" s="0" t="s">
        <v>233</v>
      </c>
      <c r="B896" s="0" t="s">
        <v>136</v>
      </c>
      <c r="C896" s="0" t="s">
        <v>133</v>
      </c>
      <c r="D896" s="0" t="s">
        <v>500</v>
      </c>
      <c r="E896" s="0" t="s">
        <v>656</v>
      </c>
      <c r="F896" s="0" t="n">
        <v>0.5</v>
      </c>
      <c r="G896" s="0" t="n">
        <v>0.9</v>
      </c>
      <c r="H896" s="0" t="n">
        <v>0.45</v>
      </c>
      <c r="I896" s="0" t="n">
        <f aca="false">IF(ABS(ROUND(F896*G896,2)-H896)&lt;=0.01,1,0)</f>
        <v>1</v>
      </c>
      <c r="J896" s="0" t="n">
        <v>0</v>
      </c>
    </row>
    <row r="897" customFormat="false" ht="15" hidden="false" customHeight="false" outlineLevel="0" collapsed="false">
      <c r="A897" s="0" t="s">
        <v>233</v>
      </c>
      <c r="B897" s="0" t="s">
        <v>136</v>
      </c>
      <c r="C897" s="0" t="s">
        <v>133</v>
      </c>
      <c r="D897" s="0" t="s">
        <v>500</v>
      </c>
      <c r="E897" s="0" t="s">
        <v>589</v>
      </c>
      <c r="F897" s="0" t="n">
        <v>0.5</v>
      </c>
      <c r="G897" s="0" t="n">
        <v>17.4</v>
      </c>
      <c r="H897" s="0" t="n">
        <v>8.7</v>
      </c>
      <c r="I897" s="0" t="n">
        <f aca="false">IF(ABS(ROUND(F897*G897,2)-H897)&lt;=0.01,1,0)</f>
        <v>1</v>
      </c>
      <c r="J897" s="0" t="n">
        <v>0</v>
      </c>
    </row>
    <row r="898" customFormat="false" ht="15" hidden="false" customHeight="false" outlineLevel="0" collapsed="false">
      <c r="A898" s="0" t="s">
        <v>233</v>
      </c>
      <c r="B898" s="0" t="s">
        <v>136</v>
      </c>
      <c r="C898" s="0" t="s">
        <v>133</v>
      </c>
      <c r="D898" s="0" t="s">
        <v>500</v>
      </c>
      <c r="E898" s="0" t="s">
        <v>591</v>
      </c>
      <c r="F898" s="0" t="n">
        <v>1</v>
      </c>
      <c r="G898" s="0" t="n">
        <v>3.9</v>
      </c>
      <c r="H898" s="0" t="n">
        <v>3.9</v>
      </c>
      <c r="I898" s="0" t="n">
        <f aca="false">IF(ABS(ROUND(F898*G898,2)-H898)&lt;=0.01,1,0)</f>
        <v>1</v>
      </c>
      <c r="J898" s="0" t="n">
        <v>0</v>
      </c>
    </row>
    <row r="899" customFormat="false" ht="15" hidden="false" customHeight="false" outlineLevel="0" collapsed="false">
      <c r="A899" s="0" t="s">
        <v>233</v>
      </c>
      <c r="B899" s="0" t="s">
        <v>136</v>
      </c>
      <c r="C899" s="0" t="s">
        <v>133</v>
      </c>
      <c r="D899" s="0" t="s">
        <v>500</v>
      </c>
      <c r="E899" s="0" t="s">
        <v>463</v>
      </c>
      <c r="F899" s="0" t="n">
        <v>0.5</v>
      </c>
      <c r="G899" s="0" t="n">
        <v>7.9</v>
      </c>
      <c r="H899" s="0" t="n">
        <v>3.95</v>
      </c>
      <c r="I899" s="0" t="n">
        <f aca="false">IF(ABS(ROUND(F899*G899,2)-H899)&lt;=0.01,1,0)</f>
        <v>1</v>
      </c>
      <c r="J899" s="0" t="n">
        <v>1</v>
      </c>
    </row>
    <row r="900" customFormat="false" ht="15" hidden="false" customHeight="false" outlineLevel="0" collapsed="false">
      <c r="A900" s="0" t="s">
        <v>233</v>
      </c>
      <c r="B900" s="0" t="s">
        <v>136</v>
      </c>
      <c r="C900" s="0" t="s">
        <v>133</v>
      </c>
      <c r="D900" s="0" t="s">
        <v>500</v>
      </c>
      <c r="E900" s="0" t="s">
        <v>669</v>
      </c>
      <c r="F900" s="0" t="n">
        <v>0.5</v>
      </c>
      <c r="G900" s="0" t="n">
        <v>3.5</v>
      </c>
      <c r="H900" s="0" t="n">
        <v>1.75</v>
      </c>
      <c r="I900" s="0" t="n">
        <f aca="false">IF(ABS(ROUND(F900*G900,2)-H900)&lt;=0.01,1,0)</f>
        <v>1</v>
      </c>
      <c r="J900" s="0" t="n">
        <v>1</v>
      </c>
    </row>
    <row r="901" customFormat="false" ht="15" hidden="false" customHeight="false" outlineLevel="0" collapsed="false">
      <c r="A901" s="0" t="s">
        <v>233</v>
      </c>
      <c r="B901" s="0" t="s">
        <v>136</v>
      </c>
      <c r="C901" s="0" t="s">
        <v>133</v>
      </c>
      <c r="D901" s="0" t="s">
        <v>500</v>
      </c>
      <c r="E901" s="0" t="s">
        <v>627</v>
      </c>
      <c r="F901" s="0" t="n">
        <v>0.5</v>
      </c>
      <c r="G901" s="0" t="n">
        <v>3.2</v>
      </c>
      <c r="H901" s="0" t="n">
        <v>1.6</v>
      </c>
      <c r="I901" s="0" t="n">
        <f aca="false">IF(ABS(ROUND(F901*G901,2)-H901)&lt;=0.01,1,0)</f>
        <v>1</v>
      </c>
      <c r="J901" s="0" t="n">
        <v>0</v>
      </c>
    </row>
    <row r="902" customFormat="false" ht="15" hidden="false" customHeight="false" outlineLevel="0" collapsed="false">
      <c r="A902" s="0" t="s">
        <v>233</v>
      </c>
      <c r="B902" s="0" t="s">
        <v>136</v>
      </c>
      <c r="C902" s="0" t="s">
        <v>133</v>
      </c>
      <c r="D902" s="0" t="s">
        <v>500</v>
      </c>
      <c r="E902" s="0" t="s">
        <v>694</v>
      </c>
      <c r="F902" s="0" t="n">
        <v>0.5</v>
      </c>
      <c r="G902" s="0" t="n">
        <v>7.1</v>
      </c>
      <c r="H902" s="0" t="n">
        <v>3.55</v>
      </c>
      <c r="I902" s="0" t="n">
        <f aca="false">IF(ABS(ROUND(F902*G902,2)-H902)&lt;=0.01,1,0)</f>
        <v>1</v>
      </c>
      <c r="J902" s="0" t="n">
        <v>0</v>
      </c>
    </row>
    <row r="903" customFormat="false" ht="15" hidden="false" customHeight="false" outlineLevel="0" collapsed="false">
      <c r="A903" s="0" t="s">
        <v>233</v>
      </c>
      <c r="B903" s="0" t="s">
        <v>136</v>
      </c>
      <c r="C903" s="0" t="s">
        <v>133</v>
      </c>
      <c r="D903" s="0" t="s">
        <v>500</v>
      </c>
      <c r="E903" s="0" t="s">
        <v>672</v>
      </c>
      <c r="F903" s="0" t="n">
        <v>0.5</v>
      </c>
      <c r="G903" s="0" t="n">
        <v>3.5</v>
      </c>
      <c r="H903" s="0" t="n">
        <v>1.75</v>
      </c>
      <c r="I903" s="0" t="n">
        <f aca="false">IF(ABS(ROUND(F903*G903,2)-H903)&lt;=0.01,1,0)</f>
        <v>1</v>
      </c>
      <c r="J903" s="0" t="n">
        <v>1</v>
      </c>
    </row>
    <row r="904" customFormat="false" ht="15" hidden="false" customHeight="false" outlineLevel="0" collapsed="false">
      <c r="A904" s="0" t="s">
        <v>233</v>
      </c>
      <c r="B904" s="0" t="s">
        <v>136</v>
      </c>
      <c r="C904" s="0" t="s">
        <v>133</v>
      </c>
      <c r="D904" s="0" t="s">
        <v>500</v>
      </c>
      <c r="E904" s="0" t="s">
        <v>642</v>
      </c>
      <c r="F904" s="0" t="n">
        <v>0.5</v>
      </c>
      <c r="G904" s="0" t="n">
        <v>4.9</v>
      </c>
      <c r="H904" s="0" t="n">
        <v>2.45</v>
      </c>
      <c r="I904" s="0" t="n">
        <f aca="false">IF(ABS(ROUND(F904*G904,2)-H904)&lt;=0.01,1,0)</f>
        <v>1</v>
      </c>
      <c r="J904" s="0" t="n">
        <v>0</v>
      </c>
    </row>
    <row r="905" customFormat="false" ht="15" hidden="false" customHeight="false" outlineLevel="0" collapsed="false">
      <c r="A905" s="0" t="s">
        <v>235</v>
      </c>
      <c r="B905" s="0" t="s">
        <v>236</v>
      </c>
      <c r="C905" s="0" t="s">
        <v>237</v>
      </c>
      <c r="D905" s="0" t="s">
        <v>504</v>
      </c>
      <c r="E905" s="0" t="s">
        <v>368</v>
      </c>
      <c r="F905" s="0" t="n">
        <v>1</v>
      </c>
      <c r="G905" s="0" t="n">
        <v>5.2</v>
      </c>
      <c r="H905" s="0" t="n">
        <v>5.2</v>
      </c>
      <c r="I905" s="0" t="n">
        <f aca="false">IF(ABS(ROUND(F905*G905,2)-H905)&lt;=0.01,1,0)</f>
        <v>1</v>
      </c>
      <c r="J905" s="0" t="n">
        <v>0</v>
      </c>
    </row>
    <row r="906" customFormat="false" ht="15" hidden="false" customHeight="false" outlineLevel="0" collapsed="false">
      <c r="A906" s="0" t="s">
        <v>235</v>
      </c>
      <c r="B906" s="0" t="s">
        <v>236</v>
      </c>
      <c r="C906" s="0" t="s">
        <v>237</v>
      </c>
      <c r="D906" s="0" t="s">
        <v>504</v>
      </c>
      <c r="E906" s="0" t="s">
        <v>586</v>
      </c>
      <c r="F906" s="0" t="n">
        <v>1</v>
      </c>
      <c r="G906" s="0" t="n">
        <v>5.9</v>
      </c>
      <c r="H906" s="0" t="n">
        <v>5.9</v>
      </c>
      <c r="I906" s="0" t="n">
        <f aca="false">IF(ABS(ROUND(F906*G906,2)-H906)&lt;=0.01,1,0)</f>
        <v>1</v>
      </c>
      <c r="J906" s="0" t="n">
        <v>0</v>
      </c>
    </row>
    <row r="907" customFormat="false" ht="15" hidden="false" customHeight="false" outlineLevel="0" collapsed="false">
      <c r="A907" s="0" t="s">
        <v>235</v>
      </c>
      <c r="B907" s="0" t="s">
        <v>236</v>
      </c>
      <c r="C907" s="0" t="s">
        <v>237</v>
      </c>
      <c r="D907" s="0" t="s">
        <v>504</v>
      </c>
      <c r="E907" s="0" t="s">
        <v>636</v>
      </c>
      <c r="F907" s="0" t="n">
        <v>1</v>
      </c>
      <c r="G907" s="0" t="n">
        <v>19</v>
      </c>
      <c r="H907" s="0" t="n">
        <v>19</v>
      </c>
      <c r="I907" s="0" t="n">
        <f aca="false">IF(ABS(ROUND(F907*G907,2)-H907)&lt;=0.01,1,0)</f>
        <v>1</v>
      </c>
      <c r="J907" s="0" t="n">
        <v>0</v>
      </c>
    </row>
    <row r="908" customFormat="false" ht="15" hidden="false" customHeight="false" outlineLevel="0" collapsed="false">
      <c r="A908" s="0" t="s">
        <v>235</v>
      </c>
      <c r="B908" s="0" t="s">
        <v>236</v>
      </c>
      <c r="C908" s="0" t="s">
        <v>237</v>
      </c>
      <c r="D908" s="0" t="s">
        <v>504</v>
      </c>
      <c r="E908" s="0" t="s">
        <v>445</v>
      </c>
      <c r="F908" s="0" t="n">
        <v>1</v>
      </c>
      <c r="G908" s="0" t="n">
        <v>19</v>
      </c>
      <c r="H908" s="0" t="n">
        <v>19</v>
      </c>
      <c r="I908" s="0" t="n">
        <f aca="false">IF(ABS(ROUND(F908*G908,2)-H908)&lt;=0.01,1,0)</f>
        <v>1</v>
      </c>
      <c r="J908" s="0" t="n">
        <v>0</v>
      </c>
    </row>
    <row r="909" customFormat="false" ht="15" hidden="false" customHeight="false" outlineLevel="0" collapsed="false">
      <c r="A909" s="0" t="s">
        <v>235</v>
      </c>
      <c r="B909" s="0" t="s">
        <v>236</v>
      </c>
      <c r="C909" s="0" t="s">
        <v>237</v>
      </c>
      <c r="D909" s="0" t="s">
        <v>504</v>
      </c>
      <c r="E909" s="0" t="s">
        <v>695</v>
      </c>
      <c r="F909" s="0" t="n">
        <v>1</v>
      </c>
      <c r="G909" s="0" t="n">
        <v>6.4</v>
      </c>
      <c r="H909" s="0" t="n">
        <v>6.4</v>
      </c>
      <c r="I909" s="0" t="n">
        <f aca="false">IF(ABS(ROUND(F909*G909,2)-H909)&lt;=0.01,1,0)</f>
        <v>1</v>
      </c>
      <c r="J909" s="0" t="n">
        <v>0</v>
      </c>
    </row>
    <row r="910" customFormat="false" ht="15" hidden="false" customHeight="false" outlineLevel="0" collapsed="false">
      <c r="A910" s="0" t="s">
        <v>235</v>
      </c>
      <c r="B910" s="0" t="s">
        <v>236</v>
      </c>
      <c r="C910" s="0" t="s">
        <v>237</v>
      </c>
      <c r="D910" s="0" t="s">
        <v>504</v>
      </c>
      <c r="E910" s="0" t="s">
        <v>696</v>
      </c>
      <c r="F910" s="0" t="n">
        <v>1</v>
      </c>
      <c r="G910" s="0" t="n">
        <v>10.7</v>
      </c>
      <c r="H910" s="0" t="n">
        <v>10.7</v>
      </c>
      <c r="I910" s="0" t="n">
        <f aca="false">IF(ABS(ROUND(F910*G910,2)-H910)&lt;=0.01,1,0)</f>
        <v>1</v>
      </c>
      <c r="J910" s="0" t="n">
        <v>0</v>
      </c>
    </row>
    <row r="911" customFormat="false" ht="15" hidden="false" customHeight="false" outlineLevel="0" collapsed="false">
      <c r="A911" s="0" t="s">
        <v>235</v>
      </c>
      <c r="B911" s="0" t="s">
        <v>236</v>
      </c>
      <c r="C911" s="0" t="s">
        <v>237</v>
      </c>
      <c r="D911" s="0" t="s">
        <v>504</v>
      </c>
      <c r="E911" s="0" t="s">
        <v>697</v>
      </c>
      <c r="F911" s="0" t="n">
        <v>1</v>
      </c>
      <c r="G911" s="0" t="n">
        <v>6.9</v>
      </c>
      <c r="H911" s="0" t="n">
        <v>6.9</v>
      </c>
      <c r="I911" s="0" t="n">
        <f aca="false">IF(ABS(ROUND(F911*G911,2)-H911)&lt;=0.01,1,0)</f>
        <v>1</v>
      </c>
      <c r="J911" s="0" t="n">
        <v>0</v>
      </c>
    </row>
    <row r="912" customFormat="false" ht="15" hidden="false" customHeight="false" outlineLevel="0" collapsed="false">
      <c r="A912" s="0" t="s">
        <v>239</v>
      </c>
      <c r="B912" s="0" t="s">
        <v>236</v>
      </c>
      <c r="C912" s="0" t="s">
        <v>240</v>
      </c>
      <c r="D912" s="0" t="s">
        <v>519</v>
      </c>
      <c r="E912" s="0" t="s">
        <v>454</v>
      </c>
      <c r="F912" s="0" t="n">
        <v>1</v>
      </c>
      <c r="G912" s="0" t="n">
        <v>3.8</v>
      </c>
      <c r="H912" s="0" t="n">
        <v>3.8</v>
      </c>
      <c r="I912" s="0" t="n">
        <f aca="false">IF(ABS(ROUND(F912*G912,2)-H912)&lt;=0.01,1,0)</f>
        <v>1</v>
      </c>
      <c r="J912" s="0" t="n">
        <v>0</v>
      </c>
    </row>
    <row r="913" customFormat="false" ht="15" hidden="false" customHeight="false" outlineLevel="0" collapsed="false">
      <c r="A913" s="0" t="s">
        <v>239</v>
      </c>
      <c r="B913" s="0" t="s">
        <v>236</v>
      </c>
      <c r="C913" s="0" t="s">
        <v>240</v>
      </c>
      <c r="D913" s="0" t="s">
        <v>519</v>
      </c>
      <c r="E913" s="0" t="s">
        <v>698</v>
      </c>
      <c r="F913" s="0" t="n">
        <v>1</v>
      </c>
      <c r="G913" s="0" t="n">
        <v>13.4</v>
      </c>
      <c r="H913" s="0" t="n">
        <v>13.4</v>
      </c>
      <c r="I913" s="0" t="n">
        <f aca="false">IF(ABS(ROUND(F913*G913,2)-H913)&lt;=0.01,1,0)</f>
        <v>1</v>
      </c>
      <c r="J913" s="0" t="n">
        <v>0</v>
      </c>
    </row>
    <row r="914" customFormat="false" ht="15" hidden="false" customHeight="false" outlineLevel="0" collapsed="false">
      <c r="A914" s="0" t="s">
        <v>239</v>
      </c>
      <c r="B914" s="0" t="s">
        <v>236</v>
      </c>
      <c r="C914" s="0" t="s">
        <v>240</v>
      </c>
      <c r="D914" s="0" t="s">
        <v>519</v>
      </c>
      <c r="E914" s="0" t="s">
        <v>699</v>
      </c>
      <c r="F914" s="0" t="n">
        <v>2</v>
      </c>
      <c r="G914" s="0" t="n">
        <v>29.9</v>
      </c>
      <c r="H914" s="0" t="n">
        <v>59.8</v>
      </c>
      <c r="I914" s="0" t="n">
        <f aca="false">IF(ABS(ROUND(F914*G914,2)-H914)&lt;=0.01,1,0)</f>
        <v>1</v>
      </c>
      <c r="J914" s="0" t="n">
        <v>0</v>
      </c>
    </row>
    <row r="915" customFormat="false" ht="15" hidden="false" customHeight="false" outlineLevel="0" collapsed="false">
      <c r="A915" s="0" t="s">
        <v>239</v>
      </c>
      <c r="B915" s="0" t="s">
        <v>236</v>
      </c>
      <c r="C915" s="0" t="s">
        <v>240</v>
      </c>
      <c r="D915" s="0" t="s">
        <v>519</v>
      </c>
      <c r="E915" s="0" t="s">
        <v>685</v>
      </c>
      <c r="F915" s="0" t="n">
        <v>0.5</v>
      </c>
      <c r="G915" s="0" t="n">
        <v>8</v>
      </c>
      <c r="H915" s="0" t="n">
        <v>4</v>
      </c>
      <c r="I915" s="0" t="n">
        <f aca="false">IF(ABS(ROUND(F915*G915,2)-H915)&lt;=0.01,1,0)</f>
        <v>1</v>
      </c>
      <c r="J915" s="0" t="n">
        <v>0</v>
      </c>
    </row>
    <row r="916" customFormat="false" ht="15" hidden="false" customHeight="false" outlineLevel="0" collapsed="false">
      <c r="A916" s="0" t="s">
        <v>239</v>
      </c>
      <c r="B916" s="0" t="s">
        <v>236</v>
      </c>
      <c r="C916" s="0" t="s">
        <v>240</v>
      </c>
      <c r="D916" s="0" t="s">
        <v>519</v>
      </c>
      <c r="E916" s="0" t="s">
        <v>631</v>
      </c>
      <c r="F916" s="0" t="n">
        <v>0.5</v>
      </c>
      <c r="G916" s="0" t="n">
        <v>10.9</v>
      </c>
      <c r="H916" s="0" t="n">
        <v>5.45</v>
      </c>
      <c r="I916" s="0" t="n">
        <f aca="false">IF(ABS(ROUND(F916*G916,2)-H916)&lt;=0.01,1,0)</f>
        <v>1</v>
      </c>
      <c r="J916" s="0" t="n">
        <v>0</v>
      </c>
    </row>
    <row r="917" customFormat="false" ht="15" hidden="false" customHeight="false" outlineLevel="0" collapsed="false">
      <c r="A917" s="0" t="s">
        <v>242</v>
      </c>
      <c r="B917" s="0" t="s">
        <v>236</v>
      </c>
      <c r="C917" s="0" t="s">
        <v>243</v>
      </c>
      <c r="D917" s="0" t="s">
        <v>532</v>
      </c>
      <c r="E917" s="0" t="s">
        <v>598</v>
      </c>
      <c r="F917" s="0" t="n">
        <v>1</v>
      </c>
      <c r="G917" s="0" t="n">
        <v>4.2</v>
      </c>
      <c r="H917" s="0" t="n">
        <v>4.2</v>
      </c>
      <c r="I917" s="0" t="n">
        <f aca="false">IF(ABS(ROUND(F917*G917,2)-H917)&lt;=0.01,1,0)</f>
        <v>1</v>
      </c>
      <c r="J917" s="0" t="n">
        <v>0</v>
      </c>
    </row>
    <row r="918" customFormat="false" ht="15" hidden="false" customHeight="false" outlineLevel="0" collapsed="false">
      <c r="A918" s="0" t="s">
        <v>242</v>
      </c>
      <c r="B918" s="0" t="s">
        <v>236</v>
      </c>
      <c r="C918" s="0" t="s">
        <v>243</v>
      </c>
      <c r="D918" s="0" t="s">
        <v>532</v>
      </c>
      <c r="E918" s="0" t="s">
        <v>700</v>
      </c>
      <c r="F918" s="0" t="n">
        <v>0.5</v>
      </c>
      <c r="G918" s="0" t="n">
        <v>3.6</v>
      </c>
      <c r="H918" s="0" t="n">
        <v>1.8</v>
      </c>
      <c r="I918" s="0" t="n">
        <f aca="false">IF(ABS(ROUND(F918*G918,2)-H918)&lt;=0.01,1,0)</f>
        <v>1</v>
      </c>
      <c r="J918" s="0" t="n">
        <v>0</v>
      </c>
    </row>
    <row r="919" customFormat="false" ht="15" hidden="false" customHeight="false" outlineLevel="0" collapsed="false">
      <c r="A919" s="0" t="s">
        <v>242</v>
      </c>
      <c r="B919" s="0" t="s">
        <v>236</v>
      </c>
      <c r="C919" s="0" t="s">
        <v>243</v>
      </c>
      <c r="D919" s="0" t="s">
        <v>532</v>
      </c>
      <c r="E919" s="0" t="s">
        <v>368</v>
      </c>
      <c r="F919" s="0" t="n">
        <v>0.5</v>
      </c>
      <c r="G919" s="0" t="n">
        <v>5.2</v>
      </c>
      <c r="H919" s="0" t="n">
        <v>2.6</v>
      </c>
      <c r="I919" s="0" t="n">
        <f aca="false">IF(ABS(ROUND(F919*G919,2)-H919)&lt;=0.01,1,0)</f>
        <v>1</v>
      </c>
      <c r="J919" s="0" t="n">
        <v>0</v>
      </c>
    </row>
    <row r="920" customFormat="false" ht="15" hidden="false" customHeight="false" outlineLevel="0" collapsed="false">
      <c r="A920" s="0" t="s">
        <v>242</v>
      </c>
      <c r="B920" s="0" t="s">
        <v>236</v>
      </c>
      <c r="C920" s="0" t="s">
        <v>243</v>
      </c>
      <c r="D920" s="0" t="s">
        <v>532</v>
      </c>
      <c r="E920" s="0" t="s">
        <v>605</v>
      </c>
      <c r="F920" s="0" t="n">
        <v>0.5</v>
      </c>
      <c r="G920" s="0" t="n">
        <v>17.6</v>
      </c>
      <c r="H920" s="0" t="n">
        <v>8.8</v>
      </c>
      <c r="I920" s="0" t="n">
        <f aca="false">IF(ABS(ROUND(F920*G920,2)-H920)&lt;=0.01,1,0)</f>
        <v>1</v>
      </c>
      <c r="J920" s="0" t="n">
        <v>0</v>
      </c>
    </row>
    <row r="921" customFormat="false" ht="15" hidden="false" customHeight="false" outlineLevel="0" collapsed="false">
      <c r="A921" s="0" t="s">
        <v>242</v>
      </c>
      <c r="B921" s="0" t="s">
        <v>236</v>
      </c>
      <c r="C921" s="0" t="s">
        <v>243</v>
      </c>
      <c r="D921" s="0" t="s">
        <v>532</v>
      </c>
      <c r="E921" s="0" t="s">
        <v>351</v>
      </c>
      <c r="F921" s="0" t="n">
        <v>0.5</v>
      </c>
      <c r="G921" s="0" t="n">
        <v>17.6</v>
      </c>
      <c r="H921" s="0" t="n">
        <v>8.8</v>
      </c>
      <c r="I921" s="0" t="n">
        <f aca="false">IF(ABS(ROUND(F921*G921,2)-H921)&lt;=0.01,1,0)</f>
        <v>1</v>
      </c>
      <c r="J921" s="0" t="n">
        <v>0</v>
      </c>
    </row>
    <row r="922" customFormat="false" ht="15" hidden="false" customHeight="false" outlineLevel="0" collapsed="false">
      <c r="A922" s="0" t="s">
        <v>242</v>
      </c>
      <c r="B922" s="0" t="s">
        <v>236</v>
      </c>
      <c r="C922" s="0" t="s">
        <v>243</v>
      </c>
      <c r="D922" s="0" t="s">
        <v>532</v>
      </c>
      <c r="E922" s="0" t="s">
        <v>406</v>
      </c>
      <c r="F922" s="0" t="n">
        <v>0.5</v>
      </c>
      <c r="G922" s="0" t="n">
        <v>17.6</v>
      </c>
      <c r="H922" s="0" t="n">
        <v>8.8</v>
      </c>
      <c r="I922" s="0" t="n">
        <f aca="false">IF(ABS(ROUND(F922*G922,2)-H922)&lt;=0.01,1,0)</f>
        <v>1</v>
      </c>
      <c r="J922" s="0" t="n">
        <v>0</v>
      </c>
    </row>
    <row r="923" customFormat="false" ht="15" hidden="false" customHeight="false" outlineLevel="0" collapsed="false">
      <c r="A923" s="0" t="s">
        <v>242</v>
      </c>
      <c r="B923" s="0" t="s">
        <v>236</v>
      </c>
      <c r="C923" s="0" t="s">
        <v>243</v>
      </c>
      <c r="D923" s="0" t="s">
        <v>532</v>
      </c>
      <c r="E923" s="0" t="s">
        <v>425</v>
      </c>
      <c r="F923" s="0" t="n">
        <v>0.5</v>
      </c>
      <c r="G923" s="0" t="n">
        <v>17.6</v>
      </c>
      <c r="H923" s="0" t="n">
        <v>8.8</v>
      </c>
      <c r="I923" s="0" t="n">
        <f aca="false">IF(ABS(ROUND(F923*G923,2)-H923)&lt;=0.01,1,0)</f>
        <v>1</v>
      </c>
      <c r="J923" s="0" t="n">
        <v>0</v>
      </c>
    </row>
    <row r="924" customFormat="false" ht="15" hidden="false" customHeight="false" outlineLevel="0" collapsed="false">
      <c r="A924" s="0" t="s">
        <v>242</v>
      </c>
      <c r="B924" s="0" t="s">
        <v>236</v>
      </c>
      <c r="C924" s="0" t="s">
        <v>243</v>
      </c>
      <c r="D924" s="0" t="s">
        <v>532</v>
      </c>
      <c r="E924" s="0" t="s">
        <v>366</v>
      </c>
      <c r="F924" s="0" t="n">
        <v>1.5</v>
      </c>
      <c r="G924" s="0" t="n">
        <v>2.2</v>
      </c>
      <c r="H924" s="0" t="n">
        <v>3.3</v>
      </c>
      <c r="I924" s="0" t="n">
        <f aca="false">IF(ABS(ROUND(F924*G924,2)-H924)&lt;=0.01,1,0)</f>
        <v>1</v>
      </c>
      <c r="J924" s="0" t="n">
        <v>0</v>
      </c>
    </row>
    <row r="925" customFormat="false" ht="15" hidden="false" customHeight="false" outlineLevel="0" collapsed="false">
      <c r="A925" s="0" t="s">
        <v>245</v>
      </c>
      <c r="B925" s="0" t="s">
        <v>236</v>
      </c>
      <c r="C925" s="0" t="s">
        <v>246</v>
      </c>
      <c r="D925" s="0" t="s">
        <v>487</v>
      </c>
      <c r="E925" s="0" t="s">
        <v>364</v>
      </c>
      <c r="F925" s="0" t="n">
        <v>0.5</v>
      </c>
      <c r="G925" s="0" t="n">
        <v>6.5</v>
      </c>
      <c r="H925" s="0" t="n">
        <v>3.25</v>
      </c>
      <c r="I925" s="0" t="n">
        <f aca="false">IF(ABS(ROUND(F925*G925,2)-H925)&lt;=0.01,1,0)</f>
        <v>1</v>
      </c>
      <c r="J925" s="0" t="n">
        <v>0</v>
      </c>
    </row>
    <row r="926" customFormat="false" ht="15" hidden="false" customHeight="false" outlineLevel="0" collapsed="false">
      <c r="A926" s="0" t="s">
        <v>245</v>
      </c>
      <c r="B926" s="0" t="s">
        <v>236</v>
      </c>
      <c r="C926" s="0" t="s">
        <v>246</v>
      </c>
      <c r="D926" s="0" t="s">
        <v>487</v>
      </c>
      <c r="E926" s="0" t="s">
        <v>593</v>
      </c>
      <c r="F926" s="0" t="n">
        <v>0.5</v>
      </c>
      <c r="G926" s="0" t="n">
        <v>3.9</v>
      </c>
      <c r="H926" s="0" t="n">
        <v>1.95</v>
      </c>
      <c r="I926" s="0" t="n">
        <f aca="false">IF(ABS(ROUND(F926*G926,2)-H926)&lt;=0.01,1,0)</f>
        <v>1</v>
      </c>
      <c r="J926" s="0" t="n">
        <v>0</v>
      </c>
    </row>
    <row r="927" customFormat="false" ht="15" hidden="false" customHeight="false" outlineLevel="0" collapsed="false">
      <c r="A927" s="0" t="s">
        <v>245</v>
      </c>
      <c r="B927" s="0" t="s">
        <v>236</v>
      </c>
      <c r="C927" s="0" t="s">
        <v>246</v>
      </c>
      <c r="D927" s="0" t="s">
        <v>487</v>
      </c>
      <c r="E927" s="0" t="s">
        <v>445</v>
      </c>
      <c r="F927" s="0" t="n">
        <v>0.5</v>
      </c>
      <c r="G927" s="0" t="n">
        <v>19</v>
      </c>
      <c r="H927" s="0" t="n">
        <v>9.5</v>
      </c>
      <c r="I927" s="0" t="n">
        <f aca="false">IF(ABS(ROUND(F927*G927,2)-H927)&lt;=0.01,1,0)</f>
        <v>1</v>
      </c>
      <c r="J927" s="0" t="n">
        <v>0</v>
      </c>
    </row>
    <row r="928" customFormat="false" ht="15" hidden="false" customHeight="false" outlineLevel="0" collapsed="false">
      <c r="A928" s="0" t="s">
        <v>245</v>
      </c>
      <c r="B928" s="0" t="s">
        <v>236</v>
      </c>
      <c r="C928" s="0" t="s">
        <v>246</v>
      </c>
      <c r="D928" s="0" t="s">
        <v>487</v>
      </c>
      <c r="E928" s="0" t="s">
        <v>636</v>
      </c>
      <c r="F928" s="0" t="n">
        <v>0.5</v>
      </c>
      <c r="G928" s="0" t="n">
        <v>19</v>
      </c>
      <c r="H928" s="0" t="n">
        <v>9.5</v>
      </c>
      <c r="I928" s="0" t="n">
        <f aca="false">IF(ABS(ROUND(F928*G928,2)-H928)&lt;=0.01,1,0)</f>
        <v>1</v>
      </c>
      <c r="J928" s="0" t="n">
        <v>0</v>
      </c>
    </row>
    <row r="929" customFormat="false" ht="15" hidden="false" customHeight="false" outlineLevel="0" collapsed="false">
      <c r="A929" s="0" t="s">
        <v>245</v>
      </c>
      <c r="B929" s="0" t="s">
        <v>236</v>
      </c>
      <c r="C929" s="0" t="s">
        <v>246</v>
      </c>
      <c r="D929" s="0" t="s">
        <v>487</v>
      </c>
      <c r="E929" s="0" t="s">
        <v>643</v>
      </c>
      <c r="F929" s="0" t="n">
        <v>0.5</v>
      </c>
      <c r="G929" s="0" t="n">
        <v>5.8</v>
      </c>
      <c r="H929" s="0" t="n">
        <v>2.9</v>
      </c>
      <c r="I929" s="0" t="n">
        <f aca="false">IF(ABS(ROUND(F929*G929,2)-H929)&lt;=0.01,1,0)</f>
        <v>1</v>
      </c>
      <c r="J929" s="0" t="n">
        <v>0</v>
      </c>
    </row>
    <row r="930" customFormat="false" ht="15" hidden="false" customHeight="false" outlineLevel="0" collapsed="false">
      <c r="A930" s="0" t="s">
        <v>245</v>
      </c>
      <c r="B930" s="0" t="s">
        <v>236</v>
      </c>
      <c r="C930" s="0" t="s">
        <v>246</v>
      </c>
      <c r="D930" s="0" t="s">
        <v>487</v>
      </c>
      <c r="E930" s="0" t="s">
        <v>687</v>
      </c>
      <c r="F930" s="0" t="n">
        <v>0.5</v>
      </c>
      <c r="G930" s="0" t="n">
        <v>9</v>
      </c>
      <c r="H930" s="0" t="n">
        <v>4.5</v>
      </c>
      <c r="I930" s="0" t="n">
        <f aca="false">IF(ABS(ROUND(F930*G930,2)-H930)&lt;=0.01,1,0)</f>
        <v>1</v>
      </c>
      <c r="J930" s="0" t="n">
        <v>0</v>
      </c>
    </row>
    <row r="931" customFormat="false" ht="15" hidden="false" customHeight="false" outlineLevel="0" collapsed="false">
      <c r="A931" s="0" t="s">
        <v>248</v>
      </c>
      <c r="B931" s="0" t="s">
        <v>236</v>
      </c>
      <c r="C931" s="0" t="s">
        <v>249</v>
      </c>
      <c r="D931" s="0" t="s">
        <v>510</v>
      </c>
      <c r="E931" s="0" t="s">
        <v>604</v>
      </c>
      <c r="F931" s="0" t="n">
        <v>0.5</v>
      </c>
      <c r="G931" s="0" t="n">
        <v>4</v>
      </c>
      <c r="H931" s="0" t="n">
        <v>2</v>
      </c>
      <c r="I931" s="0" t="n">
        <f aca="false">IF(ABS(ROUND(F931*G931,2)-H931)&lt;=0.01,1,0)</f>
        <v>1</v>
      </c>
      <c r="J931" s="0" t="n">
        <v>0</v>
      </c>
    </row>
    <row r="932" customFormat="false" ht="15" hidden="false" customHeight="false" outlineLevel="0" collapsed="false">
      <c r="A932" s="0" t="s">
        <v>248</v>
      </c>
      <c r="B932" s="0" t="s">
        <v>236</v>
      </c>
      <c r="C932" s="0" t="s">
        <v>249</v>
      </c>
      <c r="D932" s="0" t="s">
        <v>510</v>
      </c>
      <c r="E932" s="0" t="s">
        <v>382</v>
      </c>
      <c r="F932" s="0" t="n">
        <v>0.5</v>
      </c>
      <c r="G932" s="0" t="n">
        <v>3.9</v>
      </c>
      <c r="H932" s="0" t="n">
        <v>1.95</v>
      </c>
      <c r="I932" s="0" t="n">
        <f aca="false">IF(ABS(ROUND(F932*G932,2)-H932)&lt;=0.01,1,0)</f>
        <v>1</v>
      </c>
      <c r="J932" s="0" t="n">
        <v>0</v>
      </c>
    </row>
    <row r="933" customFormat="false" ht="15" hidden="false" customHeight="false" outlineLevel="0" collapsed="false">
      <c r="A933" s="0" t="s">
        <v>248</v>
      </c>
      <c r="B933" s="0" t="s">
        <v>236</v>
      </c>
      <c r="C933" s="0" t="s">
        <v>249</v>
      </c>
      <c r="D933" s="0" t="s">
        <v>510</v>
      </c>
      <c r="E933" s="0" t="s">
        <v>400</v>
      </c>
      <c r="F933" s="0" t="n">
        <v>0.5</v>
      </c>
      <c r="G933" s="0" t="n">
        <v>15.9</v>
      </c>
      <c r="H933" s="0" t="n">
        <v>7.95</v>
      </c>
      <c r="I933" s="0" t="n">
        <f aca="false">IF(ABS(ROUND(F933*G933,2)-H933)&lt;=0.01,1,0)</f>
        <v>1</v>
      </c>
      <c r="J933" s="0" t="n">
        <v>0</v>
      </c>
    </row>
    <row r="934" customFormat="false" ht="15" hidden="false" customHeight="false" outlineLevel="0" collapsed="false">
      <c r="A934" s="0" t="s">
        <v>248</v>
      </c>
      <c r="B934" s="0" t="s">
        <v>236</v>
      </c>
      <c r="C934" s="0" t="s">
        <v>249</v>
      </c>
      <c r="D934" s="0" t="s">
        <v>510</v>
      </c>
      <c r="E934" s="0" t="s">
        <v>430</v>
      </c>
      <c r="F934" s="0" t="n">
        <v>0.5</v>
      </c>
      <c r="G934" s="0" t="n">
        <v>19.9</v>
      </c>
      <c r="H934" s="0" t="n">
        <v>9.95</v>
      </c>
      <c r="I934" s="0" t="n">
        <f aca="false">IF(ABS(ROUND(F934*G934,2)-H934)&lt;=0.01,1,0)</f>
        <v>1</v>
      </c>
      <c r="J934" s="0" t="n">
        <v>0</v>
      </c>
    </row>
    <row r="935" customFormat="false" ht="15" hidden="false" customHeight="false" outlineLevel="0" collapsed="false">
      <c r="A935" s="0" t="s">
        <v>248</v>
      </c>
      <c r="B935" s="0" t="s">
        <v>236</v>
      </c>
      <c r="C935" s="0" t="s">
        <v>249</v>
      </c>
      <c r="D935" s="0" t="s">
        <v>510</v>
      </c>
      <c r="E935" s="0" t="s">
        <v>701</v>
      </c>
      <c r="F935" s="0" t="n">
        <v>0.5</v>
      </c>
      <c r="G935" s="0" t="n">
        <v>2.2</v>
      </c>
      <c r="H935" s="0" t="n">
        <v>1.1</v>
      </c>
      <c r="I935" s="0" t="n">
        <f aca="false">IF(ABS(ROUND(F935*G935,2)-H935)&lt;=0.01,1,0)</f>
        <v>1</v>
      </c>
      <c r="J935" s="0" t="n">
        <v>0</v>
      </c>
    </row>
    <row r="936" customFormat="false" ht="15" hidden="false" customHeight="false" outlineLevel="0" collapsed="false">
      <c r="A936" s="0" t="s">
        <v>251</v>
      </c>
      <c r="B936" s="0" t="s">
        <v>236</v>
      </c>
      <c r="C936" s="0" t="s">
        <v>252</v>
      </c>
      <c r="D936" s="0" t="s">
        <v>505</v>
      </c>
      <c r="E936" s="0" t="s">
        <v>395</v>
      </c>
      <c r="F936" s="0" t="n">
        <v>0.5</v>
      </c>
      <c r="G936" s="0" t="n">
        <v>4.9</v>
      </c>
      <c r="H936" s="0" t="n">
        <v>2.45</v>
      </c>
      <c r="I936" s="0" t="n">
        <f aca="false">IF(ABS(ROUND(F936*G936,2)-H936)&lt;=0.01,1,0)</f>
        <v>1</v>
      </c>
      <c r="J936" s="0" t="n">
        <v>0</v>
      </c>
    </row>
    <row r="937" customFormat="false" ht="15" hidden="false" customHeight="false" outlineLevel="0" collapsed="false">
      <c r="A937" s="0" t="s">
        <v>251</v>
      </c>
      <c r="B937" s="0" t="s">
        <v>236</v>
      </c>
      <c r="C937" s="0" t="s">
        <v>252</v>
      </c>
      <c r="D937" s="0" t="s">
        <v>505</v>
      </c>
      <c r="E937" s="0" t="s">
        <v>632</v>
      </c>
      <c r="F937" s="0" t="n">
        <v>0.5</v>
      </c>
      <c r="G937" s="0" t="n">
        <v>6</v>
      </c>
      <c r="H937" s="0" t="n">
        <v>3</v>
      </c>
      <c r="I937" s="0" t="n">
        <f aca="false">IF(ABS(ROUND(F937*G937,2)-H937)&lt;=0.01,1,0)</f>
        <v>1</v>
      </c>
      <c r="J937" s="0" t="n">
        <v>0</v>
      </c>
    </row>
    <row r="938" customFormat="false" ht="15" hidden="false" customHeight="false" outlineLevel="0" collapsed="false">
      <c r="A938" s="0" t="s">
        <v>251</v>
      </c>
      <c r="B938" s="0" t="s">
        <v>236</v>
      </c>
      <c r="C938" s="0" t="s">
        <v>252</v>
      </c>
      <c r="D938" s="0" t="s">
        <v>505</v>
      </c>
      <c r="E938" s="0" t="s">
        <v>421</v>
      </c>
      <c r="F938" s="0" t="n">
        <v>1</v>
      </c>
      <c r="G938" s="0" t="n">
        <v>9</v>
      </c>
      <c r="H938" s="0" t="n">
        <v>9</v>
      </c>
      <c r="I938" s="0" t="n">
        <f aca="false">IF(ABS(ROUND(F938*G938,2)-H938)&lt;=0.01,1,0)</f>
        <v>1</v>
      </c>
      <c r="J938" s="0" t="n">
        <v>0</v>
      </c>
    </row>
    <row r="939" customFormat="false" ht="15" hidden="false" customHeight="false" outlineLevel="0" collapsed="false">
      <c r="A939" s="0" t="s">
        <v>251</v>
      </c>
      <c r="B939" s="0" t="s">
        <v>236</v>
      </c>
      <c r="C939" s="0" t="s">
        <v>252</v>
      </c>
      <c r="D939" s="0" t="s">
        <v>505</v>
      </c>
      <c r="E939" s="0" t="s">
        <v>350</v>
      </c>
      <c r="F939" s="0" t="n">
        <v>1</v>
      </c>
      <c r="G939" s="0" t="n">
        <v>16.9</v>
      </c>
      <c r="H939" s="0" t="n">
        <v>16.9</v>
      </c>
      <c r="I939" s="0" t="n">
        <f aca="false">IF(ABS(ROUND(F939*G939,2)-H939)&lt;=0.01,1,0)</f>
        <v>1</v>
      </c>
      <c r="J939" s="0" t="n">
        <v>0</v>
      </c>
    </row>
    <row r="940" customFormat="false" ht="15" hidden="false" customHeight="false" outlineLevel="0" collapsed="false">
      <c r="A940" s="0" t="s">
        <v>251</v>
      </c>
      <c r="B940" s="0" t="s">
        <v>236</v>
      </c>
      <c r="C940" s="0" t="s">
        <v>252</v>
      </c>
      <c r="D940" s="0" t="s">
        <v>505</v>
      </c>
      <c r="E940" s="0" t="s">
        <v>685</v>
      </c>
      <c r="F940" s="0" t="n">
        <v>0.5</v>
      </c>
      <c r="G940" s="0" t="n">
        <v>16</v>
      </c>
      <c r="H940" s="0" t="n">
        <v>8</v>
      </c>
      <c r="I940" s="0" t="n">
        <f aca="false">IF(ABS(ROUND(F940*G940,2)-H940)&lt;=0.01,1,0)</f>
        <v>1</v>
      </c>
      <c r="J940" s="0" t="n">
        <v>0</v>
      </c>
    </row>
    <row r="941" customFormat="false" ht="15" hidden="false" customHeight="false" outlineLevel="0" collapsed="false">
      <c r="A941" s="0" t="s">
        <v>251</v>
      </c>
      <c r="B941" s="0" t="s">
        <v>236</v>
      </c>
      <c r="C941" s="0" t="s">
        <v>252</v>
      </c>
      <c r="D941" s="0" t="s">
        <v>505</v>
      </c>
      <c r="E941" s="0" t="s">
        <v>618</v>
      </c>
      <c r="F941" s="0" t="n">
        <v>1</v>
      </c>
      <c r="G941" s="0" t="n">
        <v>14.9</v>
      </c>
      <c r="H941" s="0" t="n">
        <v>14.9</v>
      </c>
      <c r="I941" s="0" t="n">
        <f aca="false">IF(ABS(ROUND(F941*G941,2)-H941)&lt;=0.01,1,0)</f>
        <v>1</v>
      </c>
      <c r="J941" s="0" t="n">
        <v>0</v>
      </c>
    </row>
    <row r="942" customFormat="false" ht="15" hidden="false" customHeight="false" outlineLevel="0" collapsed="false">
      <c r="A942" s="0" t="s">
        <v>251</v>
      </c>
      <c r="B942" s="0" t="s">
        <v>236</v>
      </c>
      <c r="C942" s="0" t="s">
        <v>252</v>
      </c>
      <c r="D942" s="0" t="s">
        <v>505</v>
      </c>
      <c r="E942" s="0" t="s">
        <v>425</v>
      </c>
      <c r="F942" s="0" t="n">
        <v>1</v>
      </c>
      <c r="G942" s="0" t="n">
        <v>17.6</v>
      </c>
      <c r="H942" s="0" t="n">
        <v>17.6</v>
      </c>
      <c r="I942" s="0" t="n">
        <f aca="false">IF(ABS(ROUND(F942*G942,2)-H942)&lt;=0.01,1,0)</f>
        <v>1</v>
      </c>
      <c r="J942" s="0" t="n">
        <v>0</v>
      </c>
    </row>
    <row r="943" customFormat="false" ht="15" hidden="false" customHeight="false" outlineLevel="0" collapsed="false">
      <c r="A943" s="0" t="s">
        <v>254</v>
      </c>
      <c r="B943" s="0" t="s">
        <v>236</v>
      </c>
      <c r="C943" s="0" t="s">
        <v>255</v>
      </c>
      <c r="D943" s="0" t="s">
        <v>506</v>
      </c>
      <c r="E943" s="0" t="s">
        <v>699</v>
      </c>
      <c r="F943" s="0" t="n">
        <v>1</v>
      </c>
      <c r="G943" s="0" t="n">
        <v>29.9</v>
      </c>
      <c r="H943" s="0" t="n">
        <v>29.9</v>
      </c>
      <c r="I943" s="0" t="n">
        <f aca="false">IF(ABS(ROUND(F943*G943,2)-H943)&lt;=0.01,1,0)</f>
        <v>1</v>
      </c>
      <c r="J943" s="0" t="n">
        <v>0</v>
      </c>
    </row>
    <row r="944" customFormat="false" ht="15" hidden="false" customHeight="false" outlineLevel="0" collapsed="false">
      <c r="A944" s="0" t="s">
        <v>254</v>
      </c>
      <c r="B944" s="0" t="s">
        <v>236</v>
      </c>
      <c r="C944" s="0" t="s">
        <v>255</v>
      </c>
      <c r="D944" s="0" t="s">
        <v>506</v>
      </c>
      <c r="E944" s="0" t="s">
        <v>702</v>
      </c>
      <c r="F944" s="0" t="n">
        <v>0.5</v>
      </c>
      <c r="G944" s="0" t="n">
        <v>3.9</v>
      </c>
      <c r="H944" s="0" t="n">
        <v>1.95</v>
      </c>
      <c r="I944" s="0" t="n">
        <f aca="false">IF(ABS(ROUND(F944*G944,2)-H944)&lt;=0.01,1,0)</f>
        <v>1</v>
      </c>
      <c r="J944" s="0" t="n">
        <v>0</v>
      </c>
    </row>
    <row r="945" customFormat="false" ht="15" hidden="false" customHeight="false" outlineLevel="0" collapsed="false">
      <c r="A945" s="0" t="s">
        <v>254</v>
      </c>
      <c r="B945" s="0" t="s">
        <v>236</v>
      </c>
      <c r="C945" s="0" t="s">
        <v>255</v>
      </c>
      <c r="D945" s="0" t="s">
        <v>506</v>
      </c>
      <c r="E945" s="0" t="s">
        <v>437</v>
      </c>
      <c r="F945" s="0" t="n">
        <v>0.5</v>
      </c>
      <c r="G945" s="0" t="n">
        <v>5.2</v>
      </c>
      <c r="H945" s="0" t="n">
        <v>2.6</v>
      </c>
      <c r="I945" s="0" t="n">
        <f aca="false">IF(ABS(ROUND(F945*G945,2)-H945)&lt;=0.01,1,0)</f>
        <v>1</v>
      </c>
      <c r="J945" s="0" t="n">
        <v>0</v>
      </c>
    </row>
    <row r="946" customFormat="false" ht="15" hidden="false" customHeight="false" outlineLevel="0" collapsed="false">
      <c r="A946" s="0" t="s">
        <v>254</v>
      </c>
      <c r="B946" s="0" t="s">
        <v>236</v>
      </c>
      <c r="C946" s="0" t="s">
        <v>255</v>
      </c>
      <c r="D946" s="0" t="s">
        <v>506</v>
      </c>
      <c r="E946" s="0" t="s">
        <v>428</v>
      </c>
      <c r="F946" s="0" t="n">
        <v>0.5</v>
      </c>
      <c r="G946" s="0" t="n">
        <v>7.2</v>
      </c>
      <c r="H946" s="0" t="n">
        <v>3.6</v>
      </c>
      <c r="I946" s="0" t="n">
        <f aca="false">IF(ABS(ROUND(F946*G946,2)-H946)&lt;=0.01,1,0)</f>
        <v>1</v>
      </c>
      <c r="J946" s="0" t="n">
        <v>0</v>
      </c>
    </row>
    <row r="947" customFormat="false" ht="15" hidden="false" customHeight="false" outlineLevel="0" collapsed="false">
      <c r="A947" s="0" t="s">
        <v>257</v>
      </c>
      <c r="B947" s="0" t="s">
        <v>236</v>
      </c>
      <c r="C947" s="0" t="s">
        <v>258</v>
      </c>
      <c r="D947" s="0" t="s">
        <v>508</v>
      </c>
      <c r="E947" s="0" t="s">
        <v>636</v>
      </c>
      <c r="F947" s="0" t="n">
        <v>0.5</v>
      </c>
      <c r="G947" s="0" t="n">
        <v>19</v>
      </c>
      <c r="H947" s="0" t="n">
        <v>9.5</v>
      </c>
      <c r="I947" s="0" t="n">
        <f aca="false">IF(ABS(ROUND(F947*G947,2)-H947)&lt;=0.01,1,0)</f>
        <v>1</v>
      </c>
      <c r="J947" s="0" t="n">
        <v>0</v>
      </c>
    </row>
    <row r="948" customFormat="false" ht="15" hidden="false" customHeight="false" outlineLevel="0" collapsed="false">
      <c r="A948" s="0" t="s">
        <v>257</v>
      </c>
      <c r="B948" s="0" t="s">
        <v>236</v>
      </c>
      <c r="C948" s="0" t="s">
        <v>258</v>
      </c>
      <c r="D948" s="0" t="s">
        <v>508</v>
      </c>
      <c r="E948" s="0" t="s">
        <v>601</v>
      </c>
      <c r="F948" s="0" t="n">
        <v>0.5</v>
      </c>
      <c r="G948" s="0" t="n">
        <v>16.9</v>
      </c>
      <c r="H948" s="0" t="n">
        <v>8.45</v>
      </c>
      <c r="I948" s="0" t="n">
        <f aca="false">IF(ABS(ROUND(F948*G948,2)-H948)&lt;=0.01,1,0)</f>
        <v>1</v>
      </c>
      <c r="J948" s="0" t="n">
        <v>0</v>
      </c>
    </row>
    <row r="949" customFormat="false" ht="15" hidden="false" customHeight="false" outlineLevel="0" collapsed="false">
      <c r="A949" s="0" t="s">
        <v>257</v>
      </c>
      <c r="B949" s="0" t="s">
        <v>236</v>
      </c>
      <c r="C949" s="0" t="s">
        <v>258</v>
      </c>
      <c r="D949" s="0" t="s">
        <v>508</v>
      </c>
      <c r="E949" s="0" t="s">
        <v>593</v>
      </c>
      <c r="F949" s="0" t="n">
        <v>0.5</v>
      </c>
      <c r="G949" s="0" t="n">
        <v>3.9</v>
      </c>
      <c r="H949" s="0" t="n">
        <v>1.95</v>
      </c>
      <c r="I949" s="0" t="n">
        <f aca="false">IF(ABS(ROUND(F949*G949,2)-H949)&lt;=0.01,1,0)</f>
        <v>1</v>
      </c>
      <c r="J949" s="0" t="n">
        <v>0</v>
      </c>
    </row>
    <row r="950" customFormat="false" ht="15" hidden="false" customHeight="false" outlineLevel="0" collapsed="false">
      <c r="A950" s="0" t="s">
        <v>257</v>
      </c>
      <c r="B950" s="0" t="s">
        <v>236</v>
      </c>
      <c r="C950" s="0" t="s">
        <v>258</v>
      </c>
      <c r="D950" s="0" t="s">
        <v>508</v>
      </c>
      <c r="E950" s="0" t="s">
        <v>641</v>
      </c>
      <c r="F950" s="0" t="n">
        <v>0.5</v>
      </c>
      <c r="G950" s="0" t="n">
        <v>3.9</v>
      </c>
      <c r="H950" s="0" t="n">
        <v>1.95</v>
      </c>
      <c r="I950" s="0" t="n">
        <f aca="false">IF(ABS(ROUND(F950*G950,2)-H950)&lt;=0.01,1,0)</f>
        <v>1</v>
      </c>
      <c r="J950" s="0" t="n">
        <v>0</v>
      </c>
    </row>
    <row r="951" customFormat="false" ht="15" hidden="false" customHeight="false" outlineLevel="0" collapsed="false">
      <c r="A951" s="0" t="s">
        <v>257</v>
      </c>
      <c r="B951" s="0" t="s">
        <v>236</v>
      </c>
      <c r="C951" s="0" t="s">
        <v>258</v>
      </c>
      <c r="D951" s="0" t="s">
        <v>508</v>
      </c>
      <c r="E951" s="0" t="s">
        <v>691</v>
      </c>
      <c r="F951" s="0" t="n">
        <v>1</v>
      </c>
      <c r="G951" s="0" t="n">
        <v>6.5</v>
      </c>
      <c r="H951" s="0" t="n">
        <v>6.5</v>
      </c>
      <c r="I951" s="0" t="n">
        <f aca="false">IF(ABS(ROUND(F951*G951,2)-H951)&lt;=0.01,1,0)</f>
        <v>1</v>
      </c>
      <c r="J951" s="0" t="n">
        <v>0</v>
      </c>
    </row>
    <row r="952" customFormat="false" ht="15" hidden="false" customHeight="false" outlineLevel="0" collapsed="false">
      <c r="A952" s="0" t="s">
        <v>260</v>
      </c>
      <c r="B952" s="0" t="s">
        <v>236</v>
      </c>
      <c r="C952" s="0" t="s">
        <v>164</v>
      </c>
      <c r="D952" s="0" t="s">
        <v>487</v>
      </c>
      <c r="E952" s="0" t="s">
        <v>445</v>
      </c>
      <c r="F952" s="0" t="n">
        <v>2</v>
      </c>
      <c r="G952" s="0" t="n">
        <v>19</v>
      </c>
      <c r="H952" s="0" t="n">
        <v>38</v>
      </c>
      <c r="I952" s="0" t="n">
        <f aca="false">IF(ABS(ROUND(F952*G952,2)-H952)&lt;=0.01,1,0)</f>
        <v>1</v>
      </c>
      <c r="J952" s="0" t="n">
        <v>0</v>
      </c>
    </row>
    <row r="953" customFormat="false" ht="15" hidden="false" customHeight="false" outlineLevel="0" collapsed="false">
      <c r="A953" s="0" t="s">
        <v>260</v>
      </c>
      <c r="B953" s="0" t="s">
        <v>236</v>
      </c>
      <c r="C953" s="0" t="s">
        <v>164</v>
      </c>
      <c r="D953" s="0" t="s">
        <v>487</v>
      </c>
      <c r="E953" s="0" t="s">
        <v>349</v>
      </c>
      <c r="F953" s="0" t="n">
        <v>0.5</v>
      </c>
      <c r="G953" s="0" t="n">
        <v>9.8</v>
      </c>
      <c r="H953" s="0" t="n">
        <v>4.9</v>
      </c>
      <c r="I953" s="0" t="n">
        <f aca="false">IF(ABS(ROUND(F953*G953,2)-H953)&lt;=0.01,1,0)</f>
        <v>1</v>
      </c>
      <c r="J953" s="0" t="n">
        <v>0</v>
      </c>
    </row>
    <row r="954" customFormat="false" ht="15" hidden="false" customHeight="false" outlineLevel="0" collapsed="false">
      <c r="A954" s="0" t="s">
        <v>260</v>
      </c>
      <c r="B954" s="0" t="s">
        <v>236</v>
      </c>
      <c r="C954" s="0" t="s">
        <v>164</v>
      </c>
      <c r="D954" s="0" t="s">
        <v>487</v>
      </c>
      <c r="E954" s="0" t="s">
        <v>377</v>
      </c>
      <c r="F954" s="0" t="n">
        <v>1</v>
      </c>
      <c r="G954" s="0" t="n">
        <v>3.9</v>
      </c>
      <c r="H954" s="0" t="n">
        <v>3.9</v>
      </c>
      <c r="I954" s="0" t="n">
        <f aca="false">IF(ABS(ROUND(F954*G954,2)-H954)&lt;=0.01,1,0)</f>
        <v>1</v>
      </c>
      <c r="J954" s="0" t="n">
        <v>0</v>
      </c>
    </row>
    <row r="955" customFormat="false" ht="15" hidden="false" customHeight="false" outlineLevel="0" collapsed="false">
      <c r="A955" s="0" t="s">
        <v>260</v>
      </c>
      <c r="B955" s="0" t="s">
        <v>236</v>
      </c>
      <c r="C955" s="0" t="s">
        <v>164</v>
      </c>
      <c r="D955" s="0" t="s">
        <v>487</v>
      </c>
      <c r="E955" s="0" t="s">
        <v>358</v>
      </c>
      <c r="F955" s="0" t="n">
        <v>1</v>
      </c>
      <c r="G955" s="0" t="n">
        <v>1.8</v>
      </c>
      <c r="H955" s="0" t="n">
        <v>1.8</v>
      </c>
      <c r="I955" s="0" t="n">
        <f aca="false">IF(ABS(ROUND(F955*G955,2)-H955)&lt;=0.01,1,0)</f>
        <v>1</v>
      </c>
      <c r="J955" s="0" t="n">
        <v>0</v>
      </c>
    </row>
    <row r="956" customFormat="false" ht="15" hidden="false" customHeight="false" outlineLevel="0" collapsed="false">
      <c r="A956" s="0" t="s">
        <v>260</v>
      </c>
      <c r="B956" s="0" t="s">
        <v>236</v>
      </c>
      <c r="C956" s="0" t="s">
        <v>164</v>
      </c>
      <c r="D956" s="0" t="s">
        <v>487</v>
      </c>
      <c r="E956" s="0" t="s">
        <v>703</v>
      </c>
      <c r="F956" s="0" t="n">
        <v>1</v>
      </c>
      <c r="G956" s="0" t="n">
        <v>10.5</v>
      </c>
      <c r="H956" s="0" t="n">
        <v>10.5</v>
      </c>
      <c r="I956" s="0" t="n">
        <f aca="false">IF(ABS(ROUND(F956*G956,2)-H956)&lt;=0.01,1,0)</f>
        <v>1</v>
      </c>
      <c r="J956" s="0" t="n">
        <v>0</v>
      </c>
    </row>
    <row r="957" customFormat="false" ht="15" hidden="false" customHeight="false" outlineLevel="0" collapsed="false">
      <c r="A957" s="0" t="s">
        <v>262</v>
      </c>
      <c r="B957" s="0" t="s">
        <v>236</v>
      </c>
      <c r="C957" s="0" t="s">
        <v>263</v>
      </c>
      <c r="D957" s="0" t="s">
        <v>495</v>
      </c>
      <c r="E957" s="0" t="s">
        <v>428</v>
      </c>
      <c r="F957" s="0" t="n">
        <v>0.5</v>
      </c>
      <c r="G957" s="0" t="n">
        <v>7.2</v>
      </c>
      <c r="H957" s="0" t="n">
        <v>3.6</v>
      </c>
      <c r="I957" s="0" t="n">
        <f aca="false">IF(ABS(ROUND(F957*G957,2)-H957)&lt;=0.01,1,0)</f>
        <v>1</v>
      </c>
      <c r="J957" s="0" t="n">
        <v>0</v>
      </c>
    </row>
    <row r="958" customFormat="false" ht="15" hidden="false" customHeight="false" outlineLevel="0" collapsed="false">
      <c r="A958" s="0" t="s">
        <v>262</v>
      </c>
      <c r="B958" s="0" t="s">
        <v>236</v>
      </c>
      <c r="C958" s="0" t="s">
        <v>263</v>
      </c>
      <c r="D958" s="0" t="s">
        <v>495</v>
      </c>
      <c r="E958" s="0" t="s">
        <v>598</v>
      </c>
      <c r="F958" s="0" t="n">
        <v>0.5</v>
      </c>
      <c r="G958" s="0" t="n">
        <v>4.2</v>
      </c>
      <c r="H958" s="0" t="n">
        <v>2.1</v>
      </c>
      <c r="I958" s="0" t="n">
        <f aca="false">IF(ABS(ROUND(F958*G958,2)-H958)&lt;=0.01,1,0)</f>
        <v>1</v>
      </c>
      <c r="J958" s="0" t="n">
        <v>0</v>
      </c>
    </row>
    <row r="959" customFormat="false" ht="15" hidden="false" customHeight="false" outlineLevel="0" collapsed="false">
      <c r="A959" s="0" t="s">
        <v>262</v>
      </c>
      <c r="B959" s="0" t="s">
        <v>236</v>
      </c>
      <c r="C959" s="0" t="s">
        <v>263</v>
      </c>
      <c r="D959" s="0" t="s">
        <v>495</v>
      </c>
      <c r="E959" s="0" t="s">
        <v>406</v>
      </c>
      <c r="F959" s="0" t="n">
        <v>0.5</v>
      </c>
      <c r="G959" s="0" t="n">
        <v>18.6</v>
      </c>
      <c r="H959" s="0" t="n">
        <v>9.3</v>
      </c>
      <c r="I959" s="0" t="n">
        <f aca="false">IF(ABS(ROUND(F959*G959,2)-H959)&lt;=0.01,1,0)</f>
        <v>1</v>
      </c>
      <c r="J959" s="0" t="n">
        <v>0</v>
      </c>
    </row>
    <row r="960" customFormat="false" ht="15" hidden="false" customHeight="false" outlineLevel="0" collapsed="false">
      <c r="A960" s="0" t="s">
        <v>262</v>
      </c>
      <c r="B960" s="0" t="s">
        <v>236</v>
      </c>
      <c r="C960" s="0" t="s">
        <v>263</v>
      </c>
      <c r="D960" s="0" t="s">
        <v>495</v>
      </c>
      <c r="E960" s="0" t="s">
        <v>636</v>
      </c>
      <c r="F960" s="0" t="n">
        <v>0.5</v>
      </c>
      <c r="G960" s="0" t="n">
        <v>19</v>
      </c>
      <c r="H960" s="0" t="n">
        <v>9.5</v>
      </c>
      <c r="I960" s="0" t="n">
        <f aca="false">IF(ABS(ROUND(F960*G960,2)-H960)&lt;=0.01,1,0)</f>
        <v>1</v>
      </c>
      <c r="J960" s="0" t="n">
        <v>0</v>
      </c>
    </row>
    <row r="961" customFormat="false" ht="15" hidden="false" customHeight="false" outlineLevel="0" collapsed="false">
      <c r="A961" s="0" t="s">
        <v>262</v>
      </c>
      <c r="B961" s="0" t="s">
        <v>236</v>
      </c>
      <c r="C961" s="0" t="s">
        <v>263</v>
      </c>
      <c r="D961" s="0" t="s">
        <v>495</v>
      </c>
      <c r="E961" s="0" t="s">
        <v>366</v>
      </c>
      <c r="F961" s="0" t="n">
        <v>0.5</v>
      </c>
      <c r="G961" s="0" t="n">
        <v>2.2</v>
      </c>
      <c r="H961" s="0" t="n">
        <v>1.1</v>
      </c>
      <c r="I961" s="0" t="n">
        <f aca="false">IF(ABS(ROUND(F961*G961,2)-H961)&lt;=0.01,1,0)</f>
        <v>1</v>
      </c>
      <c r="J961" s="0" t="n">
        <v>0</v>
      </c>
    </row>
    <row r="962" customFormat="false" ht="15" hidden="false" customHeight="false" outlineLevel="0" collapsed="false">
      <c r="A962" s="0" t="s">
        <v>265</v>
      </c>
      <c r="B962" s="0" t="s">
        <v>236</v>
      </c>
      <c r="C962" s="0" t="s">
        <v>266</v>
      </c>
      <c r="D962" s="0" t="s">
        <v>563</v>
      </c>
      <c r="E962" s="0" t="s">
        <v>391</v>
      </c>
      <c r="F962" s="0" t="n">
        <v>0.5</v>
      </c>
      <c r="G962" s="0" t="n">
        <v>7.2</v>
      </c>
      <c r="H962" s="0" t="n">
        <v>3.6</v>
      </c>
      <c r="I962" s="0" t="n">
        <f aca="false">IF(ABS(ROUND(F962*G962,2)-H962)&lt;=0.01,1,0)</f>
        <v>1</v>
      </c>
      <c r="J962" s="0" t="n">
        <v>0</v>
      </c>
    </row>
    <row r="963" customFormat="false" ht="15" hidden="false" customHeight="false" outlineLevel="0" collapsed="false">
      <c r="A963" s="0" t="s">
        <v>265</v>
      </c>
      <c r="B963" s="0" t="s">
        <v>236</v>
      </c>
      <c r="C963" s="0" t="s">
        <v>266</v>
      </c>
      <c r="D963" s="0" t="s">
        <v>563</v>
      </c>
      <c r="E963" s="0" t="s">
        <v>582</v>
      </c>
      <c r="F963" s="0" t="n">
        <v>0.5</v>
      </c>
      <c r="G963" s="0" t="n">
        <v>8.9</v>
      </c>
      <c r="H963" s="0" t="n">
        <v>4.45</v>
      </c>
      <c r="I963" s="0" t="n">
        <f aca="false">IF(ABS(ROUND(F963*G963,2)-H963)&lt;=0.01,1,0)</f>
        <v>1</v>
      </c>
      <c r="J963" s="0" t="n">
        <v>0</v>
      </c>
    </row>
    <row r="964" customFormat="false" ht="15" hidden="false" customHeight="false" outlineLevel="0" collapsed="false">
      <c r="A964" s="0" t="s">
        <v>265</v>
      </c>
      <c r="B964" s="0" t="s">
        <v>236</v>
      </c>
      <c r="C964" s="0" t="s">
        <v>266</v>
      </c>
      <c r="D964" s="0" t="s">
        <v>563</v>
      </c>
      <c r="E964" s="0" t="s">
        <v>450</v>
      </c>
      <c r="F964" s="0" t="n">
        <v>0.5</v>
      </c>
      <c r="G964" s="0" t="n">
        <v>27.8</v>
      </c>
      <c r="H964" s="0" t="n">
        <v>13.9</v>
      </c>
      <c r="I964" s="0" t="n">
        <f aca="false">IF(ABS(ROUND(F964*G964,2)-H964)&lt;=0.01,1,0)</f>
        <v>1</v>
      </c>
      <c r="J964" s="0" t="n">
        <v>0</v>
      </c>
    </row>
    <row r="965" customFormat="false" ht="15" hidden="false" customHeight="false" outlineLevel="0" collapsed="false">
      <c r="A965" s="0" t="s">
        <v>265</v>
      </c>
      <c r="B965" s="0" t="s">
        <v>236</v>
      </c>
      <c r="C965" s="0" t="s">
        <v>266</v>
      </c>
      <c r="D965" s="0" t="s">
        <v>563</v>
      </c>
      <c r="E965" s="0" t="s">
        <v>636</v>
      </c>
      <c r="F965" s="0" t="n">
        <v>0.5</v>
      </c>
      <c r="G965" s="0" t="n">
        <v>19</v>
      </c>
      <c r="H965" s="0" t="n">
        <v>9.5</v>
      </c>
      <c r="I965" s="0" t="n">
        <f aca="false">IF(ABS(ROUND(F965*G965,2)-H965)&lt;=0.01,1,0)</f>
        <v>1</v>
      </c>
      <c r="J965" s="0" t="n">
        <v>0</v>
      </c>
    </row>
    <row r="966" customFormat="false" ht="15" hidden="false" customHeight="false" outlineLevel="0" collapsed="false">
      <c r="A966" s="0" t="s">
        <v>265</v>
      </c>
      <c r="B966" s="0" t="s">
        <v>236</v>
      </c>
      <c r="C966" s="0" t="s">
        <v>266</v>
      </c>
      <c r="D966" s="0" t="s">
        <v>563</v>
      </c>
      <c r="E966" s="0" t="s">
        <v>349</v>
      </c>
      <c r="F966" s="0" t="n">
        <v>0.5</v>
      </c>
      <c r="G966" s="0" t="n">
        <v>9.8</v>
      </c>
      <c r="H966" s="0" t="n">
        <v>4.9</v>
      </c>
      <c r="I966" s="0" t="n">
        <f aca="false">IF(ABS(ROUND(F966*G966,2)-H966)&lt;=0.01,1,0)</f>
        <v>1</v>
      </c>
      <c r="J966" s="0" t="n">
        <v>0</v>
      </c>
    </row>
    <row r="967" customFormat="false" ht="15" hidden="false" customHeight="false" outlineLevel="0" collapsed="false">
      <c r="A967" s="0" t="s">
        <v>268</v>
      </c>
      <c r="B967" s="0" t="s">
        <v>236</v>
      </c>
      <c r="C967" s="0" t="s">
        <v>269</v>
      </c>
      <c r="D967" s="0" t="s">
        <v>509</v>
      </c>
      <c r="E967" s="0" t="s">
        <v>607</v>
      </c>
      <c r="F967" s="0" t="n">
        <v>0.5</v>
      </c>
      <c r="G967" s="0" t="n">
        <v>5.9</v>
      </c>
      <c r="H967" s="0" t="n">
        <v>2.95</v>
      </c>
      <c r="I967" s="0" t="n">
        <f aca="false">IF(ABS(ROUND(F967*G967,2)-H967)&lt;=0.01,1,0)</f>
        <v>1</v>
      </c>
      <c r="J967" s="0" t="n">
        <v>0</v>
      </c>
    </row>
    <row r="968" customFormat="false" ht="15" hidden="false" customHeight="false" outlineLevel="0" collapsed="false">
      <c r="A968" s="0" t="s">
        <v>268</v>
      </c>
      <c r="B968" s="0" t="s">
        <v>236</v>
      </c>
      <c r="C968" s="0" t="s">
        <v>269</v>
      </c>
      <c r="D968" s="0" t="s">
        <v>509</v>
      </c>
      <c r="E968" s="0" t="s">
        <v>437</v>
      </c>
      <c r="F968" s="0" t="n">
        <v>0.5</v>
      </c>
      <c r="G968" s="0" t="n">
        <v>5.2</v>
      </c>
      <c r="H968" s="0" t="n">
        <v>2.6</v>
      </c>
      <c r="I968" s="0" t="n">
        <f aca="false">IF(ABS(ROUND(F968*G968,2)-H968)&lt;=0.01,1,0)</f>
        <v>1</v>
      </c>
      <c r="J968" s="0" t="n">
        <v>0</v>
      </c>
    </row>
    <row r="969" customFormat="false" ht="15" hidden="false" customHeight="false" outlineLevel="0" collapsed="false">
      <c r="A969" s="0" t="s">
        <v>268</v>
      </c>
      <c r="B969" s="0" t="s">
        <v>236</v>
      </c>
      <c r="C969" s="0" t="s">
        <v>269</v>
      </c>
      <c r="D969" s="0" t="s">
        <v>509</v>
      </c>
      <c r="E969" s="0" t="s">
        <v>699</v>
      </c>
      <c r="F969" s="0" t="n">
        <v>0.5</v>
      </c>
      <c r="G969" s="0" t="n">
        <v>29.9</v>
      </c>
      <c r="H969" s="0" t="n">
        <v>14.95</v>
      </c>
      <c r="I969" s="0" t="n">
        <f aca="false">IF(ABS(ROUND(F969*G969,2)-H969)&lt;=0.01,1,0)</f>
        <v>1</v>
      </c>
      <c r="J969" s="0" t="n">
        <v>0</v>
      </c>
    </row>
    <row r="970" customFormat="false" ht="15" hidden="false" customHeight="false" outlineLevel="0" collapsed="false">
      <c r="A970" s="0" t="s">
        <v>268</v>
      </c>
      <c r="B970" s="0" t="s">
        <v>236</v>
      </c>
      <c r="C970" s="0" t="s">
        <v>269</v>
      </c>
      <c r="D970" s="0" t="s">
        <v>509</v>
      </c>
      <c r="E970" s="0" t="s">
        <v>392</v>
      </c>
      <c r="F970" s="0" t="n">
        <v>0.5</v>
      </c>
      <c r="G970" s="0" t="n">
        <v>18.6</v>
      </c>
      <c r="H970" s="0" t="n">
        <v>9.3</v>
      </c>
      <c r="I970" s="0" t="n">
        <f aca="false">IF(ABS(ROUND(F970*G970,2)-H970)&lt;=0.01,1,0)</f>
        <v>1</v>
      </c>
      <c r="J970" s="0" t="n">
        <v>0</v>
      </c>
    </row>
    <row r="971" customFormat="false" ht="15" hidden="false" customHeight="false" outlineLevel="0" collapsed="false">
      <c r="A971" s="0" t="s">
        <v>268</v>
      </c>
      <c r="B971" s="0" t="s">
        <v>236</v>
      </c>
      <c r="C971" s="0" t="s">
        <v>269</v>
      </c>
      <c r="D971" s="0" t="s">
        <v>509</v>
      </c>
      <c r="E971" s="0" t="s">
        <v>661</v>
      </c>
      <c r="F971" s="0" t="n">
        <v>0.5</v>
      </c>
      <c r="G971" s="0" t="n">
        <v>11.9</v>
      </c>
      <c r="H971" s="0" t="n">
        <v>5.95</v>
      </c>
      <c r="I971" s="0" t="n">
        <f aca="false">IF(ABS(ROUND(F971*G971,2)-H971)&lt;=0.01,1,0)</f>
        <v>1</v>
      </c>
      <c r="J971" s="0" t="n">
        <v>0</v>
      </c>
    </row>
    <row r="972" customFormat="false" ht="15" hidden="false" customHeight="false" outlineLevel="0" collapsed="false">
      <c r="A972" s="0" t="s">
        <v>271</v>
      </c>
      <c r="B972" s="0" t="s">
        <v>236</v>
      </c>
      <c r="C972" s="0" t="s">
        <v>272</v>
      </c>
      <c r="D972" s="0" t="s">
        <v>519</v>
      </c>
      <c r="E972" s="0" t="s">
        <v>655</v>
      </c>
      <c r="F972" s="0" t="n">
        <v>0.5</v>
      </c>
      <c r="G972" s="0" t="n">
        <v>4.9</v>
      </c>
      <c r="H972" s="0" t="n">
        <v>2.45</v>
      </c>
      <c r="I972" s="0" t="n">
        <f aca="false">IF(ABS(ROUND(F972*G972,2)-H972)&lt;=0.01,1,0)</f>
        <v>1</v>
      </c>
      <c r="J972" s="0" t="n">
        <v>0</v>
      </c>
    </row>
    <row r="973" customFormat="false" ht="15" hidden="false" customHeight="false" outlineLevel="0" collapsed="false">
      <c r="A973" s="0" t="s">
        <v>271</v>
      </c>
      <c r="B973" s="0" t="s">
        <v>236</v>
      </c>
      <c r="C973" s="0" t="s">
        <v>272</v>
      </c>
      <c r="D973" s="0" t="s">
        <v>519</v>
      </c>
      <c r="E973" s="0" t="s">
        <v>704</v>
      </c>
      <c r="F973" s="0" t="n">
        <v>0.5</v>
      </c>
      <c r="G973" s="0" t="n">
        <v>3.9</v>
      </c>
      <c r="H973" s="0" t="n">
        <v>1.95</v>
      </c>
      <c r="I973" s="0" t="n">
        <f aca="false">IF(ABS(ROUND(F973*G973,2)-H973)&lt;=0.01,1,0)</f>
        <v>1</v>
      </c>
      <c r="J973" s="0" t="n">
        <v>0</v>
      </c>
    </row>
    <row r="974" customFormat="false" ht="15" hidden="false" customHeight="false" outlineLevel="0" collapsed="false">
      <c r="A974" s="0" t="s">
        <v>271</v>
      </c>
      <c r="B974" s="0" t="s">
        <v>236</v>
      </c>
      <c r="C974" s="0" t="s">
        <v>272</v>
      </c>
      <c r="D974" s="0" t="s">
        <v>519</v>
      </c>
      <c r="E974" s="0" t="s">
        <v>447</v>
      </c>
      <c r="F974" s="0" t="n">
        <v>0.5</v>
      </c>
      <c r="G974" s="0" t="n">
        <v>17.8</v>
      </c>
      <c r="H974" s="0" t="n">
        <v>8.9</v>
      </c>
      <c r="I974" s="0" t="n">
        <f aca="false">IF(ABS(ROUND(F974*G974,2)-H974)&lt;=0.01,1,0)</f>
        <v>1</v>
      </c>
      <c r="J974" s="0" t="n">
        <v>0</v>
      </c>
    </row>
    <row r="975" customFormat="false" ht="15" hidden="false" customHeight="false" outlineLevel="0" collapsed="false">
      <c r="A975" s="0" t="s">
        <v>271</v>
      </c>
      <c r="B975" s="0" t="s">
        <v>236</v>
      </c>
      <c r="C975" s="0" t="s">
        <v>272</v>
      </c>
      <c r="D975" s="0" t="s">
        <v>519</v>
      </c>
      <c r="E975" s="0" t="s">
        <v>588</v>
      </c>
      <c r="F975" s="0" t="n">
        <v>0.5</v>
      </c>
      <c r="G975" s="0" t="n">
        <v>18.1</v>
      </c>
      <c r="H975" s="0" t="n">
        <v>9.05</v>
      </c>
      <c r="I975" s="0" t="n">
        <f aca="false">IF(ABS(ROUND(F975*G975,2)-H975)&lt;=0.01,1,0)</f>
        <v>1</v>
      </c>
      <c r="J975" s="0" t="n">
        <v>0</v>
      </c>
    </row>
    <row r="976" customFormat="false" ht="15" hidden="false" customHeight="false" outlineLevel="0" collapsed="false">
      <c r="A976" s="0" t="s">
        <v>274</v>
      </c>
      <c r="B976" s="0" t="s">
        <v>236</v>
      </c>
      <c r="C976" s="0" t="s">
        <v>275</v>
      </c>
      <c r="D976" s="0" t="s">
        <v>563</v>
      </c>
      <c r="E976" s="0" t="s">
        <v>344</v>
      </c>
      <c r="F976" s="0" t="n">
        <v>1</v>
      </c>
      <c r="G976" s="0" t="n">
        <v>8</v>
      </c>
      <c r="H976" s="0" t="n">
        <v>8</v>
      </c>
      <c r="I976" s="0" t="n">
        <f aca="false">IF(ABS(ROUND(F976*G976,2)-H976)&lt;=0.01,1,0)</f>
        <v>1</v>
      </c>
      <c r="J976" s="0" t="n">
        <v>0</v>
      </c>
    </row>
    <row r="977" customFormat="false" ht="15" hidden="false" customHeight="false" outlineLevel="0" collapsed="false">
      <c r="A977" s="0" t="s">
        <v>274</v>
      </c>
      <c r="B977" s="0" t="s">
        <v>236</v>
      </c>
      <c r="C977" s="0" t="s">
        <v>275</v>
      </c>
      <c r="D977" s="0" t="s">
        <v>563</v>
      </c>
      <c r="E977" s="0" t="s">
        <v>641</v>
      </c>
      <c r="F977" s="0" t="n">
        <v>1</v>
      </c>
      <c r="G977" s="0" t="n">
        <v>3.9</v>
      </c>
      <c r="H977" s="0" t="n">
        <v>3.9</v>
      </c>
      <c r="I977" s="0" t="n">
        <f aca="false">IF(ABS(ROUND(F977*G977,2)-H977)&lt;=0.01,1,0)</f>
        <v>1</v>
      </c>
      <c r="J977" s="0" t="n">
        <v>0</v>
      </c>
    </row>
    <row r="978" customFormat="false" ht="15" hidden="false" customHeight="false" outlineLevel="0" collapsed="false">
      <c r="A978" s="0" t="s">
        <v>274</v>
      </c>
      <c r="B978" s="0" t="s">
        <v>236</v>
      </c>
      <c r="C978" s="0" t="s">
        <v>275</v>
      </c>
      <c r="D978" s="0" t="s">
        <v>563</v>
      </c>
      <c r="E978" s="0" t="s">
        <v>392</v>
      </c>
      <c r="F978" s="0" t="n">
        <v>1</v>
      </c>
      <c r="G978" s="0" t="n">
        <v>18.6</v>
      </c>
      <c r="H978" s="0" t="n">
        <v>18.6</v>
      </c>
      <c r="I978" s="0" t="n">
        <f aca="false">IF(ABS(ROUND(F978*G978,2)-H978)&lt;=0.01,1,0)</f>
        <v>1</v>
      </c>
      <c r="J978" s="0" t="n">
        <v>0</v>
      </c>
    </row>
    <row r="979" customFormat="false" ht="15" hidden="false" customHeight="false" outlineLevel="0" collapsed="false">
      <c r="A979" s="0" t="s">
        <v>274</v>
      </c>
      <c r="B979" s="0" t="s">
        <v>236</v>
      </c>
      <c r="C979" s="0" t="s">
        <v>275</v>
      </c>
      <c r="D979" s="0" t="s">
        <v>563</v>
      </c>
      <c r="E979" s="0" t="s">
        <v>636</v>
      </c>
      <c r="F979" s="0" t="n">
        <v>1</v>
      </c>
      <c r="G979" s="0" t="n">
        <v>19</v>
      </c>
      <c r="H979" s="0" t="n">
        <v>19</v>
      </c>
      <c r="I979" s="0" t="n">
        <f aca="false">IF(ABS(ROUND(F979*G979,2)-H979)&lt;=0.01,1,0)</f>
        <v>1</v>
      </c>
      <c r="J979" s="0" t="n">
        <v>0</v>
      </c>
    </row>
    <row r="980" customFormat="false" ht="15" hidden="false" customHeight="false" outlineLevel="0" collapsed="false">
      <c r="A980" s="0" t="s">
        <v>274</v>
      </c>
      <c r="B980" s="0" t="s">
        <v>236</v>
      </c>
      <c r="C980" s="0" t="s">
        <v>275</v>
      </c>
      <c r="D980" s="0" t="s">
        <v>563</v>
      </c>
      <c r="E980" s="0" t="s">
        <v>705</v>
      </c>
      <c r="F980" s="0" t="n">
        <v>1</v>
      </c>
      <c r="G980" s="0" t="n">
        <v>10.5</v>
      </c>
      <c r="H980" s="0" t="n">
        <v>10.5</v>
      </c>
      <c r="I980" s="0" t="n">
        <f aca="false">IF(ABS(ROUND(F980*G980,2)-H980)&lt;=0.01,1,0)</f>
        <v>1</v>
      </c>
      <c r="J980" s="0" t="n">
        <v>0</v>
      </c>
    </row>
    <row r="981" customFormat="false" ht="15" hidden="false" customHeight="false" outlineLevel="0" collapsed="false">
      <c r="A981" s="0" t="s">
        <v>274</v>
      </c>
      <c r="B981" s="0" t="s">
        <v>236</v>
      </c>
      <c r="C981" s="0" t="s">
        <v>275</v>
      </c>
      <c r="D981" s="0" t="s">
        <v>563</v>
      </c>
      <c r="E981" s="0" t="s">
        <v>642</v>
      </c>
      <c r="F981" s="0" t="n">
        <v>1</v>
      </c>
      <c r="G981" s="0" t="n">
        <v>4.9</v>
      </c>
      <c r="H981" s="0" t="n">
        <v>4.9</v>
      </c>
      <c r="I981" s="0" t="n">
        <f aca="false">IF(ABS(ROUND(F981*G981,2)-H981)&lt;=0.01,1,0)</f>
        <v>1</v>
      </c>
      <c r="J981" s="0" t="n">
        <v>0</v>
      </c>
    </row>
    <row r="982" customFormat="false" ht="15" hidden="false" customHeight="false" outlineLevel="0" collapsed="false">
      <c r="A982" s="0" t="s">
        <v>274</v>
      </c>
      <c r="B982" s="0" t="s">
        <v>236</v>
      </c>
      <c r="C982" s="0" t="s">
        <v>275</v>
      </c>
      <c r="D982" s="0" t="s">
        <v>563</v>
      </c>
      <c r="E982" s="0" t="s">
        <v>682</v>
      </c>
      <c r="F982" s="0" t="n">
        <v>1</v>
      </c>
      <c r="G982" s="0" t="n">
        <v>2.5</v>
      </c>
      <c r="H982" s="0" t="n">
        <v>2.5</v>
      </c>
      <c r="I982" s="0" t="n">
        <f aca="false">IF(ABS(ROUND(F982*G982,2)-H982)&lt;=0.01,1,0)</f>
        <v>1</v>
      </c>
      <c r="J982" s="0" t="n">
        <v>0</v>
      </c>
    </row>
    <row r="983" customFormat="false" ht="15" hidden="false" customHeight="false" outlineLevel="0" collapsed="false">
      <c r="A983" s="0" t="s">
        <v>274</v>
      </c>
      <c r="B983" s="0" t="s">
        <v>236</v>
      </c>
      <c r="C983" s="0" t="s">
        <v>275</v>
      </c>
      <c r="D983" s="0" t="s">
        <v>563</v>
      </c>
      <c r="E983" s="0" t="s">
        <v>672</v>
      </c>
      <c r="F983" s="0" t="n">
        <v>1</v>
      </c>
      <c r="G983" s="0" t="n">
        <v>3.5</v>
      </c>
      <c r="H983" s="0" t="n">
        <v>3.5</v>
      </c>
      <c r="I983" s="0" t="n">
        <f aca="false">IF(ABS(ROUND(F983*G983,2)-H983)&lt;=0.01,1,0)</f>
        <v>1</v>
      </c>
      <c r="J983" s="0" t="n">
        <v>0</v>
      </c>
    </row>
    <row r="984" customFormat="false" ht="15" hidden="false" customHeight="false" outlineLevel="0" collapsed="false">
      <c r="A984" s="0" t="s">
        <v>277</v>
      </c>
      <c r="B984" s="0" t="s">
        <v>236</v>
      </c>
      <c r="C984" s="0" t="s">
        <v>278</v>
      </c>
      <c r="D984" s="0" t="s">
        <v>506</v>
      </c>
      <c r="E984" s="0" t="s">
        <v>581</v>
      </c>
      <c r="F984" s="0" t="n">
        <v>1</v>
      </c>
      <c r="G984" s="0" t="n">
        <v>5</v>
      </c>
      <c r="H984" s="0" t="n">
        <v>5</v>
      </c>
      <c r="I984" s="0" t="n">
        <f aca="false">IF(ABS(ROUND(F984*G984,2)-H984)&lt;=0.01,1,0)</f>
        <v>1</v>
      </c>
      <c r="J984" s="0" t="n">
        <v>0</v>
      </c>
    </row>
    <row r="985" customFormat="false" ht="15" hidden="false" customHeight="false" outlineLevel="0" collapsed="false">
      <c r="A985" s="0" t="s">
        <v>277</v>
      </c>
      <c r="B985" s="0" t="s">
        <v>236</v>
      </c>
      <c r="C985" s="0" t="s">
        <v>278</v>
      </c>
      <c r="D985" s="0" t="s">
        <v>506</v>
      </c>
      <c r="E985" s="0" t="s">
        <v>604</v>
      </c>
      <c r="F985" s="0" t="n">
        <v>1</v>
      </c>
      <c r="G985" s="0" t="n">
        <v>4</v>
      </c>
      <c r="H985" s="0" t="n">
        <v>4</v>
      </c>
      <c r="I985" s="0" t="n">
        <f aca="false">IF(ABS(ROUND(F985*G985,2)-H985)&lt;=0.01,1,0)</f>
        <v>1</v>
      </c>
      <c r="J985" s="0" t="n">
        <v>0</v>
      </c>
    </row>
    <row r="986" customFormat="false" ht="15" hidden="false" customHeight="false" outlineLevel="0" collapsed="false">
      <c r="A986" s="0" t="s">
        <v>277</v>
      </c>
      <c r="B986" s="0" t="s">
        <v>236</v>
      </c>
      <c r="C986" s="0" t="s">
        <v>278</v>
      </c>
      <c r="D986" s="0" t="s">
        <v>506</v>
      </c>
      <c r="E986" s="0" t="s">
        <v>392</v>
      </c>
      <c r="F986" s="0" t="n">
        <v>2</v>
      </c>
      <c r="G986" s="0" t="n">
        <v>18.6</v>
      </c>
      <c r="H986" s="0" t="n">
        <v>37.2</v>
      </c>
      <c r="I986" s="0" t="n">
        <f aca="false">IF(ABS(ROUND(F986*G986,2)-H986)&lt;=0.01,1,0)</f>
        <v>1</v>
      </c>
      <c r="J986" s="0" t="n">
        <v>0</v>
      </c>
    </row>
    <row r="987" customFormat="false" ht="15" hidden="false" customHeight="false" outlineLevel="0" collapsed="false">
      <c r="A987" s="0" t="s">
        <v>277</v>
      </c>
      <c r="B987" s="0" t="s">
        <v>236</v>
      </c>
      <c r="C987" s="0" t="s">
        <v>278</v>
      </c>
      <c r="D987" s="0" t="s">
        <v>506</v>
      </c>
      <c r="E987" s="0" t="s">
        <v>428</v>
      </c>
      <c r="F987" s="0" t="n">
        <v>1</v>
      </c>
      <c r="G987" s="0" t="n">
        <v>8.3</v>
      </c>
      <c r="H987" s="0" t="n">
        <v>8.3</v>
      </c>
      <c r="I987" s="0" t="n">
        <f aca="false">IF(ABS(ROUND(F987*G987,2)-H987)&lt;=0.01,1,0)</f>
        <v>1</v>
      </c>
      <c r="J987" s="0" t="n">
        <v>0</v>
      </c>
    </row>
    <row r="988" customFormat="false" ht="15" hidden="false" customHeight="false" outlineLevel="0" collapsed="false">
      <c r="A988" s="0" t="s">
        <v>277</v>
      </c>
      <c r="B988" s="0" t="s">
        <v>236</v>
      </c>
      <c r="C988" s="0" t="s">
        <v>278</v>
      </c>
      <c r="D988" s="0" t="s">
        <v>506</v>
      </c>
      <c r="E988" s="0" t="s">
        <v>429</v>
      </c>
      <c r="F988" s="0" t="n">
        <v>1</v>
      </c>
      <c r="G988" s="0" t="n">
        <v>8.9</v>
      </c>
      <c r="H988" s="0" t="n">
        <v>8.9</v>
      </c>
      <c r="I988" s="0" t="n">
        <f aca="false">IF(ABS(ROUND(F988*G988,2)-H988)&lt;=0.01,1,0)</f>
        <v>1</v>
      </c>
      <c r="J988" s="0" t="n">
        <v>0</v>
      </c>
    </row>
    <row r="989" customFormat="false" ht="15" hidden="false" customHeight="false" outlineLevel="0" collapsed="false">
      <c r="A989" s="0" t="s">
        <v>277</v>
      </c>
      <c r="B989" s="0" t="s">
        <v>236</v>
      </c>
      <c r="C989" s="0" t="s">
        <v>278</v>
      </c>
      <c r="D989" s="0" t="s">
        <v>506</v>
      </c>
      <c r="E989" s="0" t="s">
        <v>377</v>
      </c>
      <c r="F989" s="0" t="n">
        <v>1</v>
      </c>
      <c r="G989" s="0" t="n">
        <v>5.5</v>
      </c>
      <c r="H989" s="0" t="n">
        <v>5.5</v>
      </c>
      <c r="I989" s="0" t="n">
        <f aca="false">IF(ABS(ROUND(F989*G989,2)-H989)&lt;=0.01,1,0)</f>
        <v>1</v>
      </c>
      <c r="J989" s="0" t="n">
        <v>0</v>
      </c>
    </row>
    <row r="990" customFormat="false" ht="15" hidden="false" customHeight="false" outlineLevel="0" collapsed="false">
      <c r="A990" s="0" t="s">
        <v>280</v>
      </c>
      <c r="B990" s="0" t="s">
        <v>236</v>
      </c>
      <c r="C990" s="0" t="s">
        <v>281</v>
      </c>
      <c r="D990" s="0" t="s">
        <v>512</v>
      </c>
      <c r="E990" s="0" t="s">
        <v>368</v>
      </c>
      <c r="F990" s="0" t="n">
        <v>0.5</v>
      </c>
      <c r="G990" s="0" t="n">
        <v>5.9</v>
      </c>
      <c r="H990" s="0" t="n">
        <v>2.95</v>
      </c>
      <c r="I990" s="0" t="n">
        <f aca="false">IF(ABS(ROUND(F990*G990,2)-H990)&lt;=0.01,1,0)</f>
        <v>1</v>
      </c>
      <c r="J990" s="0" t="n">
        <v>0</v>
      </c>
    </row>
    <row r="991" customFormat="false" ht="15" hidden="false" customHeight="false" outlineLevel="0" collapsed="false">
      <c r="A991" s="0" t="s">
        <v>280</v>
      </c>
      <c r="B991" s="0" t="s">
        <v>236</v>
      </c>
      <c r="C991" s="0" t="s">
        <v>281</v>
      </c>
      <c r="D991" s="0" t="s">
        <v>512</v>
      </c>
      <c r="E991" s="0" t="s">
        <v>607</v>
      </c>
      <c r="F991" s="0" t="n">
        <v>0.5</v>
      </c>
      <c r="G991" s="0" t="n">
        <v>5.9</v>
      </c>
      <c r="H991" s="0" t="n">
        <v>2.95</v>
      </c>
      <c r="I991" s="0" t="n">
        <f aca="false">IF(ABS(ROUND(F991*G991,2)-H991)&lt;=0.01,1,0)</f>
        <v>1</v>
      </c>
      <c r="J991" s="0" t="n">
        <v>0</v>
      </c>
    </row>
    <row r="992" customFormat="false" ht="15" hidden="false" customHeight="false" outlineLevel="0" collapsed="false">
      <c r="A992" s="0" t="s">
        <v>280</v>
      </c>
      <c r="B992" s="0" t="s">
        <v>236</v>
      </c>
      <c r="C992" s="0" t="s">
        <v>281</v>
      </c>
      <c r="D992" s="0" t="s">
        <v>512</v>
      </c>
      <c r="E992" s="0" t="s">
        <v>575</v>
      </c>
      <c r="F992" s="0" t="n">
        <v>0.5</v>
      </c>
      <c r="G992" s="0" t="n">
        <v>45</v>
      </c>
      <c r="H992" s="0" t="n">
        <v>22.5</v>
      </c>
      <c r="I992" s="0" t="n">
        <f aca="false">IF(ABS(ROUND(F992*G992,2)-H992)&lt;=0.01,1,0)</f>
        <v>1</v>
      </c>
      <c r="J992" s="0" t="n">
        <v>0</v>
      </c>
    </row>
    <row r="993" customFormat="false" ht="15" hidden="false" customHeight="false" outlineLevel="0" collapsed="false">
      <c r="A993" s="0" t="s">
        <v>280</v>
      </c>
      <c r="B993" s="0" t="s">
        <v>236</v>
      </c>
      <c r="C993" s="0" t="s">
        <v>281</v>
      </c>
      <c r="D993" s="0" t="s">
        <v>512</v>
      </c>
      <c r="E993" s="0" t="s">
        <v>651</v>
      </c>
      <c r="F993" s="0" t="n">
        <v>0.5</v>
      </c>
      <c r="G993" s="0" t="n">
        <v>28</v>
      </c>
      <c r="H993" s="0" t="n">
        <v>14</v>
      </c>
      <c r="I993" s="0" t="n">
        <f aca="false">IF(ABS(ROUND(F993*G993,2)-H993)&lt;=0.01,1,0)</f>
        <v>1</v>
      </c>
      <c r="J993" s="0" t="n">
        <v>0</v>
      </c>
    </row>
    <row r="994" customFormat="false" ht="15" hidden="false" customHeight="false" outlineLevel="0" collapsed="false">
      <c r="A994" s="0" t="s">
        <v>280</v>
      </c>
      <c r="B994" s="0" t="s">
        <v>236</v>
      </c>
      <c r="C994" s="0" t="s">
        <v>281</v>
      </c>
      <c r="D994" s="0" t="s">
        <v>512</v>
      </c>
      <c r="E994" s="0" t="s">
        <v>366</v>
      </c>
      <c r="F994" s="0" t="n">
        <v>0.5</v>
      </c>
      <c r="G994" s="0" t="n">
        <v>2.2</v>
      </c>
      <c r="H994" s="0" t="n">
        <v>1.1</v>
      </c>
      <c r="I994" s="0" t="n">
        <f aca="false">IF(ABS(ROUND(F994*G994,2)-H994)&lt;=0.01,1,0)</f>
        <v>1</v>
      </c>
      <c r="J994" s="0" t="n">
        <v>0</v>
      </c>
    </row>
    <row r="995" customFormat="false" ht="15" hidden="false" customHeight="false" outlineLevel="0" collapsed="false">
      <c r="A995" s="0" t="s">
        <v>280</v>
      </c>
      <c r="B995" s="0" t="s">
        <v>236</v>
      </c>
      <c r="C995" s="0" t="s">
        <v>281</v>
      </c>
      <c r="D995" s="0" t="s">
        <v>512</v>
      </c>
      <c r="E995" s="0" t="s">
        <v>579</v>
      </c>
      <c r="F995" s="0" t="n">
        <v>0.5</v>
      </c>
      <c r="G995" s="0" t="n">
        <v>28</v>
      </c>
      <c r="H995" s="0" t="n">
        <v>14</v>
      </c>
      <c r="I995" s="0" t="n">
        <f aca="false">IF(ABS(ROUND(F995*G995,2)-H995)&lt;=0.01,1,0)</f>
        <v>1</v>
      </c>
      <c r="J995" s="0" t="n">
        <v>0</v>
      </c>
    </row>
    <row r="996" customFormat="false" ht="15" hidden="false" customHeight="false" outlineLevel="0" collapsed="false">
      <c r="A996" s="0" t="s">
        <v>283</v>
      </c>
      <c r="B996" s="0" t="s">
        <v>236</v>
      </c>
      <c r="C996" s="0" t="s">
        <v>284</v>
      </c>
      <c r="D996" s="0" t="s">
        <v>560</v>
      </c>
      <c r="E996" s="0" t="s">
        <v>607</v>
      </c>
      <c r="F996" s="0" t="n">
        <v>1</v>
      </c>
      <c r="G996" s="0" t="n">
        <v>5.9</v>
      </c>
      <c r="H996" s="0" t="n">
        <v>5.9</v>
      </c>
      <c r="I996" s="0" t="n">
        <f aca="false">IF(ABS(ROUND(F996*G996,2)-H996)&lt;=0.01,1,0)</f>
        <v>1</v>
      </c>
      <c r="J996" s="0" t="n">
        <v>0</v>
      </c>
    </row>
    <row r="997" customFormat="false" ht="15" hidden="false" customHeight="false" outlineLevel="0" collapsed="false">
      <c r="A997" s="0" t="s">
        <v>283</v>
      </c>
      <c r="B997" s="0" t="s">
        <v>236</v>
      </c>
      <c r="C997" s="0" t="s">
        <v>284</v>
      </c>
      <c r="D997" s="0" t="s">
        <v>560</v>
      </c>
      <c r="E997" s="0" t="s">
        <v>395</v>
      </c>
      <c r="F997" s="0" t="n">
        <v>0.5</v>
      </c>
      <c r="G997" s="0" t="n">
        <v>5.9</v>
      </c>
      <c r="H997" s="0" t="n">
        <v>2.95</v>
      </c>
      <c r="I997" s="0" t="n">
        <f aca="false">IF(ABS(ROUND(F997*G997,2)-H997)&lt;=0.01,1,0)</f>
        <v>1</v>
      </c>
      <c r="J997" s="0" t="n">
        <v>0</v>
      </c>
    </row>
    <row r="998" customFormat="false" ht="15" hidden="false" customHeight="false" outlineLevel="0" collapsed="false">
      <c r="A998" s="0" t="s">
        <v>283</v>
      </c>
      <c r="B998" s="0" t="s">
        <v>236</v>
      </c>
      <c r="C998" s="0" t="s">
        <v>284</v>
      </c>
      <c r="D998" s="0" t="s">
        <v>560</v>
      </c>
      <c r="E998" s="0" t="s">
        <v>699</v>
      </c>
      <c r="F998" s="0" t="n">
        <v>1.5</v>
      </c>
      <c r="G998" s="0" t="n">
        <v>29.9</v>
      </c>
      <c r="H998" s="0" t="n">
        <v>44.85</v>
      </c>
      <c r="I998" s="0" t="n">
        <f aca="false">IF(ABS(ROUND(F998*G998,2)-H998)&lt;=0.01,1,0)</f>
        <v>1</v>
      </c>
      <c r="J998" s="0" t="n">
        <v>0</v>
      </c>
    </row>
    <row r="999" customFormat="false" ht="15" hidden="false" customHeight="false" outlineLevel="0" collapsed="false">
      <c r="A999" s="0" t="s">
        <v>283</v>
      </c>
      <c r="B999" s="0" t="s">
        <v>236</v>
      </c>
      <c r="C999" s="0" t="s">
        <v>284</v>
      </c>
      <c r="D999" s="0" t="s">
        <v>560</v>
      </c>
      <c r="E999" s="0" t="s">
        <v>651</v>
      </c>
      <c r="F999" s="0" t="n">
        <v>0.5</v>
      </c>
      <c r="G999" s="0" t="n">
        <v>28</v>
      </c>
      <c r="H999" s="0" t="n">
        <v>14</v>
      </c>
      <c r="I999" s="0" t="n">
        <f aca="false">IF(ABS(ROUND(F999*G999,2)-H999)&lt;=0.01,1,0)</f>
        <v>1</v>
      </c>
      <c r="J999" s="0" t="n">
        <v>0</v>
      </c>
    </row>
    <row r="1000" customFormat="false" ht="15" hidden="false" customHeight="false" outlineLevel="0" collapsed="false">
      <c r="A1000" s="0" t="s">
        <v>283</v>
      </c>
      <c r="B1000" s="0" t="s">
        <v>236</v>
      </c>
      <c r="C1000" s="0" t="s">
        <v>284</v>
      </c>
      <c r="D1000" s="0" t="s">
        <v>560</v>
      </c>
      <c r="E1000" s="0" t="s">
        <v>634</v>
      </c>
      <c r="F1000" s="0" t="n">
        <v>0.5</v>
      </c>
      <c r="G1000" s="0" t="n">
        <v>4</v>
      </c>
      <c r="H1000" s="0" t="n">
        <v>2</v>
      </c>
      <c r="I1000" s="0" t="n">
        <f aca="false">IF(ABS(ROUND(F1000*G1000,2)-H1000)&lt;=0.01,1,0)</f>
        <v>1</v>
      </c>
      <c r="J1000" s="0" t="n">
        <v>0</v>
      </c>
    </row>
    <row r="1001" customFormat="false" ht="15" hidden="false" customHeight="false" outlineLevel="0" collapsed="false">
      <c r="A1001" s="0" t="s">
        <v>283</v>
      </c>
      <c r="B1001" s="0" t="s">
        <v>236</v>
      </c>
      <c r="C1001" s="0" t="s">
        <v>284</v>
      </c>
      <c r="D1001" s="0" t="s">
        <v>560</v>
      </c>
      <c r="E1001" s="0" t="s">
        <v>366</v>
      </c>
      <c r="F1001" s="0" t="n">
        <v>0.5</v>
      </c>
      <c r="G1001" s="0" t="n">
        <v>2.2</v>
      </c>
      <c r="H1001" s="0" t="n">
        <v>1.1</v>
      </c>
      <c r="I1001" s="0" t="n">
        <f aca="false">IF(ABS(ROUND(F1001*G1001,2)-H1001)&lt;=0.01,1,0)</f>
        <v>1</v>
      </c>
      <c r="J1001" s="0" t="n">
        <v>0</v>
      </c>
    </row>
    <row r="1002" customFormat="false" ht="15" hidden="false" customHeight="false" outlineLevel="0" collapsed="false">
      <c r="A1002" s="0" t="s">
        <v>286</v>
      </c>
      <c r="B1002" s="0" t="s">
        <v>236</v>
      </c>
      <c r="C1002" s="0" t="s">
        <v>287</v>
      </c>
      <c r="D1002" s="0" t="s">
        <v>499</v>
      </c>
      <c r="E1002" s="0" t="s">
        <v>607</v>
      </c>
      <c r="F1002" s="0" t="n">
        <v>2</v>
      </c>
      <c r="G1002" s="0" t="n">
        <v>5.9</v>
      </c>
      <c r="H1002" s="0" t="n">
        <v>11.8</v>
      </c>
      <c r="I1002" s="0" t="n">
        <f aca="false">IF(ABS(ROUND(F1002*G1002,2)-H1002)&lt;=0.01,1,0)</f>
        <v>1</v>
      </c>
      <c r="J1002" s="0" t="n">
        <v>0</v>
      </c>
    </row>
    <row r="1003" customFormat="false" ht="15" hidden="false" customHeight="false" outlineLevel="0" collapsed="false">
      <c r="A1003" s="0" t="s">
        <v>286</v>
      </c>
      <c r="B1003" s="0" t="s">
        <v>236</v>
      </c>
      <c r="C1003" s="0" t="s">
        <v>287</v>
      </c>
      <c r="D1003" s="0" t="s">
        <v>499</v>
      </c>
      <c r="E1003" s="0" t="s">
        <v>362</v>
      </c>
      <c r="F1003" s="0" t="n">
        <v>2</v>
      </c>
      <c r="G1003" s="0" t="n">
        <v>7.6</v>
      </c>
      <c r="H1003" s="0" t="n">
        <v>15.2</v>
      </c>
      <c r="I1003" s="0" t="n">
        <f aca="false">IF(ABS(ROUND(F1003*G1003,2)-H1003)&lt;=0.01,1,0)</f>
        <v>1</v>
      </c>
      <c r="J1003" s="0" t="n">
        <v>0</v>
      </c>
    </row>
    <row r="1004" customFormat="false" ht="15" hidden="false" customHeight="false" outlineLevel="0" collapsed="false">
      <c r="A1004" s="0" t="s">
        <v>286</v>
      </c>
      <c r="B1004" s="0" t="s">
        <v>236</v>
      </c>
      <c r="C1004" s="0" t="s">
        <v>287</v>
      </c>
      <c r="D1004" s="0" t="s">
        <v>499</v>
      </c>
      <c r="E1004" s="0" t="s">
        <v>685</v>
      </c>
      <c r="F1004" s="0" t="n">
        <v>2</v>
      </c>
      <c r="G1004" s="0" t="n">
        <v>8</v>
      </c>
      <c r="H1004" s="0" t="n">
        <v>16</v>
      </c>
      <c r="I1004" s="0" t="n">
        <f aca="false">IF(ABS(ROUND(F1004*G1004,2)-H1004)&lt;=0.01,1,0)</f>
        <v>1</v>
      </c>
      <c r="J1004" s="0" t="n">
        <v>0</v>
      </c>
    </row>
    <row r="1005" customFormat="false" ht="15" hidden="false" customHeight="false" outlineLevel="0" collapsed="false">
      <c r="A1005" s="0" t="s">
        <v>286</v>
      </c>
      <c r="B1005" s="0" t="s">
        <v>236</v>
      </c>
      <c r="C1005" s="0" t="s">
        <v>287</v>
      </c>
      <c r="D1005" s="0" t="s">
        <v>499</v>
      </c>
      <c r="E1005" s="0" t="s">
        <v>445</v>
      </c>
      <c r="F1005" s="0" t="n">
        <v>1</v>
      </c>
      <c r="G1005" s="0" t="n">
        <v>19</v>
      </c>
      <c r="H1005" s="0" t="n">
        <v>19</v>
      </c>
      <c r="I1005" s="0" t="n">
        <f aca="false">IF(ABS(ROUND(F1005*G1005,2)-H1005)&lt;=0.01,1,0)</f>
        <v>1</v>
      </c>
      <c r="J1005" s="0" t="n">
        <v>0</v>
      </c>
    </row>
    <row r="1006" customFormat="false" ht="15" hidden="false" customHeight="false" outlineLevel="0" collapsed="false">
      <c r="A1006" s="0" t="s">
        <v>286</v>
      </c>
      <c r="B1006" s="0" t="s">
        <v>236</v>
      </c>
      <c r="C1006" s="0" t="s">
        <v>287</v>
      </c>
      <c r="D1006" s="0" t="s">
        <v>499</v>
      </c>
      <c r="E1006" s="0" t="s">
        <v>406</v>
      </c>
      <c r="F1006" s="0" t="n">
        <v>1</v>
      </c>
      <c r="G1006" s="0" t="n">
        <v>18.6</v>
      </c>
      <c r="H1006" s="0" t="n">
        <v>18.6</v>
      </c>
      <c r="I1006" s="0" t="n">
        <f aca="false">IF(ABS(ROUND(F1006*G1006,2)-H1006)&lt;=0.01,1,0)</f>
        <v>1</v>
      </c>
      <c r="J1006" s="0" t="n">
        <v>0</v>
      </c>
    </row>
    <row r="1007" customFormat="false" ht="15" hidden="false" customHeight="false" outlineLevel="0" collapsed="false">
      <c r="A1007" s="0" t="s">
        <v>286</v>
      </c>
      <c r="B1007" s="0" t="s">
        <v>236</v>
      </c>
      <c r="C1007" s="0" t="s">
        <v>287</v>
      </c>
      <c r="D1007" s="0" t="s">
        <v>499</v>
      </c>
      <c r="E1007" s="0" t="s">
        <v>366</v>
      </c>
      <c r="F1007" s="0" t="n">
        <v>2</v>
      </c>
      <c r="G1007" s="0" t="n">
        <v>2.2</v>
      </c>
      <c r="H1007" s="0" t="n">
        <v>4.4</v>
      </c>
      <c r="I1007" s="0" t="n">
        <f aca="false">IF(ABS(ROUND(F1007*G1007,2)-H1007)&lt;=0.01,1,0)</f>
        <v>1</v>
      </c>
      <c r="J1007" s="0" t="n">
        <v>0</v>
      </c>
    </row>
    <row r="1008" customFormat="false" ht="15" hidden="false" customHeight="false" outlineLevel="0" collapsed="false">
      <c r="A1008" s="0" t="s">
        <v>289</v>
      </c>
      <c r="B1008" s="0" t="s">
        <v>236</v>
      </c>
      <c r="C1008" s="0" t="s">
        <v>290</v>
      </c>
      <c r="D1008" s="0" t="s">
        <v>488</v>
      </c>
      <c r="E1008" s="0" t="s">
        <v>683</v>
      </c>
      <c r="F1008" s="0" t="n">
        <v>1</v>
      </c>
      <c r="G1008" s="0" t="n">
        <v>9</v>
      </c>
      <c r="H1008" s="0" t="n">
        <v>9</v>
      </c>
      <c r="I1008" s="0" t="n">
        <f aca="false">IF(ABS(ROUND(F1008*G1008,2)-H1008)&lt;=0.01,1,0)</f>
        <v>1</v>
      </c>
      <c r="J1008" s="0" t="n">
        <v>0</v>
      </c>
    </row>
    <row r="1009" customFormat="false" ht="15" hidden="false" customHeight="false" outlineLevel="0" collapsed="false">
      <c r="A1009" s="0" t="s">
        <v>289</v>
      </c>
      <c r="B1009" s="0" t="s">
        <v>236</v>
      </c>
      <c r="C1009" s="0" t="s">
        <v>290</v>
      </c>
      <c r="D1009" s="0" t="s">
        <v>488</v>
      </c>
      <c r="E1009" s="0" t="s">
        <v>351</v>
      </c>
      <c r="F1009" s="0" t="n">
        <v>1</v>
      </c>
      <c r="G1009" s="0" t="n">
        <v>18.6</v>
      </c>
      <c r="H1009" s="0" t="n">
        <v>18.6</v>
      </c>
      <c r="I1009" s="0" t="n">
        <f aca="false">IF(ABS(ROUND(F1009*G1009,2)-H1009)&lt;=0.01,1,0)</f>
        <v>1</v>
      </c>
      <c r="J1009" s="0" t="n">
        <v>0</v>
      </c>
    </row>
    <row r="1010" customFormat="false" ht="15" hidden="false" customHeight="false" outlineLevel="0" collapsed="false">
      <c r="A1010" s="0" t="s">
        <v>289</v>
      </c>
      <c r="B1010" s="0" t="s">
        <v>236</v>
      </c>
      <c r="C1010" s="0" t="s">
        <v>290</v>
      </c>
      <c r="D1010" s="0" t="s">
        <v>488</v>
      </c>
      <c r="E1010" s="0" t="s">
        <v>429</v>
      </c>
      <c r="F1010" s="0" t="n">
        <v>1</v>
      </c>
      <c r="G1010" s="0" t="n">
        <v>8.9</v>
      </c>
      <c r="H1010" s="0" t="n">
        <v>8.9</v>
      </c>
      <c r="I1010" s="0" t="n">
        <f aca="false">IF(ABS(ROUND(F1010*G1010,2)-H1010)&lt;=0.01,1,0)</f>
        <v>1</v>
      </c>
      <c r="J1010" s="0" t="n">
        <v>0</v>
      </c>
    </row>
    <row r="1011" customFormat="false" ht="15" hidden="false" customHeight="false" outlineLevel="0" collapsed="false">
      <c r="A1011" s="0" t="s">
        <v>289</v>
      </c>
      <c r="B1011" s="0" t="s">
        <v>236</v>
      </c>
      <c r="C1011" s="0" t="s">
        <v>290</v>
      </c>
      <c r="D1011" s="0" t="s">
        <v>488</v>
      </c>
      <c r="E1011" s="0" t="s">
        <v>366</v>
      </c>
      <c r="F1011" s="0" t="n">
        <v>1</v>
      </c>
      <c r="G1011" s="0" t="n">
        <v>2.2</v>
      </c>
      <c r="H1011" s="0" t="n">
        <v>2.2</v>
      </c>
      <c r="I1011" s="0" t="n">
        <f aca="false">IF(ABS(ROUND(F1011*G1011,2)-H1011)&lt;=0.01,1,0)</f>
        <v>1</v>
      </c>
      <c r="J1011" s="0" t="n">
        <v>0</v>
      </c>
    </row>
    <row r="1012" customFormat="false" ht="15" hidden="false" customHeight="false" outlineLevel="0" collapsed="false">
      <c r="A1012" s="0" t="s">
        <v>292</v>
      </c>
      <c r="B1012" s="0" t="s">
        <v>236</v>
      </c>
      <c r="C1012" s="0" t="s">
        <v>293</v>
      </c>
      <c r="D1012" s="0" t="s">
        <v>495</v>
      </c>
      <c r="E1012" s="0" t="s">
        <v>598</v>
      </c>
      <c r="F1012" s="0" t="n">
        <v>1</v>
      </c>
      <c r="G1012" s="0" t="n">
        <v>4.2</v>
      </c>
      <c r="H1012" s="0" t="n">
        <v>4.2</v>
      </c>
      <c r="I1012" s="0" t="n">
        <f aca="false">IF(ABS(ROUND(F1012*G1012,2)-H1012)&lt;=0.01,1,0)</f>
        <v>1</v>
      </c>
      <c r="J1012" s="0" t="n">
        <v>0</v>
      </c>
    </row>
    <row r="1013" customFormat="false" ht="15" hidden="false" customHeight="false" outlineLevel="0" collapsed="false">
      <c r="A1013" s="0" t="s">
        <v>292</v>
      </c>
      <c r="B1013" s="0" t="s">
        <v>236</v>
      </c>
      <c r="C1013" s="0" t="s">
        <v>293</v>
      </c>
      <c r="D1013" s="0" t="s">
        <v>495</v>
      </c>
      <c r="E1013" s="0" t="s">
        <v>655</v>
      </c>
      <c r="F1013" s="0" t="n">
        <v>0.5</v>
      </c>
      <c r="G1013" s="0" t="n">
        <v>4.9</v>
      </c>
      <c r="H1013" s="0" t="n">
        <v>2.45</v>
      </c>
      <c r="I1013" s="0" t="n">
        <f aca="false">IF(ABS(ROUND(F1013*G1013,2)-H1013)&lt;=0.01,1,0)</f>
        <v>1</v>
      </c>
      <c r="J1013" s="0" t="n">
        <v>0</v>
      </c>
    </row>
    <row r="1014" customFormat="false" ht="15" hidden="false" customHeight="false" outlineLevel="0" collapsed="false">
      <c r="A1014" s="0" t="s">
        <v>292</v>
      </c>
      <c r="B1014" s="0" t="s">
        <v>236</v>
      </c>
      <c r="C1014" s="0" t="s">
        <v>293</v>
      </c>
      <c r="D1014" s="0" t="s">
        <v>495</v>
      </c>
      <c r="E1014" s="0" t="s">
        <v>611</v>
      </c>
      <c r="F1014" s="0" t="n">
        <v>0.5</v>
      </c>
      <c r="G1014" s="0" t="n">
        <v>6.9</v>
      </c>
      <c r="H1014" s="0" t="n">
        <v>3.45</v>
      </c>
      <c r="I1014" s="0" t="n">
        <f aca="false">IF(ABS(ROUND(F1014*G1014,2)-H1014)&lt;=0.01,1,0)</f>
        <v>1</v>
      </c>
      <c r="J1014" s="0" t="n">
        <v>0</v>
      </c>
    </row>
    <row r="1015" customFormat="false" ht="15" hidden="false" customHeight="false" outlineLevel="0" collapsed="false">
      <c r="A1015" s="0" t="s">
        <v>292</v>
      </c>
      <c r="B1015" s="0" t="s">
        <v>236</v>
      </c>
      <c r="C1015" s="0" t="s">
        <v>293</v>
      </c>
      <c r="D1015" s="0" t="s">
        <v>495</v>
      </c>
      <c r="E1015" s="0" t="s">
        <v>605</v>
      </c>
      <c r="F1015" s="0" t="n">
        <v>0.5</v>
      </c>
      <c r="G1015" s="0" t="n">
        <v>18.6</v>
      </c>
      <c r="H1015" s="0" t="n">
        <v>9.3</v>
      </c>
      <c r="I1015" s="0" t="n">
        <f aca="false">IF(ABS(ROUND(F1015*G1015,2)-H1015)&lt;=0.01,1,0)</f>
        <v>1</v>
      </c>
      <c r="J1015" s="0" t="n">
        <v>0</v>
      </c>
    </row>
    <row r="1016" customFormat="false" ht="15" hidden="false" customHeight="false" outlineLevel="0" collapsed="false">
      <c r="A1016" s="0" t="s">
        <v>292</v>
      </c>
      <c r="B1016" s="0" t="s">
        <v>236</v>
      </c>
      <c r="C1016" s="0" t="s">
        <v>293</v>
      </c>
      <c r="D1016" s="0" t="s">
        <v>495</v>
      </c>
      <c r="E1016" s="0" t="s">
        <v>441</v>
      </c>
      <c r="F1016" s="0" t="n">
        <v>0.5</v>
      </c>
      <c r="G1016" s="0" t="n">
        <v>19.9</v>
      </c>
      <c r="H1016" s="0" t="n">
        <v>9.95</v>
      </c>
      <c r="I1016" s="0" t="n">
        <f aca="false">IF(ABS(ROUND(F1016*G1016,2)-H1016)&lt;=0.01,1,0)</f>
        <v>1</v>
      </c>
      <c r="J1016" s="0" t="n">
        <v>0</v>
      </c>
    </row>
    <row r="1017" customFormat="false" ht="15" hidden="false" customHeight="false" outlineLevel="0" collapsed="false">
      <c r="A1017" s="0" t="s">
        <v>292</v>
      </c>
      <c r="B1017" s="0" t="s">
        <v>236</v>
      </c>
      <c r="C1017" s="0" t="s">
        <v>293</v>
      </c>
      <c r="D1017" s="0" t="s">
        <v>495</v>
      </c>
      <c r="E1017" s="0" t="s">
        <v>392</v>
      </c>
      <c r="F1017" s="0" t="n">
        <v>1</v>
      </c>
      <c r="G1017" s="0" t="n">
        <v>18.6</v>
      </c>
      <c r="H1017" s="0" t="n">
        <v>18.6</v>
      </c>
      <c r="I1017" s="0" t="n">
        <f aca="false">IF(ABS(ROUND(F1017*G1017,2)-H1017)&lt;=0.01,1,0)</f>
        <v>1</v>
      </c>
      <c r="J1017" s="0" t="n">
        <v>0</v>
      </c>
    </row>
    <row r="1018" customFormat="false" ht="15" hidden="false" customHeight="false" outlineLevel="0" collapsed="false">
      <c r="A1018" s="0" t="s">
        <v>292</v>
      </c>
      <c r="B1018" s="0" t="s">
        <v>236</v>
      </c>
      <c r="C1018" s="0" t="s">
        <v>293</v>
      </c>
      <c r="D1018" s="0" t="s">
        <v>495</v>
      </c>
      <c r="E1018" s="0" t="s">
        <v>706</v>
      </c>
      <c r="F1018" s="0" t="n">
        <v>0.5</v>
      </c>
      <c r="G1018" s="0" t="n">
        <v>9.5</v>
      </c>
      <c r="H1018" s="0" t="n">
        <v>4.75</v>
      </c>
      <c r="I1018" s="0" t="n">
        <f aca="false">IF(ABS(ROUND(F1018*G1018,2)-H1018)&lt;=0.01,1,0)</f>
        <v>1</v>
      </c>
      <c r="J1018" s="0" t="n">
        <v>0</v>
      </c>
    </row>
    <row r="1019" customFormat="false" ht="15" hidden="false" customHeight="false" outlineLevel="0" collapsed="false">
      <c r="A1019" s="0" t="s">
        <v>292</v>
      </c>
      <c r="B1019" s="0" t="s">
        <v>236</v>
      </c>
      <c r="C1019" s="0" t="s">
        <v>293</v>
      </c>
      <c r="D1019" s="0" t="s">
        <v>495</v>
      </c>
      <c r="E1019" s="0" t="s">
        <v>668</v>
      </c>
      <c r="F1019" s="0" t="n">
        <v>1</v>
      </c>
      <c r="G1019" s="0" t="n">
        <v>3.9</v>
      </c>
      <c r="H1019" s="0" t="n">
        <v>3.9</v>
      </c>
      <c r="I1019" s="0" t="n">
        <f aca="false">IF(ABS(ROUND(F1019*G1019,2)-H1019)&lt;=0.01,1,0)</f>
        <v>1</v>
      </c>
      <c r="J1019" s="0" t="n">
        <v>0</v>
      </c>
    </row>
    <row r="1020" customFormat="false" ht="15" hidden="false" customHeight="false" outlineLevel="0" collapsed="false">
      <c r="A1020" s="0" t="s">
        <v>292</v>
      </c>
      <c r="B1020" s="0" t="s">
        <v>236</v>
      </c>
      <c r="C1020" s="0" t="s">
        <v>293</v>
      </c>
      <c r="D1020" s="0" t="s">
        <v>495</v>
      </c>
      <c r="E1020" s="0" t="s">
        <v>423</v>
      </c>
      <c r="F1020" s="0" t="n">
        <v>1</v>
      </c>
      <c r="G1020" s="0" t="n">
        <v>6.4</v>
      </c>
      <c r="H1020" s="0" t="n">
        <v>6.4</v>
      </c>
      <c r="I1020" s="0" t="n">
        <f aca="false">IF(ABS(ROUND(F1020*G1020,2)-H1020)&lt;=0.01,1,0)</f>
        <v>1</v>
      </c>
      <c r="J1020" s="0" t="n">
        <v>0</v>
      </c>
    </row>
    <row r="1021" customFormat="false" ht="15" hidden="false" customHeight="false" outlineLevel="0" collapsed="false">
      <c r="A1021" s="0" t="s">
        <v>292</v>
      </c>
      <c r="B1021" s="0" t="s">
        <v>236</v>
      </c>
      <c r="C1021" s="0" t="s">
        <v>293</v>
      </c>
      <c r="D1021" s="0" t="s">
        <v>495</v>
      </c>
      <c r="E1021" s="0" t="s">
        <v>377</v>
      </c>
      <c r="F1021" s="0" t="n">
        <v>0.5</v>
      </c>
      <c r="G1021" s="0" t="n">
        <v>5.5</v>
      </c>
      <c r="H1021" s="0" t="n">
        <v>2.75</v>
      </c>
      <c r="I1021" s="0" t="n">
        <f aca="false">IF(ABS(ROUND(F1021*G1021,2)-H1021)&lt;=0.01,1,0)</f>
        <v>1</v>
      </c>
      <c r="J1021" s="0" t="n">
        <v>0</v>
      </c>
    </row>
    <row r="1022" customFormat="false" ht="15" hidden="false" customHeight="false" outlineLevel="0" collapsed="false">
      <c r="A1022" s="0" t="s">
        <v>292</v>
      </c>
      <c r="B1022" s="0" t="s">
        <v>236</v>
      </c>
      <c r="C1022" s="0" t="s">
        <v>293</v>
      </c>
      <c r="D1022" s="0" t="s">
        <v>495</v>
      </c>
      <c r="E1022" s="0" t="s">
        <v>366</v>
      </c>
      <c r="F1022" s="0" t="n">
        <v>0.5</v>
      </c>
      <c r="G1022" s="0" t="n">
        <v>2.2</v>
      </c>
      <c r="H1022" s="0" t="n">
        <v>1.1</v>
      </c>
      <c r="I1022" s="0" t="n">
        <f aca="false">IF(ABS(ROUND(F1022*G1022,2)-H1022)&lt;=0.01,1,0)</f>
        <v>1</v>
      </c>
      <c r="J1022" s="0" t="n">
        <v>0</v>
      </c>
    </row>
    <row r="1023" customFormat="false" ht="15" hidden="false" customHeight="false" outlineLevel="0" collapsed="false">
      <c r="A1023" s="0" t="s">
        <v>295</v>
      </c>
      <c r="B1023" s="0" t="s">
        <v>236</v>
      </c>
      <c r="C1023" s="0" t="s">
        <v>296</v>
      </c>
      <c r="D1023" s="0" t="s">
        <v>542</v>
      </c>
      <c r="E1023" s="0" t="s">
        <v>644</v>
      </c>
      <c r="F1023" s="0" t="n">
        <v>0.5</v>
      </c>
      <c r="G1023" s="0" t="n">
        <v>4.2</v>
      </c>
      <c r="H1023" s="0" t="n">
        <v>2.1</v>
      </c>
      <c r="I1023" s="0" t="n">
        <f aca="false">IF(ABS(ROUND(F1023*G1023,2)-H1023)&lt;=0.01,1,0)</f>
        <v>1</v>
      </c>
      <c r="J1023" s="0" t="n">
        <v>0</v>
      </c>
    </row>
    <row r="1024" customFormat="false" ht="15" hidden="false" customHeight="false" outlineLevel="0" collapsed="false">
      <c r="A1024" s="0" t="s">
        <v>295</v>
      </c>
      <c r="B1024" s="0" t="s">
        <v>236</v>
      </c>
      <c r="C1024" s="0" t="s">
        <v>296</v>
      </c>
      <c r="D1024" s="0" t="s">
        <v>542</v>
      </c>
      <c r="E1024" s="0" t="s">
        <v>598</v>
      </c>
      <c r="F1024" s="0" t="n">
        <v>0.5</v>
      </c>
      <c r="G1024" s="0" t="n">
        <v>4.2</v>
      </c>
      <c r="H1024" s="0" t="n">
        <v>2.1</v>
      </c>
      <c r="I1024" s="0" t="n">
        <f aca="false">IF(ABS(ROUND(F1024*G1024,2)-H1024)&lt;=0.01,1,0)</f>
        <v>1</v>
      </c>
      <c r="J1024" s="0" t="n">
        <v>0</v>
      </c>
    </row>
    <row r="1025" customFormat="false" ht="15" hidden="false" customHeight="false" outlineLevel="0" collapsed="false">
      <c r="A1025" s="0" t="s">
        <v>295</v>
      </c>
      <c r="B1025" s="0" t="s">
        <v>236</v>
      </c>
      <c r="C1025" s="0" t="s">
        <v>296</v>
      </c>
      <c r="D1025" s="0" t="s">
        <v>542</v>
      </c>
      <c r="E1025" s="0" t="s">
        <v>707</v>
      </c>
      <c r="F1025" s="0" t="n">
        <v>1</v>
      </c>
      <c r="G1025" s="0" t="n">
        <v>3.9</v>
      </c>
      <c r="H1025" s="0" t="n">
        <v>3.9</v>
      </c>
      <c r="I1025" s="0" t="n">
        <f aca="false">IF(ABS(ROUND(F1025*G1025,2)-H1025)&lt;=0.01,1,0)</f>
        <v>1</v>
      </c>
      <c r="J1025" s="0" t="n">
        <v>0</v>
      </c>
    </row>
    <row r="1026" customFormat="false" ht="15" hidden="false" customHeight="false" outlineLevel="0" collapsed="false">
      <c r="A1026" s="0" t="s">
        <v>295</v>
      </c>
      <c r="B1026" s="0" t="s">
        <v>236</v>
      </c>
      <c r="C1026" s="0" t="s">
        <v>296</v>
      </c>
      <c r="D1026" s="0" t="s">
        <v>542</v>
      </c>
      <c r="E1026" s="0" t="s">
        <v>445</v>
      </c>
      <c r="F1026" s="0" t="n">
        <v>0.5</v>
      </c>
      <c r="G1026" s="0" t="n">
        <v>19</v>
      </c>
      <c r="H1026" s="0" t="n">
        <v>9.5</v>
      </c>
      <c r="I1026" s="0" t="n">
        <f aca="false">IF(ABS(ROUND(F1026*G1026,2)-H1026)&lt;=0.01,1,0)</f>
        <v>1</v>
      </c>
      <c r="J1026" s="0" t="n">
        <v>0</v>
      </c>
    </row>
    <row r="1027" customFormat="false" ht="15" hidden="false" customHeight="false" outlineLevel="0" collapsed="false">
      <c r="A1027" s="0" t="s">
        <v>295</v>
      </c>
      <c r="B1027" s="0" t="s">
        <v>236</v>
      </c>
      <c r="C1027" s="0" t="s">
        <v>296</v>
      </c>
      <c r="D1027" s="0" t="s">
        <v>542</v>
      </c>
      <c r="E1027" s="0" t="s">
        <v>392</v>
      </c>
      <c r="F1027" s="0" t="n">
        <v>0.5</v>
      </c>
      <c r="G1027" s="0" t="n">
        <v>18.6</v>
      </c>
      <c r="H1027" s="0" t="n">
        <v>9.3</v>
      </c>
      <c r="I1027" s="0" t="n">
        <f aca="false">IF(ABS(ROUND(F1027*G1027,2)-H1027)&lt;=0.01,1,0)</f>
        <v>1</v>
      </c>
      <c r="J1027" s="0" t="n">
        <v>0</v>
      </c>
    </row>
    <row r="1028" customFormat="false" ht="15" hidden="false" customHeight="false" outlineLevel="0" collapsed="false">
      <c r="A1028" s="0" t="s">
        <v>295</v>
      </c>
      <c r="B1028" s="0" t="s">
        <v>236</v>
      </c>
      <c r="C1028" s="0" t="s">
        <v>296</v>
      </c>
      <c r="D1028" s="0" t="s">
        <v>542</v>
      </c>
      <c r="E1028" s="0" t="s">
        <v>708</v>
      </c>
      <c r="F1028" s="0" t="n">
        <v>0.5</v>
      </c>
      <c r="G1028" s="0" t="n">
        <v>9.8</v>
      </c>
      <c r="H1028" s="0" t="n">
        <v>4.9</v>
      </c>
      <c r="I1028" s="0" t="n">
        <f aca="false">IF(ABS(ROUND(F1028*G1028,2)-H1028)&lt;=0.01,1,0)</f>
        <v>1</v>
      </c>
      <c r="J1028" s="0" t="n">
        <v>0</v>
      </c>
    </row>
    <row r="1029" customFormat="false" ht="15" hidden="false" customHeight="false" outlineLevel="0" collapsed="false">
      <c r="A1029" s="0" t="s">
        <v>295</v>
      </c>
      <c r="B1029" s="0" t="s">
        <v>236</v>
      </c>
      <c r="C1029" s="0" t="s">
        <v>296</v>
      </c>
      <c r="D1029" s="0" t="s">
        <v>542</v>
      </c>
      <c r="E1029" s="0" t="s">
        <v>687</v>
      </c>
      <c r="F1029" s="0" t="n">
        <v>0.5</v>
      </c>
      <c r="G1029" s="0" t="n">
        <v>14.6</v>
      </c>
      <c r="H1029" s="0" t="n">
        <v>7.3</v>
      </c>
      <c r="I1029" s="0" t="n">
        <f aca="false">IF(ABS(ROUND(F1029*G1029,2)-H1029)&lt;=0.01,1,0)</f>
        <v>1</v>
      </c>
      <c r="J1029" s="0" t="n">
        <v>0</v>
      </c>
    </row>
    <row r="1030" customFormat="false" ht="15" hidden="false" customHeight="false" outlineLevel="0" collapsed="false">
      <c r="A1030" s="0" t="s">
        <v>295</v>
      </c>
      <c r="B1030" s="0" t="s">
        <v>236</v>
      </c>
      <c r="C1030" s="0" t="s">
        <v>296</v>
      </c>
      <c r="D1030" s="0" t="s">
        <v>542</v>
      </c>
      <c r="E1030" s="0" t="s">
        <v>709</v>
      </c>
      <c r="F1030" s="0" t="n">
        <v>0.5</v>
      </c>
      <c r="G1030" s="0" t="n">
        <v>6.5</v>
      </c>
      <c r="H1030" s="0" t="n">
        <v>3.25</v>
      </c>
      <c r="I1030" s="0" t="n">
        <f aca="false">IF(ABS(ROUND(F1030*G1030,2)-H1030)&lt;=0.01,1,0)</f>
        <v>1</v>
      </c>
      <c r="J1030" s="0" t="n">
        <v>0</v>
      </c>
    </row>
    <row r="1031" customFormat="false" ht="15" hidden="false" customHeight="false" outlineLevel="0" collapsed="false">
      <c r="A1031" s="0" t="s">
        <v>298</v>
      </c>
      <c r="B1031" s="0" t="s">
        <v>236</v>
      </c>
      <c r="C1031" s="0" t="s">
        <v>299</v>
      </c>
      <c r="D1031" s="0" t="s">
        <v>485</v>
      </c>
      <c r="E1031" s="0" t="s">
        <v>710</v>
      </c>
      <c r="F1031" s="0" t="n">
        <v>0.5</v>
      </c>
      <c r="G1031" s="0" t="n">
        <v>29</v>
      </c>
      <c r="H1031" s="0" t="n">
        <v>14.5</v>
      </c>
      <c r="I1031" s="0" t="n">
        <f aca="false">IF(ABS(ROUND(F1031*G1031,2)-H1031)&lt;=0.01,1,0)</f>
        <v>1</v>
      </c>
      <c r="J1031" s="0" t="n">
        <v>0</v>
      </c>
    </row>
    <row r="1032" customFormat="false" ht="15" hidden="false" customHeight="false" outlineLevel="0" collapsed="false">
      <c r="A1032" s="0" t="s">
        <v>298</v>
      </c>
      <c r="B1032" s="0" t="s">
        <v>236</v>
      </c>
      <c r="C1032" s="0" t="s">
        <v>299</v>
      </c>
      <c r="D1032" s="0" t="s">
        <v>485</v>
      </c>
      <c r="E1032" s="0" t="s">
        <v>382</v>
      </c>
      <c r="F1032" s="0" t="n">
        <v>0.5</v>
      </c>
      <c r="G1032" s="0" t="n">
        <v>4.2</v>
      </c>
      <c r="H1032" s="0" t="n">
        <v>2.1</v>
      </c>
      <c r="I1032" s="0" t="n">
        <f aca="false">IF(ABS(ROUND(F1032*G1032,2)-H1032)&lt;=0.01,1,0)</f>
        <v>1</v>
      </c>
      <c r="J1032" s="0" t="n">
        <v>0</v>
      </c>
    </row>
    <row r="1033" customFormat="false" ht="15" hidden="false" customHeight="false" outlineLevel="0" collapsed="false">
      <c r="A1033" s="0" t="s">
        <v>298</v>
      </c>
      <c r="B1033" s="0" t="s">
        <v>236</v>
      </c>
      <c r="C1033" s="0" t="s">
        <v>299</v>
      </c>
      <c r="D1033" s="0" t="s">
        <v>485</v>
      </c>
      <c r="E1033" s="0" t="s">
        <v>409</v>
      </c>
      <c r="F1033" s="0" t="n">
        <v>0.5</v>
      </c>
      <c r="G1033" s="0" t="n">
        <v>34</v>
      </c>
      <c r="H1033" s="0" t="n">
        <v>17</v>
      </c>
      <c r="I1033" s="0" t="n">
        <f aca="false">IF(ABS(ROUND(F1033*G1033,2)-H1033)&lt;=0.01,1,0)</f>
        <v>1</v>
      </c>
      <c r="J1033" s="0" t="n">
        <v>0</v>
      </c>
    </row>
    <row r="1034" customFormat="false" ht="15" hidden="false" customHeight="false" outlineLevel="0" collapsed="false">
      <c r="A1034" s="0" t="s">
        <v>298</v>
      </c>
      <c r="B1034" s="0" t="s">
        <v>236</v>
      </c>
      <c r="C1034" s="0" t="s">
        <v>299</v>
      </c>
      <c r="D1034" s="0" t="s">
        <v>485</v>
      </c>
      <c r="E1034" s="0" t="s">
        <v>579</v>
      </c>
      <c r="F1034" s="0" t="n">
        <v>0.5</v>
      </c>
      <c r="G1034" s="0" t="n">
        <v>34</v>
      </c>
      <c r="H1034" s="0" t="n">
        <v>17</v>
      </c>
      <c r="I1034" s="0" t="n">
        <f aca="false">IF(ABS(ROUND(F1034*G1034,2)-H1034)&lt;=0.01,1,0)</f>
        <v>1</v>
      </c>
      <c r="J1034" s="0" t="n">
        <v>0</v>
      </c>
    </row>
    <row r="1035" customFormat="false" ht="15" hidden="false" customHeight="false" outlineLevel="0" collapsed="false">
      <c r="A1035" s="0" t="s">
        <v>298</v>
      </c>
      <c r="B1035" s="0" t="s">
        <v>236</v>
      </c>
      <c r="C1035" s="0" t="s">
        <v>299</v>
      </c>
      <c r="D1035" s="0" t="s">
        <v>485</v>
      </c>
      <c r="E1035" s="0" t="s">
        <v>392</v>
      </c>
      <c r="F1035" s="0" t="n">
        <v>0.5</v>
      </c>
      <c r="G1035" s="0" t="n">
        <v>18.6</v>
      </c>
      <c r="H1035" s="0" t="n">
        <v>9.3</v>
      </c>
      <c r="I1035" s="0" t="n">
        <f aca="false">IF(ABS(ROUND(F1035*G1035,2)-H1035)&lt;=0.01,1,0)</f>
        <v>1</v>
      </c>
      <c r="J1035" s="0" t="n">
        <v>0</v>
      </c>
    </row>
    <row r="1036" customFormat="false" ht="15" hidden="false" customHeight="false" outlineLevel="0" collapsed="false">
      <c r="A1036" s="0" t="s">
        <v>298</v>
      </c>
      <c r="B1036" s="0" t="s">
        <v>236</v>
      </c>
      <c r="C1036" s="0" t="s">
        <v>299</v>
      </c>
      <c r="D1036" s="0" t="s">
        <v>485</v>
      </c>
      <c r="E1036" s="0" t="s">
        <v>583</v>
      </c>
      <c r="F1036" s="0" t="n">
        <v>0.5</v>
      </c>
      <c r="G1036" s="0" t="n">
        <v>25.5</v>
      </c>
      <c r="H1036" s="0" t="n">
        <v>12.75</v>
      </c>
      <c r="I1036" s="0" t="n">
        <f aca="false">IF(ABS(ROUND(F1036*G1036,2)-H1036)&lt;=0.01,1,0)</f>
        <v>1</v>
      </c>
      <c r="J1036" s="0" t="n">
        <v>0</v>
      </c>
    </row>
    <row r="1037" customFormat="false" ht="15" hidden="false" customHeight="false" outlineLevel="0" collapsed="false">
      <c r="A1037" s="0" t="s">
        <v>298</v>
      </c>
      <c r="B1037" s="0" t="s">
        <v>236</v>
      </c>
      <c r="C1037" s="0" t="s">
        <v>299</v>
      </c>
      <c r="D1037" s="0" t="s">
        <v>485</v>
      </c>
      <c r="E1037" s="0" t="s">
        <v>372</v>
      </c>
      <c r="F1037" s="0" t="n">
        <v>0.5</v>
      </c>
      <c r="G1037" s="0" t="n">
        <v>7.9</v>
      </c>
      <c r="H1037" s="0" t="n">
        <v>3.95</v>
      </c>
      <c r="I1037" s="0" t="n">
        <f aca="false">IF(ABS(ROUND(F1037*G1037,2)-H1037)&lt;=0.01,1,0)</f>
        <v>1</v>
      </c>
      <c r="J1037" s="0" t="n">
        <v>0</v>
      </c>
    </row>
    <row r="1038" customFormat="false" ht="15" hidden="false" customHeight="false" outlineLevel="0" collapsed="false">
      <c r="A1038" s="0" t="s">
        <v>301</v>
      </c>
      <c r="B1038" s="0" t="s">
        <v>236</v>
      </c>
      <c r="C1038" s="0" t="s">
        <v>302</v>
      </c>
      <c r="D1038" s="0" t="s">
        <v>488</v>
      </c>
      <c r="E1038" s="0" t="s">
        <v>711</v>
      </c>
      <c r="F1038" s="0" t="n">
        <v>1</v>
      </c>
      <c r="G1038" s="0" t="n">
        <v>12.5</v>
      </c>
      <c r="H1038" s="0" t="n">
        <v>12.5</v>
      </c>
      <c r="I1038" s="0" t="n">
        <f aca="false">IF(ABS(ROUND(F1038*G1038,2)-H1038)&lt;=0.01,1,0)</f>
        <v>1</v>
      </c>
      <c r="J1038" s="0" t="n">
        <v>0</v>
      </c>
    </row>
    <row r="1039" customFormat="false" ht="15" hidden="false" customHeight="false" outlineLevel="0" collapsed="false">
      <c r="A1039" s="0" t="s">
        <v>301</v>
      </c>
      <c r="B1039" s="0" t="s">
        <v>236</v>
      </c>
      <c r="C1039" s="0" t="s">
        <v>302</v>
      </c>
      <c r="D1039" s="0" t="s">
        <v>488</v>
      </c>
      <c r="E1039" s="0" t="s">
        <v>392</v>
      </c>
      <c r="F1039" s="0" t="n">
        <v>1</v>
      </c>
      <c r="G1039" s="0" t="n">
        <v>18.6</v>
      </c>
      <c r="H1039" s="0" t="n">
        <v>18.6</v>
      </c>
      <c r="I1039" s="0" t="n">
        <f aca="false">IF(ABS(ROUND(F1039*G1039,2)-H1039)&lt;=0.01,1,0)</f>
        <v>1</v>
      </c>
      <c r="J1039" s="0" t="n">
        <v>0</v>
      </c>
    </row>
    <row r="1040" customFormat="false" ht="15" hidden="false" customHeight="false" outlineLevel="0" collapsed="false">
      <c r="A1040" s="0" t="s">
        <v>301</v>
      </c>
      <c r="B1040" s="0" t="s">
        <v>236</v>
      </c>
      <c r="C1040" s="0" t="s">
        <v>302</v>
      </c>
      <c r="D1040" s="0" t="s">
        <v>488</v>
      </c>
      <c r="E1040" s="0" t="s">
        <v>706</v>
      </c>
      <c r="F1040" s="0" t="n">
        <v>1</v>
      </c>
      <c r="G1040" s="0" t="n">
        <v>9.5</v>
      </c>
      <c r="H1040" s="0" t="n">
        <v>9.5</v>
      </c>
      <c r="I1040" s="0" t="n">
        <f aca="false">IF(ABS(ROUND(F1040*G1040,2)-H1040)&lt;=0.01,1,0)</f>
        <v>1</v>
      </c>
      <c r="J1040" s="0" t="n">
        <v>0</v>
      </c>
    </row>
    <row r="1041" customFormat="false" ht="15" hidden="false" customHeight="false" outlineLevel="0" collapsed="false">
      <c r="A1041" s="0" t="s">
        <v>301</v>
      </c>
      <c r="B1041" s="0" t="s">
        <v>236</v>
      </c>
      <c r="C1041" s="0" t="s">
        <v>302</v>
      </c>
      <c r="D1041" s="0" t="s">
        <v>488</v>
      </c>
      <c r="E1041" s="0" t="s">
        <v>366</v>
      </c>
      <c r="F1041" s="0" t="n">
        <v>1</v>
      </c>
      <c r="G1041" s="0" t="n">
        <v>2.2</v>
      </c>
      <c r="H1041" s="0" t="n">
        <v>2.2</v>
      </c>
      <c r="I1041" s="0" t="n">
        <f aca="false">IF(ABS(ROUND(F1041*G1041,2)-H1041)&lt;=0.01,1,0)</f>
        <v>1</v>
      </c>
      <c r="J1041" s="0" t="n">
        <v>0</v>
      </c>
    </row>
    <row r="1042" customFormat="false" ht="15" hidden="false" customHeight="false" outlineLevel="0" collapsed="false">
      <c r="A1042" s="0" t="s">
        <v>304</v>
      </c>
      <c r="B1042" s="0" t="s">
        <v>236</v>
      </c>
      <c r="C1042" s="0" t="s">
        <v>305</v>
      </c>
      <c r="D1042" s="0" t="s">
        <v>563</v>
      </c>
      <c r="E1042" s="0" t="s">
        <v>684</v>
      </c>
      <c r="F1042" s="0" t="n">
        <v>0.5</v>
      </c>
      <c r="G1042" s="0" t="n">
        <v>49</v>
      </c>
      <c r="H1042" s="0" t="n">
        <v>24.5</v>
      </c>
      <c r="I1042" s="0" t="n">
        <f aca="false">IF(ABS(ROUND(F1042*G1042,2)-H1042)&lt;=0.01,1,0)</f>
        <v>1</v>
      </c>
      <c r="J1042" s="0" t="n">
        <v>0</v>
      </c>
    </row>
    <row r="1043" customFormat="false" ht="15" hidden="false" customHeight="false" outlineLevel="0" collapsed="false">
      <c r="A1043" s="0" t="s">
        <v>304</v>
      </c>
      <c r="B1043" s="0" t="s">
        <v>236</v>
      </c>
      <c r="C1043" s="0" t="s">
        <v>305</v>
      </c>
      <c r="D1043" s="0" t="s">
        <v>563</v>
      </c>
      <c r="E1043" s="0" t="s">
        <v>618</v>
      </c>
      <c r="F1043" s="0" t="n">
        <v>1</v>
      </c>
      <c r="G1043" s="0" t="n">
        <v>16.9</v>
      </c>
      <c r="H1043" s="0" t="n">
        <v>16.9</v>
      </c>
      <c r="I1043" s="0" t="n">
        <f aca="false">IF(ABS(ROUND(F1043*G1043,2)-H1043)&lt;=0.01,1,0)</f>
        <v>1</v>
      </c>
      <c r="J1043" s="0" t="n">
        <v>0</v>
      </c>
    </row>
    <row r="1044" customFormat="false" ht="15" hidden="false" customHeight="false" outlineLevel="0" collapsed="false">
      <c r="A1044" s="0" t="s">
        <v>304</v>
      </c>
      <c r="B1044" s="0" t="s">
        <v>236</v>
      </c>
      <c r="C1044" s="0" t="s">
        <v>305</v>
      </c>
      <c r="D1044" s="0" t="s">
        <v>563</v>
      </c>
      <c r="E1044" s="0" t="s">
        <v>614</v>
      </c>
      <c r="F1044" s="0" t="n">
        <v>1</v>
      </c>
      <c r="G1044" s="0" t="n">
        <v>21.9</v>
      </c>
      <c r="H1044" s="0" t="n">
        <v>21.9</v>
      </c>
      <c r="I1044" s="0" t="n">
        <f aca="false">IF(ABS(ROUND(F1044*G1044,2)-H1044)&lt;=0.01,1,0)</f>
        <v>1</v>
      </c>
      <c r="J1044" s="0" t="n">
        <v>0</v>
      </c>
    </row>
    <row r="1045" customFormat="false" ht="15" hidden="false" customHeight="false" outlineLevel="0" collapsed="false">
      <c r="A1045" s="0" t="s">
        <v>304</v>
      </c>
      <c r="B1045" s="0" t="s">
        <v>236</v>
      </c>
      <c r="C1045" s="0" t="s">
        <v>305</v>
      </c>
      <c r="D1045" s="0" t="s">
        <v>563</v>
      </c>
      <c r="E1045" s="0" t="s">
        <v>355</v>
      </c>
      <c r="F1045" s="0" t="n">
        <v>2</v>
      </c>
      <c r="G1045" s="0" t="n">
        <v>3.9</v>
      </c>
      <c r="H1045" s="0" t="n">
        <v>7.8</v>
      </c>
      <c r="I1045" s="0" t="n">
        <f aca="false">IF(ABS(ROUND(F1045*G1045,2)-H1045)&lt;=0.01,1,0)</f>
        <v>1</v>
      </c>
      <c r="J1045" s="0" t="n">
        <v>0</v>
      </c>
    </row>
    <row r="1046" customFormat="false" ht="15" hidden="false" customHeight="false" outlineLevel="0" collapsed="false">
      <c r="A1046" s="0" t="s">
        <v>304</v>
      </c>
      <c r="B1046" s="0" t="s">
        <v>236</v>
      </c>
      <c r="C1046" s="0" t="s">
        <v>305</v>
      </c>
      <c r="D1046" s="0" t="s">
        <v>563</v>
      </c>
      <c r="E1046" s="0" t="s">
        <v>345</v>
      </c>
      <c r="F1046" s="0" t="n">
        <v>1</v>
      </c>
      <c r="G1046" s="0" t="n">
        <v>8.9</v>
      </c>
      <c r="H1046" s="0" t="n">
        <v>8.9</v>
      </c>
      <c r="I1046" s="0" t="n">
        <f aca="false">IF(ABS(ROUND(F1046*G1046,2)-H1046)&lt;=0.01,1,0)</f>
        <v>1</v>
      </c>
      <c r="J1046" s="0" t="n">
        <v>0</v>
      </c>
    </row>
    <row r="1047" customFormat="false" ht="15" hidden="false" customHeight="false" outlineLevel="0" collapsed="false">
      <c r="A1047" s="0" t="s">
        <v>304</v>
      </c>
      <c r="B1047" s="0" t="s">
        <v>236</v>
      </c>
      <c r="C1047" s="0" t="s">
        <v>305</v>
      </c>
      <c r="D1047" s="0" t="s">
        <v>563</v>
      </c>
      <c r="E1047" s="0" t="s">
        <v>372</v>
      </c>
      <c r="F1047" s="0" t="n">
        <v>0.5</v>
      </c>
      <c r="G1047" s="0" t="n">
        <v>7.9</v>
      </c>
      <c r="H1047" s="0" t="n">
        <v>3.95</v>
      </c>
      <c r="I1047" s="0" t="n">
        <f aca="false">IF(ABS(ROUND(F1047*G1047,2)-H1047)&lt;=0.01,1,0)</f>
        <v>1</v>
      </c>
      <c r="J1047" s="0" t="n">
        <v>0</v>
      </c>
    </row>
    <row r="1048" customFormat="false" ht="15" hidden="false" customHeight="false" outlineLevel="0" collapsed="false">
      <c r="A1048" s="0" t="s">
        <v>304</v>
      </c>
      <c r="B1048" s="0" t="s">
        <v>236</v>
      </c>
      <c r="C1048" s="0" t="s">
        <v>305</v>
      </c>
      <c r="D1048" s="0" t="s">
        <v>563</v>
      </c>
      <c r="E1048" s="0" t="s">
        <v>624</v>
      </c>
      <c r="F1048" s="0" t="n">
        <v>0.5</v>
      </c>
      <c r="G1048" s="0" t="n">
        <v>5.9</v>
      </c>
      <c r="H1048" s="0" t="n">
        <v>2.95</v>
      </c>
      <c r="I1048" s="0" t="n">
        <f aca="false">IF(ABS(ROUND(F1048*G1048,2)-H1048)&lt;=0.01,1,0)</f>
        <v>1</v>
      </c>
      <c r="J104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41.75" hidden="false" customHeight="false" outlineLevel="0" collapsed="false">
      <c r="A1" s="1" t="s">
        <v>27</v>
      </c>
      <c r="B1" s="1" t="s">
        <v>30</v>
      </c>
      <c r="C1" s="1" t="s">
        <v>570</v>
      </c>
      <c r="D1" s="1" t="s">
        <v>712</v>
      </c>
      <c r="E1" s="1" t="s">
        <v>713</v>
      </c>
    </row>
    <row r="2" customFormat="false" ht="15" hidden="false" customHeight="false" outlineLevel="0" collapsed="false">
      <c r="A2" s="0" t="s">
        <v>135</v>
      </c>
      <c r="B2" s="0" t="s">
        <v>137</v>
      </c>
      <c r="C2" s="0" t="s">
        <v>344</v>
      </c>
      <c r="D2" s="0" t="n">
        <f aca="false">SUMIFS(Articles!$F:$F,Articles!$A:$A,A2,Articles!$E:$E,C2)</f>
        <v>1</v>
      </c>
      <c r="E2" s="0" t="n">
        <f aca="false">IF(ABS(D2-ROUND(D2,0))&lt;0.0001,1,0)</f>
        <v>1</v>
      </c>
    </row>
    <row r="3" customFormat="false" ht="15" hidden="false" customHeight="false" outlineLevel="0" collapsed="false">
      <c r="A3" s="0" t="s">
        <v>135</v>
      </c>
      <c r="B3" s="0" t="s">
        <v>137</v>
      </c>
      <c r="C3" s="0" t="s">
        <v>382</v>
      </c>
      <c r="D3" s="0" t="n">
        <f aca="false">SUMIFS(Articles!$F:$F,Articles!$A:$A,A3,Articles!$E:$E,C3)</f>
        <v>1</v>
      </c>
      <c r="E3" s="0" t="n">
        <f aca="false">IF(ABS(D3-ROUND(D3,0))&lt;0.0001,1,0)</f>
        <v>1</v>
      </c>
    </row>
    <row r="4" customFormat="false" ht="15" hidden="false" customHeight="false" outlineLevel="0" collapsed="false">
      <c r="A4" s="0" t="s">
        <v>135</v>
      </c>
      <c r="B4" s="0" t="s">
        <v>137</v>
      </c>
      <c r="C4" s="0" t="s">
        <v>430</v>
      </c>
      <c r="D4" s="0" t="n">
        <f aca="false">SUMIFS(Articles!$F:$F,Articles!$A:$A,A4,Articles!$E:$E,C4)</f>
        <v>2</v>
      </c>
      <c r="E4" s="0" t="n">
        <f aca="false">IF(ABS(D4-ROUND(D4,0))&lt;0.0001,1,0)</f>
        <v>1</v>
      </c>
    </row>
    <row r="5" customFormat="false" ht="15" hidden="false" customHeight="false" outlineLevel="0" collapsed="false">
      <c r="A5" s="0" t="s">
        <v>135</v>
      </c>
      <c r="B5" s="0" t="s">
        <v>137</v>
      </c>
      <c r="C5" s="0" t="s">
        <v>355</v>
      </c>
      <c r="D5" s="0" t="n">
        <f aca="false">SUMIFS(Articles!$F:$F,Articles!$A:$A,A5,Articles!$E:$E,C5)</f>
        <v>1</v>
      </c>
      <c r="E5" s="0" t="n">
        <f aca="false">IF(ABS(D5-ROUND(D5,0))&lt;0.0001,1,0)</f>
        <v>1</v>
      </c>
    </row>
    <row r="6" customFormat="false" ht="15" hidden="false" customHeight="false" outlineLevel="0" collapsed="false">
      <c r="A6" s="0" t="s">
        <v>135</v>
      </c>
      <c r="B6" s="0" t="s">
        <v>137</v>
      </c>
      <c r="C6" s="0" t="s">
        <v>343</v>
      </c>
      <c r="D6" s="0" t="n">
        <f aca="false">SUMIFS(Articles!$F:$F,Articles!$A:$A,A6,Articles!$E:$E,C6)</f>
        <v>1</v>
      </c>
      <c r="E6" s="0" t="n">
        <f aca="false">IF(ABS(D6-ROUND(D6,0))&lt;0.0001,1,0)</f>
        <v>1</v>
      </c>
    </row>
    <row r="7" customFormat="false" ht="15" hidden="false" customHeight="false" outlineLevel="0" collapsed="false">
      <c r="A7" s="0" t="s">
        <v>135</v>
      </c>
      <c r="B7" s="0" t="s">
        <v>137</v>
      </c>
      <c r="C7" s="0" t="s">
        <v>345</v>
      </c>
      <c r="D7" s="0" t="n">
        <f aca="false">SUMIFS(Articles!$F:$F,Articles!$A:$A,A7,Articles!$E:$E,C7)</f>
        <v>1</v>
      </c>
      <c r="E7" s="0" t="n">
        <f aca="false">IF(ABS(D7-ROUND(D7,0))&lt;0.0001,1,0)</f>
        <v>1</v>
      </c>
    </row>
    <row r="8" customFormat="false" ht="15" hidden="false" customHeight="false" outlineLevel="0" collapsed="false">
      <c r="A8" s="0" t="s">
        <v>139</v>
      </c>
      <c r="B8" s="0" t="s">
        <v>140</v>
      </c>
      <c r="C8" s="0" t="s">
        <v>405</v>
      </c>
      <c r="D8" s="0" t="n">
        <f aca="false">SUMIFS(Articles!$F:$F,Articles!$A:$A,A8,Articles!$E:$E,C8)</f>
        <v>1</v>
      </c>
      <c r="E8" s="0" t="n">
        <f aca="false">IF(ABS(D8-ROUND(D8,0))&lt;0.0001,1,0)</f>
        <v>1</v>
      </c>
    </row>
    <row r="9" customFormat="false" ht="15" hidden="false" customHeight="false" outlineLevel="0" collapsed="false">
      <c r="A9" s="0" t="s">
        <v>139</v>
      </c>
      <c r="B9" s="0" t="s">
        <v>140</v>
      </c>
      <c r="C9" s="0" t="s">
        <v>581</v>
      </c>
      <c r="D9" s="0" t="n">
        <f aca="false">SUMIFS(Articles!$F:$F,Articles!$A:$A,A9,Articles!$E:$E,C9)</f>
        <v>1</v>
      </c>
      <c r="E9" s="0" t="n">
        <f aca="false">IF(ABS(D9-ROUND(D9,0))&lt;0.0001,1,0)</f>
        <v>1</v>
      </c>
    </row>
    <row r="10" customFormat="false" ht="15" hidden="false" customHeight="false" outlineLevel="0" collapsed="false">
      <c r="A10" s="0" t="s">
        <v>139</v>
      </c>
      <c r="B10" s="0" t="s">
        <v>140</v>
      </c>
      <c r="C10" s="0" t="s">
        <v>347</v>
      </c>
      <c r="D10" s="0" t="n">
        <f aca="false">SUMIFS(Articles!$F:$F,Articles!$A:$A,A10,Articles!$E:$E,C10)</f>
        <v>1</v>
      </c>
      <c r="E10" s="0" t="n">
        <f aca="false">IF(ABS(D10-ROUND(D10,0))&lt;0.0001,1,0)</f>
        <v>1</v>
      </c>
    </row>
    <row r="11" customFormat="false" ht="15" hidden="false" customHeight="false" outlineLevel="0" collapsed="false">
      <c r="A11" s="0" t="s">
        <v>139</v>
      </c>
      <c r="B11" s="0" t="s">
        <v>140</v>
      </c>
      <c r="C11" s="0" t="s">
        <v>395</v>
      </c>
      <c r="D11" s="0" t="n">
        <f aca="false">SUMIFS(Articles!$F:$F,Articles!$A:$A,A11,Articles!$E:$E,C11)</f>
        <v>1</v>
      </c>
      <c r="E11" s="0" t="n">
        <f aca="false">IF(ABS(D11-ROUND(D11,0))&lt;0.0001,1,0)</f>
        <v>1</v>
      </c>
    </row>
    <row r="12" customFormat="false" ht="15" hidden="false" customHeight="false" outlineLevel="0" collapsed="false">
      <c r="A12" s="0" t="s">
        <v>139</v>
      </c>
      <c r="B12" s="0" t="s">
        <v>140</v>
      </c>
      <c r="C12" s="0" t="s">
        <v>582</v>
      </c>
      <c r="D12" s="0" t="n">
        <f aca="false">SUMIFS(Articles!$F:$F,Articles!$A:$A,A12,Articles!$E:$E,C12)</f>
        <v>1</v>
      </c>
      <c r="E12" s="0" t="n">
        <f aca="false">IF(ABS(D12-ROUND(D12,0))&lt;0.0001,1,0)</f>
        <v>1</v>
      </c>
    </row>
    <row r="13" customFormat="false" ht="15" hidden="false" customHeight="false" outlineLevel="0" collapsed="false">
      <c r="A13" s="0" t="s">
        <v>139</v>
      </c>
      <c r="B13" s="0" t="s">
        <v>140</v>
      </c>
      <c r="C13" s="0" t="s">
        <v>350</v>
      </c>
      <c r="D13" s="0" t="n">
        <f aca="false">SUMIFS(Articles!$F:$F,Articles!$A:$A,A13,Articles!$E:$E,C13)</f>
        <v>1</v>
      </c>
      <c r="E13" s="0" t="n">
        <f aca="false">IF(ABS(D13-ROUND(D13,0))&lt;0.0001,1,0)</f>
        <v>1</v>
      </c>
    </row>
    <row r="14" customFormat="false" ht="15" hidden="false" customHeight="false" outlineLevel="0" collapsed="false">
      <c r="A14" s="0" t="s">
        <v>139</v>
      </c>
      <c r="B14" s="0" t="s">
        <v>140</v>
      </c>
      <c r="C14" s="0" t="s">
        <v>351</v>
      </c>
      <c r="D14" s="0" t="n">
        <f aca="false">SUMIFS(Articles!$F:$F,Articles!$A:$A,A14,Articles!$E:$E,C14)</f>
        <v>1</v>
      </c>
      <c r="E14" s="0" t="n">
        <f aca="false">IF(ABS(D14-ROUND(D14,0))&lt;0.0001,1,0)</f>
        <v>1</v>
      </c>
    </row>
    <row r="15" customFormat="false" ht="15" hidden="false" customHeight="false" outlineLevel="0" collapsed="false">
      <c r="A15" s="0" t="s">
        <v>139</v>
      </c>
      <c r="B15" s="0" t="s">
        <v>140</v>
      </c>
      <c r="C15" s="0" t="s">
        <v>583</v>
      </c>
      <c r="D15" s="0" t="n">
        <f aca="false">SUMIFS(Articles!$F:$F,Articles!$A:$A,A15,Articles!$E:$E,C15)</f>
        <v>1</v>
      </c>
      <c r="E15" s="0" t="n">
        <f aca="false">IF(ABS(D15-ROUND(D15,0))&lt;0.0001,1,0)</f>
        <v>1</v>
      </c>
    </row>
    <row r="16" customFormat="false" ht="15" hidden="false" customHeight="false" outlineLevel="0" collapsed="false">
      <c r="A16" s="0" t="s">
        <v>139</v>
      </c>
      <c r="B16" s="0" t="s">
        <v>140</v>
      </c>
      <c r="C16" s="0" t="s">
        <v>349</v>
      </c>
      <c r="D16" s="0" t="n">
        <f aca="false">SUMIFS(Articles!$F:$F,Articles!$A:$A,A16,Articles!$E:$E,C16)</f>
        <v>1</v>
      </c>
      <c r="E16" s="0" t="n">
        <f aca="false">IF(ABS(D16-ROUND(D16,0))&lt;0.0001,1,0)</f>
        <v>1</v>
      </c>
    </row>
    <row r="17" customFormat="false" ht="15" hidden="false" customHeight="false" outlineLevel="0" collapsed="false">
      <c r="A17" s="0" t="s">
        <v>139</v>
      </c>
      <c r="B17" s="0" t="s">
        <v>140</v>
      </c>
      <c r="C17" s="0" t="s">
        <v>584</v>
      </c>
      <c r="D17" s="0" t="n">
        <f aca="false">SUMIFS(Articles!$F:$F,Articles!$A:$A,A17,Articles!$E:$E,C17)</f>
        <v>1</v>
      </c>
      <c r="E17" s="0" t="n">
        <f aca="false">IF(ABS(D17-ROUND(D17,0))&lt;0.0001,1,0)</f>
        <v>1</v>
      </c>
    </row>
    <row r="18" customFormat="false" ht="15" hidden="false" customHeight="false" outlineLevel="0" collapsed="false">
      <c r="A18" s="0" t="s">
        <v>139</v>
      </c>
      <c r="B18" s="0" t="s">
        <v>140</v>
      </c>
      <c r="C18" s="0" t="s">
        <v>585</v>
      </c>
      <c r="D18" s="0" t="n">
        <f aca="false">SUMIFS(Articles!$F:$F,Articles!$A:$A,A18,Articles!$E:$E,C18)</f>
        <v>1</v>
      </c>
      <c r="E18" s="0" t="n">
        <f aca="false">IF(ABS(D18-ROUND(D18,0))&lt;0.0001,1,0)</f>
        <v>1</v>
      </c>
    </row>
    <row r="19" customFormat="false" ht="15" hidden="false" customHeight="false" outlineLevel="0" collapsed="false">
      <c r="A19" s="0" t="s">
        <v>139</v>
      </c>
      <c r="B19" s="0" t="s">
        <v>140</v>
      </c>
      <c r="C19" s="0" t="s">
        <v>366</v>
      </c>
      <c r="D19" s="0" t="n">
        <f aca="false">SUMIFS(Articles!$F:$F,Articles!$A:$A,A19,Articles!$E:$E,C19)</f>
        <v>3</v>
      </c>
      <c r="E19" s="0" t="n">
        <f aca="false">IF(ABS(D19-ROUND(D19,0))&lt;0.0001,1,0)</f>
        <v>1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s">
        <v>586</v>
      </c>
      <c r="D20" s="0" t="n">
        <f aca="false">SUMIFS(Articles!$F:$F,Articles!$A:$A,A20,Articles!$E:$E,C20)</f>
        <v>1</v>
      </c>
      <c r="E20" s="0" t="n">
        <f aca="false">IF(ABS(D20-ROUND(D20,0))&lt;0.0001,1,0)</f>
        <v>1</v>
      </c>
    </row>
    <row r="21" customFormat="false" ht="15" hidden="false" customHeight="false" outlineLevel="0" collapsed="false">
      <c r="A21" s="0" t="s">
        <v>142</v>
      </c>
      <c r="B21" s="0" t="s">
        <v>143</v>
      </c>
      <c r="C21" s="0" t="s">
        <v>587</v>
      </c>
      <c r="D21" s="0" t="n">
        <f aca="false">SUMIFS(Articles!$F:$F,Articles!$A:$A,A21,Articles!$E:$E,C21)</f>
        <v>1</v>
      </c>
      <c r="E21" s="0" t="n">
        <f aca="false">IF(ABS(D21-ROUND(D21,0))&lt;0.0001,1,0)</f>
        <v>1</v>
      </c>
    </row>
    <row r="22" customFormat="false" ht="15" hidden="false" customHeight="false" outlineLevel="0" collapsed="false">
      <c r="A22" s="0" t="s">
        <v>142</v>
      </c>
      <c r="B22" s="0" t="s">
        <v>143</v>
      </c>
      <c r="C22" s="0" t="s">
        <v>588</v>
      </c>
      <c r="D22" s="0" t="n">
        <f aca="false">SUMIFS(Articles!$F:$F,Articles!$A:$A,A22,Articles!$E:$E,C22)</f>
        <v>1</v>
      </c>
      <c r="E22" s="0" t="n">
        <f aca="false">IF(ABS(D22-ROUND(D22,0))&lt;0.0001,1,0)</f>
        <v>1</v>
      </c>
    </row>
    <row r="23" customFormat="false" ht="15" hidden="false" customHeight="false" outlineLevel="0" collapsed="false">
      <c r="A23" s="0" t="s">
        <v>142</v>
      </c>
      <c r="B23" s="0" t="s">
        <v>143</v>
      </c>
      <c r="C23" s="0" t="s">
        <v>589</v>
      </c>
      <c r="D23" s="0" t="n">
        <f aca="false">SUMIFS(Articles!$F:$F,Articles!$A:$A,A23,Articles!$E:$E,C23)</f>
        <v>1</v>
      </c>
      <c r="E23" s="0" t="n">
        <f aca="false">IF(ABS(D23-ROUND(D23,0))&lt;0.0001,1,0)</f>
        <v>1</v>
      </c>
    </row>
    <row r="24" customFormat="false" ht="15" hidden="false" customHeight="false" outlineLevel="0" collapsed="false">
      <c r="A24" s="0" t="s">
        <v>142</v>
      </c>
      <c r="B24" s="0" t="s">
        <v>143</v>
      </c>
      <c r="C24" s="0" t="s">
        <v>355</v>
      </c>
      <c r="D24" s="0" t="n">
        <f aca="false">SUMIFS(Articles!$F:$F,Articles!$A:$A,A24,Articles!$E:$E,C24)</f>
        <v>1</v>
      </c>
      <c r="E24" s="0" t="n">
        <f aca="false">IF(ABS(D24-ROUND(D24,0))&lt;0.0001,1,0)</f>
        <v>1</v>
      </c>
    </row>
    <row r="25" customFormat="false" ht="15" hidden="false" customHeight="false" outlineLevel="0" collapsed="false">
      <c r="A25" s="0" t="s">
        <v>142</v>
      </c>
      <c r="B25" s="0" t="s">
        <v>143</v>
      </c>
      <c r="C25" s="0" t="s">
        <v>590</v>
      </c>
      <c r="D25" s="0" t="n">
        <f aca="false">SUMIFS(Articles!$F:$F,Articles!$A:$A,A25,Articles!$E:$E,C25)</f>
        <v>2</v>
      </c>
      <c r="E25" s="0" t="n">
        <f aca="false">IF(ABS(D25-ROUND(D25,0))&lt;0.0001,1,0)</f>
        <v>1</v>
      </c>
    </row>
    <row r="26" customFormat="false" ht="15" hidden="false" customHeight="false" outlineLevel="0" collapsed="false">
      <c r="A26" s="0" t="s">
        <v>142</v>
      </c>
      <c r="B26" s="0" t="s">
        <v>143</v>
      </c>
      <c r="C26" s="0" t="s">
        <v>591</v>
      </c>
      <c r="D26" s="0" t="n">
        <f aca="false">SUMIFS(Articles!$F:$F,Articles!$A:$A,A26,Articles!$E:$E,C26)</f>
        <v>2</v>
      </c>
      <c r="E26" s="0" t="n">
        <f aca="false">IF(ABS(D26-ROUND(D26,0))&lt;0.0001,1,0)</f>
        <v>1</v>
      </c>
    </row>
    <row r="27" customFormat="false" ht="15" hidden="false" customHeight="false" outlineLevel="0" collapsed="false">
      <c r="A27" s="0" t="s">
        <v>142</v>
      </c>
      <c r="B27" s="0" t="s">
        <v>143</v>
      </c>
      <c r="C27" s="0" t="s">
        <v>463</v>
      </c>
      <c r="D27" s="0" t="n">
        <f aca="false">SUMIFS(Articles!$F:$F,Articles!$A:$A,A27,Articles!$E:$E,C27)</f>
        <v>2</v>
      </c>
      <c r="E27" s="0" t="n">
        <f aca="false">IF(ABS(D27-ROUND(D27,0))&lt;0.0001,1,0)</f>
        <v>1</v>
      </c>
    </row>
    <row r="28" customFormat="false" ht="15" hidden="false" customHeight="false" outlineLevel="0" collapsed="false">
      <c r="A28" s="0" t="s">
        <v>142</v>
      </c>
      <c r="B28" s="0" t="s">
        <v>143</v>
      </c>
      <c r="C28" s="0" t="s">
        <v>353</v>
      </c>
      <c r="D28" s="0" t="n">
        <f aca="false">SUMIFS(Articles!$F:$F,Articles!$A:$A,A28,Articles!$E:$E,C28)</f>
        <v>1</v>
      </c>
      <c r="E28" s="0" t="n">
        <f aca="false">IF(ABS(D28-ROUND(D28,0))&lt;0.0001,1,0)</f>
        <v>1</v>
      </c>
    </row>
    <row r="29" customFormat="false" ht="15" hidden="false" customHeight="false" outlineLevel="0" collapsed="false">
      <c r="A29" s="0" t="s">
        <v>142</v>
      </c>
      <c r="B29" s="0" t="s">
        <v>143</v>
      </c>
      <c r="C29" s="0" t="s">
        <v>592</v>
      </c>
      <c r="D29" s="0" t="n">
        <f aca="false">SUMIFS(Articles!$F:$F,Articles!$A:$A,A29,Articles!$E:$E,C29)</f>
        <v>1</v>
      </c>
      <c r="E29" s="0" t="n">
        <f aca="false">IF(ABS(D29-ROUND(D29,0))&lt;0.0001,1,0)</f>
        <v>1</v>
      </c>
    </row>
    <row r="30" customFormat="false" ht="15" hidden="false" customHeight="false" outlineLevel="0" collapsed="false">
      <c r="A30" s="0" t="s">
        <v>142</v>
      </c>
      <c r="B30" s="0" t="s">
        <v>143</v>
      </c>
      <c r="C30" s="0" t="s">
        <v>374</v>
      </c>
      <c r="D30" s="0" t="n">
        <f aca="false">SUMIFS(Articles!$F:$F,Articles!$A:$A,A30,Articles!$E:$E,C30)</f>
        <v>2</v>
      </c>
      <c r="E30" s="0" t="n">
        <f aca="false">IF(ABS(D30-ROUND(D30,0))&lt;0.0001,1,0)</f>
        <v>1</v>
      </c>
    </row>
    <row r="31" customFormat="false" ht="15" hidden="false" customHeight="false" outlineLevel="0" collapsed="false">
      <c r="A31" s="0" t="s">
        <v>145</v>
      </c>
      <c r="B31" s="0" t="s">
        <v>146</v>
      </c>
      <c r="C31" s="0" t="s">
        <v>593</v>
      </c>
      <c r="D31" s="0" t="n">
        <f aca="false">SUMIFS(Articles!$F:$F,Articles!$A:$A,A31,Articles!$E:$E,C31)</f>
        <v>1</v>
      </c>
      <c r="E31" s="0" t="n">
        <f aca="false">IF(ABS(D31-ROUND(D31,0))&lt;0.0001,1,0)</f>
        <v>1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0" t="s">
        <v>364</v>
      </c>
      <c r="D32" s="0" t="n">
        <f aca="false">SUMIFS(Articles!$F:$F,Articles!$A:$A,A32,Articles!$E:$E,C32)</f>
        <v>1</v>
      </c>
      <c r="E32" s="0" t="n">
        <f aca="false">IF(ABS(D32-ROUND(D32,0))&lt;0.0001,1,0)</f>
        <v>1</v>
      </c>
    </row>
    <row r="33" customFormat="false" ht="15" hidden="false" customHeight="false" outlineLevel="0" collapsed="false">
      <c r="A33" s="0" t="s">
        <v>145</v>
      </c>
      <c r="B33" s="0" t="s">
        <v>146</v>
      </c>
      <c r="C33" s="0" t="s">
        <v>594</v>
      </c>
      <c r="D33" s="0" t="n">
        <f aca="false">SUMIFS(Articles!$F:$F,Articles!$A:$A,A33,Articles!$E:$E,C33)</f>
        <v>1</v>
      </c>
      <c r="E33" s="0" t="n">
        <f aca="false">IF(ABS(D33-ROUND(D33,0))&lt;0.0001,1,0)</f>
        <v>1</v>
      </c>
    </row>
    <row r="34" customFormat="false" ht="15" hidden="false" customHeight="false" outlineLevel="0" collapsed="false">
      <c r="A34" s="0" t="s">
        <v>145</v>
      </c>
      <c r="B34" s="0" t="s">
        <v>146</v>
      </c>
      <c r="C34" s="0" t="s">
        <v>445</v>
      </c>
      <c r="D34" s="0" t="n">
        <f aca="false">SUMIFS(Articles!$F:$F,Articles!$A:$A,A34,Articles!$E:$E,C34)</f>
        <v>2</v>
      </c>
      <c r="E34" s="0" t="n">
        <f aca="false">IF(ABS(D34-ROUND(D34,0))&lt;0.0001,1,0)</f>
        <v>1</v>
      </c>
    </row>
    <row r="35" customFormat="false" ht="15" hidden="false" customHeight="false" outlineLevel="0" collapsed="false">
      <c r="A35" s="0" t="s">
        <v>145</v>
      </c>
      <c r="B35" s="0" t="s">
        <v>146</v>
      </c>
      <c r="C35" s="0" t="s">
        <v>406</v>
      </c>
      <c r="D35" s="0" t="n">
        <f aca="false">SUMIFS(Articles!$F:$F,Articles!$A:$A,A35,Articles!$E:$E,C35)</f>
        <v>1</v>
      </c>
      <c r="E35" s="0" t="n">
        <f aca="false">IF(ABS(D35-ROUND(D35,0))&lt;0.0001,1,0)</f>
        <v>1</v>
      </c>
    </row>
    <row r="36" customFormat="false" ht="15" hidden="false" customHeight="false" outlineLevel="0" collapsed="false">
      <c r="A36" s="0" t="s">
        <v>145</v>
      </c>
      <c r="B36" s="0" t="s">
        <v>146</v>
      </c>
      <c r="C36" s="0" t="s">
        <v>372</v>
      </c>
      <c r="D36" s="0" t="n">
        <f aca="false">SUMIFS(Articles!$F:$F,Articles!$A:$A,A36,Articles!$E:$E,C36)</f>
        <v>1</v>
      </c>
      <c r="E36" s="0" t="n">
        <f aca="false">IF(ABS(D36-ROUND(D36,0))&lt;0.0001,1,0)</f>
        <v>1</v>
      </c>
    </row>
    <row r="37" customFormat="false" ht="15" hidden="false" customHeight="false" outlineLevel="0" collapsed="false">
      <c r="A37" s="0" t="s">
        <v>145</v>
      </c>
      <c r="B37" s="0" t="s">
        <v>146</v>
      </c>
      <c r="C37" s="0" t="s">
        <v>377</v>
      </c>
      <c r="D37" s="0" t="n">
        <f aca="false">SUMIFS(Articles!$F:$F,Articles!$A:$A,A37,Articles!$E:$E,C37)</f>
        <v>2</v>
      </c>
      <c r="E37" s="0" t="n">
        <f aca="false">IF(ABS(D37-ROUND(D37,0))&lt;0.0001,1,0)</f>
        <v>1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s">
        <v>358</v>
      </c>
      <c r="D38" s="0" t="n">
        <f aca="false">SUMIFS(Articles!$F:$F,Articles!$A:$A,A38,Articles!$E:$E,C38)</f>
        <v>1</v>
      </c>
      <c r="E38" s="0" t="n">
        <f aca="false">IF(ABS(D38-ROUND(D38,0))&lt;0.0001,1,0)</f>
        <v>1</v>
      </c>
    </row>
    <row r="39" customFormat="false" ht="15" hidden="false" customHeight="false" outlineLevel="0" collapsed="false">
      <c r="A39" s="0" t="s">
        <v>145</v>
      </c>
      <c r="B39" s="0" t="s">
        <v>146</v>
      </c>
      <c r="C39" s="0" t="s">
        <v>366</v>
      </c>
      <c r="D39" s="0" t="n">
        <f aca="false">SUMIFS(Articles!$F:$F,Articles!$A:$A,A39,Articles!$E:$E,C39)</f>
        <v>3</v>
      </c>
      <c r="E39" s="0" t="n">
        <f aca="false">IF(ABS(D39-ROUND(D39,0))&lt;0.0001,1,0)</f>
        <v>1</v>
      </c>
    </row>
    <row r="40" customFormat="false" ht="15" hidden="false" customHeight="false" outlineLevel="0" collapsed="false">
      <c r="A40" s="0" t="s">
        <v>145</v>
      </c>
      <c r="B40" s="0" t="s">
        <v>146</v>
      </c>
      <c r="C40" s="0" t="s">
        <v>595</v>
      </c>
      <c r="D40" s="0" t="n">
        <f aca="false">SUMIFS(Articles!$F:$F,Articles!$A:$A,A40,Articles!$E:$E,C40)</f>
        <v>1</v>
      </c>
      <c r="E40" s="0" t="n">
        <f aca="false">IF(ABS(D40-ROUND(D40,0))&lt;0.0001,1,0)</f>
        <v>1</v>
      </c>
    </row>
    <row r="41" customFormat="false" ht="15" hidden="false" customHeight="false" outlineLevel="0" collapsed="false">
      <c r="A41" s="0" t="s">
        <v>145</v>
      </c>
      <c r="B41" s="0" t="s">
        <v>146</v>
      </c>
      <c r="C41" s="0" t="s">
        <v>415</v>
      </c>
      <c r="D41" s="0" t="n">
        <f aca="false">SUMIFS(Articles!$F:$F,Articles!$A:$A,A41,Articles!$E:$E,C41)</f>
        <v>1</v>
      </c>
      <c r="E41" s="0" t="n">
        <f aca="false">IF(ABS(D41-ROUND(D41,0))&lt;0.0001,1,0)</f>
        <v>1</v>
      </c>
    </row>
    <row r="42" customFormat="false" ht="15" hidden="false" customHeight="false" outlineLevel="0" collapsed="false">
      <c r="A42" s="0" t="s">
        <v>145</v>
      </c>
      <c r="B42" s="0" t="s">
        <v>146</v>
      </c>
      <c r="C42" s="0" t="s">
        <v>596</v>
      </c>
      <c r="D42" s="0" t="n">
        <f aca="false">SUMIFS(Articles!$F:$F,Articles!$A:$A,A42,Articles!$E:$E,C42)</f>
        <v>2</v>
      </c>
      <c r="E42" s="0" t="n">
        <f aca="false">IF(ABS(D42-ROUND(D42,0))&lt;0.0001,1,0)</f>
        <v>1</v>
      </c>
    </row>
    <row r="43" customFormat="false" ht="15" hidden="false" customHeight="false" outlineLevel="0" collapsed="false">
      <c r="A43" s="0" t="s">
        <v>145</v>
      </c>
      <c r="B43" s="0" t="s">
        <v>146</v>
      </c>
      <c r="C43" s="0" t="s">
        <v>597</v>
      </c>
      <c r="D43" s="0" t="n">
        <f aca="false">SUMIFS(Articles!$F:$F,Articles!$A:$A,A43,Articles!$E:$E,C43)</f>
        <v>1</v>
      </c>
      <c r="E43" s="0" t="n">
        <f aca="false">IF(ABS(D43-ROUND(D43,0))&lt;0.0001,1,0)</f>
        <v>1</v>
      </c>
    </row>
    <row r="44" customFormat="false" ht="15" hidden="false" customHeight="false" outlineLevel="0" collapsed="false">
      <c r="A44" s="0" t="s">
        <v>145</v>
      </c>
      <c r="B44" s="0" t="s">
        <v>146</v>
      </c>
      <c r="C44" s="0" t="s">
        <v>362</v>
      </c>
      <c r="D44" s="0" t="n">
        <f aca="false">SUMIFS(Articles!$F:$F,Articles!$A:$A,A44,Articles!$E:$E,C44)</f>
        <v>1</v>
      </c>
      <c r="E44" s="0" t="n">
        <f aca="false">IF(ABS(D44-ROUND(D44,0))&lt;0.0001,1,0)</f>
        <v>1</v>
      </c>
    </row>
    <row r="45" customFormat="false" ht="15" hidden="false" customHeight="false" outlineLevel="0" collapsed="false">
      <c r="A45" s="0" t="s">
        <v>148</v>
      </c>
      <c r="B45" s="0" t="s">
        <v>149</v>
      </c>
      <c r="C45" s="0" t="s">
        <v>598</v>
      </c>
      <c r="D45" s="0" t="n">
        <f aca="false">SUMIFS(Articles!$F:$F,Articles!$A:$A,A45,Articles!$E:$E,C45)</f>
        <v>1</v>
      </c>
      <c r="E45" s="0" t="n">
        <f aca="false">IF(ABS(D45-ROUND(D45,0))&lt;0.0001,1,0)</f>
        <v>1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0" t="s">
        <v>368</v>
      </c>
      <c r="D46" s="0" t="n">
        <f aca="false">SUMIFS(Articles!$F:$F,Articles!$A:$A,A46,Articles!$E:$E,C46)</f>
        <v>1</v>
      </c>
      <c r="E46" s="0" t="n">
        <f aca="false">IF(ABS(D46-ROUND(D46,0))&lt;0.0001,1,0)</f>
        <v>1</v>
      </c>
    </row>
    <row r="47" customFormat="false" ht="15" hidden="false" customHeight="false" outlineLevel="0" collapsed="false">
      <c r="A47" s="0" t="s">
        <v>148</v>
      </c>
      <c r="B47" s="0" t="s">
        <v>149</v>
      </c>
      <c r="C47" s="0" t="s">
        <v>590</v>
      </c>
      <c r="D47" s="0" t="n">
        <f aca="false">SUMIFS(Articles!$F:$F,Articles!$A:$A,A47,Articles!$E:$E,C47)</f>
        <v>2</v>
      </c>
      <c r="E47" s="0" t="n">
        <f aca="false">IF(ABS(D47-ROUND(D47,0))&lt;0.0001,1,0)</f>
        <v>1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0" t="s">
        <v>599</v>
      </c>
      <c r="D48" s="0" t="n">
        <f aca="false">SUMIFS(Articles!$F:$F,Articles!$A:$A,A48,Articles!$E:$E,C48)</f>
        <v>2</v>
      </c>
      <c r="E48" s="0" t="n">
        <f aca="false">IF(ABS(D48-ROUND(D48,0))&lt;0.0001,1,0)</f>
        <v>1</v>
      </c>
    </row>
    <row r="49" customFormat="false" ht="15" hidden="false" customHeight="false" outlineLevel="0" collapsed="false">
      <c r="A49" s="0" t="s">
        <v>148</v>
      </c>
      <c r="B49" s="0" t="s">
        <v>149</v>
      </c>
      <c r="C49" s="0" t="s">
        <v>600</v>
      </c>
      <c r="D49" s="0" t="n">
        <f aca="false">SUMIFS(Articles!$F:$F,Articles!$A:$A,A49,Articles!$E:$E,C49)</f>
        <v>1</v>
      </c>
      <c r="E49" s="0" t="n">
        <f aca="false">IF(ABS(D49-ROUND(D49,0))&lt;0.0001,1,0)</f>
        <v>1</v>
      </c>
    </row>
    <row r="50" customFormat="false" ht="15" hidden="false" customHeight="false" outlineLevel="0" collapsed="false">
      <c r="A50" s="0" t="s">
        <v>148</v>
      </c>
      <c r="B50" s="0" t="s">
        <v>149</v>
      </c>
      <c r="C50" s="0" t="s">
        <v>596</v>
      </c>
      <c r="D50" s="0" t="n">
        <f aca="false">SUMIFS(Articles!$F:$F,Articles!$A:$A,A50,Articles!$E:$E,C50)</f>
        <v>1</v>
      </c>
      <c r="E50" s="0" t="n">
        <f aca="false">IF(ABS(D50-ROUND(D50,0))&lt;0.0001,1,0)</f>
        <v>1</v>
      </c>
    </row>
    <row r="51" customFormat="false" ht="15" hidden="false" customHeight="false" outlineLevel="0" collapsed="false">
      <c r="A51" s="0" t="s">
        <v>148</v>
      </c>
      <c r="B51" s="0" t="s">
        <v>149</v>
      </c>
      <c r="C51" s="0" t="s">
        <v>601</v>
      </c>
      <c r="D51" s="0" t="n">
        <f aca="false">SUMIFS(Articles!$F:$F,Articles!$A:$A,A51,Articles!$E:$E,C51)</f>
        <v>1</v>
      </c>
      <c r="E51" s="0" t="n">
        <f aca="false">IF(ABS(D51-ROUND(D51,0))&lt;0.0001,1,0)</f>
        <v>1</v>
      </c>
    </row>
    <row r="52" customFormat="false" ht="15" hidden="false" customHeight="false" outlineLevel="0" collapsed="false">
      <c r="A52" s="0" t="s">
        <v>148</v>
      </c>
      <c r="B52" s="0" t="s">
        <v>149</v>
      </c>
      <c r="C52" s="0" t="s">
        <v>351</v>
      </c>
      <c r="D52" s="0" t="n">
        <f aca="false">SUMIFS(Articles!$F:$F,Articles!$A:$A,A52,Articles!$E:$E,C52)</f>
        <v>1</v>
      </c>
      <c r="E52" s="0" t="n">
        <f aca="false">IF(ABS(D52-ROUND(D52,0))&lt;0.0001,1,0)</f>
        <v>1</v>
      </c>
    </row>
    <row r="53" customFormat="false" ht="15" hidden="false" customHeight="false" outlineLevel="0" collapsed="false">
      <c r="A53" s="0" t="s">
        <v>148</v>
      </c>
      <c r="B53" s="0" t="s">
        <v>149</v>
      </c>
      <c r="C53" s="0" t="s">
        <v>366</v>
      </c>
      <c r="D53" s="0" t="n">
        <f aca="false">SUMIFS(Articles!$F:$F,Articles!$A:$A,A53,Articles!$E:$E,C53)</f>
        <v>3</v>
      </c>
      <c r="E53" s="0" t="n">
        <f aca="false">IF(ABS(D53-ROUND(D53,0))&lt;0.0001,1,0)</f>
        <v>1</v>
      </c>
    </row>
    <row r="54" customFormat="false" ht="15" hidden="false" customHeight="false" outlineLevel="0" collapsed="false">
      <c r="A54" s="0" t="s">
        <v>148</v>
      </c>
      <c r="B54" s="0" t="s">
        <v>149</v>
      </c>
      <c r="C54" s="0" t="s">
        <v>602</v>
      </c>
      <c r="D54" s="0" t="n">
        <f aca="false">SUMIFS(Articles!$F:$F,Articles!$A:$A,A54,Articles!$E:$E,C54)</f>
        <v>1</v>
      </c>
      <c r="E54" s="0" t="n">
        <f aca="false">IF(ABS(D54-ROUND(D54,0))&lt;0.0001,1,0)</f>
        <v>1</v>
      </c>
    </row>
    <row r="55" customFormat="false" ht="15" hidden="false" customHeight="false" outlineLevel="0" collapsed="false">
      <c r="A55" s="0" t="s">
        <v>148</v>
      </c>
      <c r="B55" s="0" t="s">
        <v>149</v>
      </c>
      <c r="C55" s="0" t="s">
        <v>603</v>
      </c>
      <c r="D55" s="0" t="n">
        <f aca="false">SUMIFS(Articles!$F:$F,Articles!$A:$A,A55,Articles!$E:$E,C55)</f>
        <v>1</v>
      </c>
      <c r="E55" s="0" t="n">
        <f aca="false">IF(ABS(D55-ROUND(D55,0))&lt;0.0001,1,0)</f>
        <v>1</v>
      </c>
    </row>
    <row r="56" customFormat="false" ht="15" hidden="false" customHeight="false" outlineLevel="0" collapsed="false">
      <c r="A56" s="0" t="s">
        <v>148</v>
      </c>
      <c r="B56" s="0" t="s">
        <v>149</v>
      </c>
      <c r="C56" s="0" t="s">
        <v>349</v>
      </c>
      <c r="D56" s="0" t="n">
        <f aca="false">SUMIFS(Articles!$F:$F,Articles!$A:$A,A56,Articles!$E:$E,C56)</f>
        <v>1</v>
      </c>
      <c r="E56" s="0" t="n">
        <f aca="false">IF(ABS(D56-ROUND(D56,0))&lt;0.0001,1,0)</f>
        <v>1</v>
      </c>
    </row>
    <row r="57" customFormat="false" ht="15" hidden="false" customHeight="false" outlineLevel="0" collapsed="false">
      <c r="A57" s="0" t="s">
        <v>148</v>
      </c>
      <c r="B57" s="0" t="s">
        <v>149</v>
      </c>
      <c r="C57" s="0" t="s">
        <v>604</v>
      </c>
      <c r="D57" s="0" t="n">
        <f aca="false">SUMIFS(Articles!$F:$F,Articles!$A:$A,A57,Articles!$E:$E,C57)</f>
        <v>1</v>
      </c>
      <c r="E57" s="0" t="n">
        <f aca="false">IF(ABS(D57-ROUND(D57,0))&lt;0.0001,1,0)</f>
        <v>1</v>
      </c>
    </row>
    <row r="58" customFormat="false" ht="15" hidden="false" customHeight="false" outlineLevel="0" collapsed="false">
      <c r="A58" s="0" t="s">
        <v>148</v>
      </c>
      <c r="B58" s="0" t="s">
        <v>149</v>
      </c>
      <c r="C58" s="0" t="s">
        <v>605</v>
      </c>
      <c r="D58" s="0" t="n">
        <f aca="false">SUMIFS(Articles!$F:$F,Articles!$A:$A,A58,Articles!$E:$E,C58)</f>
        <v>1</v>
      </c>
      <c r="E58" s="0" t="n">
        <f aca="false">IF(ABS(D58-ROUND(D58,0))&lt;0.0001,1,0)</f>
        <v>1</v>
      </c>
    </row>
    <row r="59" customFormat="false" ht="15" hidden="false" customHeight="false" outlineLevel="0" collapsed="false">
      <c r="A59" s="0" t="s">
        <v>148</v>
      </c>
      <c r="B59" s="0" t="s">
        <v>149</v>
      </c>
      <c r="C59" s="0" t="s">
        <v>430</v>
      </c>
      <c r="D59" s="0" t="n">
        <f aca="false">SUMIFS(Articles!$F:$F,Articles!$A:$A,A59,Articles!$E:$E,C59)</f>
        <v>1</v>
      </c>
      <c r="E59" s="0" t="n">
        <f aca="false">IF(ABS(D59-ROUND(D59,0))&lt;0.0001,1,0)</f>
        <v>1</v>
      </c>
    </row>
    <row r="60" customFormat="false" ht="15" hidden="false" customHeight="false" outlineLevel="0" collapsed="false">
      <c r="A60" s="0" t="s">
        <v>148</v>
      </c>
      <c r="B60" s="0" t="s">
        <v>149</v>
      </c>
      <c r="C60" s="0" t="s">
        <v>345</v>
      </c>
      <c r="D60" s="0" t="n">
        <f aca="false">SUMIFS(Articles!$F:$F,Articles!$A:$A,A60,Articles!$E:$E,C60)</f>
        <v>1</v>
      </c>
      <c r="E60" s="0" t="n">
        <f aca="false">IF(ABS(D60-ROUND(D60,0))&lt;0.0001,1,0)</f>
        <v>1</v>
      </c>
    </row>
    <row r="61" customFormat="false" ht="15" hidden="false" customHeight="false" outlineLevel="0" collapsed="false">
      <c r="A61" s="0" t="s">
        <v>148</v>
      </c>
      <c r="B61" s="0" t="s">
        <v>149</v>
      </c>
      <c r="C61" s="0" t="s">
        <v>606</v>
      </c>
      <c r="D61" s="0" t="n">
        <f aca="false">SUMIFS(Articles!$F:$F,Articles!$A:$A,A61,Articles!$E:$E,C61)</f>
        <v>1</v>
      </c>
      <c r="E61" s="0" t="n">
        <f aca="false">IF(ABS(D61-ROUND(D61,0))&lt;0.0001,1,0)</f>
        <v>1</v>
      </c>
    </row>
    <row r="62" customFormat="false" ht="15" hidden="false" customHeight="false" outlineLevel="0" collapsed="false">
      <c r="A62" s="0" t="s">
        <v>151</v>
      </c>
      <c r="B62" s="0" t="s">
        <v>152</v>
      </c>
      <c r="C62" s="0" t="s">
        <v>405</v>
      </c>
      <c r="D62" s="0" t="n">
        <f aca="false">SUMIFS(Articles!$F:$F,Articles!$A:$A,A62,Articles!$E:$E,C62)</f>
        <v>1</v>
      </c>
      <c r="E62" s="0" t="n">
        <f aca="false">IF(ABS(D62-ROUND(D62,0))&lt;0.0001,1,0)</f>
        <v>1</v>
      </c>
    </row>
    <row r="63" customFormat="false" ht="15" hidden="false" customHeight="false" outlineLevel="0" collapsed="false">
      <c r="A63" s="0" t="s">
        <v>151</v>
      </c>
      <c r="B63" s="0" t="s">
        <v>152</v>
      </c>
      <c r="C63" s="0" t="s">
        <v>607</v>
      </c>
      <c r="D63" s="0" t="n">
        <f aca="false">SUMIFS(Articles!$F:$F,Articles!$A:$A,A63,Articles!$E:$E,C63)</f>
        <v>1</v>
      </c>
      <c r="E63" s="0" t="n">
        <f aca="false">IF(ABS(D63-ROUND(D63,0))&lt;0.0001,1,0)</f>
        <v>1</v>
      </c>
    </row>
    <row r="64" customFormat="false" ht="15" hidden="false" customHeight="false" outlineLevel="0" collapsed="false">
      <c r="A64" s="0" t="s">
        <v>151</v>
      </c>
      <c r="B64" s="0" t="s">
        <v>152</v>
      </c>
      <c r="C64" s="0" t="s">
        <v>392</v>
      </c>
      <c r="D64" s="0" t="n">
        <f aca="false">SUMIFS(Articles!$F:$F,Articles!$A:$A,A64,Articles!$E:$E,C64)</f>
        <v>1</v>
      </c>
      <c r="E64" s="0" t="n">
        <f aca="false">IF(ABS(D64-ROUND(D64,0))&lt;0.0001,1,0)</f>
        <v>1</v>
      </c>
    </row>
    <row r="65" customFormat="false" ht="15" hidden="false" customHeight="false" outlineLevel="0" collapsed="false">
      <c r="A65" s="0" t="s">
        <v>151</v>
      </c>
      <c r="B65" s="0" t="s">
        <v>152</v>
      </c>
      <c r="C65" s="0" t="s">
        <v>605</v>
      </c>
      <c r="D65" s="0" t="n">
        <f aca="false">SUMIFS(Articles!$F:$F,Articles!$A:$A,A65,Articles!$E:$E,C65)</f>
        <v>1</v>
      </c>
      <c r="E65" s="0" t="n">
        <f aca="false">IF(ABS(D65-ROUND(D65,0))&lt;0.0001,1,0)</f>
        <v>1</v>
      </c>
    </row>
    <row r="66" customFormat="false" ht="15" hidden="false" customHeight="false" outlineLevel="0" collapsed="false">
      <c r="A66" s="0" t="s">
        <v>151</v>
      </c>
      <c r="B66" s="0" t="s">
        <v>152</v>
      </c>
      <c r="C66" s="0" t="s">
        <v>345</v>
      </c>
      <c r="D66" s="0" t="n">
        <f aca="false">SUMIFS(Articles!$F:$F,Articles!$A:$A,A66,Articles!$E:$E,C66)</f>
        <v>1</v>
      </c>
      <c r="E66" s="0" t="n">
        <f aca="false">IF(ABS(D66-ROUND(D66,0))&lt;0.0001,1,0)</f>
        <v>1</v>
      </c>
    </row>
    <row r="67" customFormat="false" ht="15" hidden="false" customHeight="false" outlineLevel="0" collapsed="false">
      <c r="A67" s="0" t="s">
        <v>151</v>
      </c>
      <c r="B67" s="0" t="s">
        <v>152</v>
      </c>
      <c r="C67" s="0" t="s">
        <v>372</v>
      </c>
      <c r="D67" s="0" t="n">
        <f aca="false">SUMIFS(Articles!$F:$F,Articles!$A:$A,A67,Articles!$E:$E,C67)</f>
        <v>1</v>
      </c>
      <c r="E67" s="0" t="n">
        <f aca="false">IF(ABS(D67-ROUND(D67,0))&lt;0.0001,1,0)</f>
        <v>1</v>
      </c>
    </row>
    <row r="68" customFormat="false" ht="15" hidden="false" customHeight="false" outlineLevel="0" collapsed="false">
      <c r="A68" s="0" t="s">
        <v>151</v>
      </c>
      <c r="B68" s="0" t="s">
        <v>152</v>
      </c>
      <c r="C68" s="0" t="s">
        <v>608</v>
      </c>
      <c r="D68" s="0" t="n">
        <f aca="false">SUMIFS(Articles!$F:$F,Articles!$A:$A,A68,Articles!$E:$E,C68)</f>
        <v>1</v>
      </c>
      <c r="E68" s="0" t="n">
        <f aca="false">IF(ABS(D68-ROUND(D68,0))&lt;0.0001,1,0)</f>
        <v>1</v>
      </c>
    </row>
    <row r="69" customFormat="false" ht="15" hidden="false" customHeight="false" outlineLevel="0" collapsed="false">
      <c r="A69" s="0" t="s">
        <v>151</v>
      </c>
      <c r="B69" s="0" t="s">
        <v>152</v>
      </c>
      <c r="C69" s="0" t="s">
        <v>366</v>
      </c>
      <c r="D69" s="0" t="n">
        <f aca="false">SUMIFS(Articles!$F:$F,Articles!$A:$A,A69,Articles!$E:$E,C69)</f>
        <v>1</v>
      </c>
      <c r="E69" s="0" t="n">
        <f aca="false">IF(ABS(D69-ROUND(D69,0))&lt;0.0001,1,0)</f>
        <v>1</v>
      </c>
    </row>
    <row r="70" customFormat="false" ht="15" hidden="false" customHeight="false" outlineLevel="0" collapsed="false">
      <c r="A70" s="0" t="s">
        <v>154</v>
      </c>
      <c r="B70" s="0" t="s">
        <v>155</v>
      </c>
      <c r="C70" s="0" t="s">
        <v>368</v>
      </c>
      <c r="D70" s="0" t="n">
        <f aca="false">SUMIFS(Articles!$F:$F,Articles!$A:$A,A70,Articles!$E:$E,C70)</f>
        <v>1</v>
      </c>
      <c r="E70" s="0" t="n">
        <f aca="false">IF(ABS(D70-ROUND(D70,0))&lt;0.0001,1,0)</f>
        <v>1</v>
      </c>
    </row>
    <row r="71" customFormat="false" ht="15" hidden="false" customHeight="false" outlineLevel="0" collapsed="false">
      <c r="A71" s="0" t="s">
        <v>154</v>
      </c>
      <c r="B71" s="0" t="s">
        <v>155</v>
      </c>
      <c r="C71" s="0" t="s">
        <v>609</v>
      </c>
      <c r="D71" s="0" t="n">
        <f aca="false">SUMIFS(Articles!$F:$F,Articles!$A:$A,A71,Articles!$E:$E,C71)</f>
        <v>1</v>
      </c>
      <c r="E71" s="0" t="n">
        <f aca="false">IF(ABS(D71-ROUND(D71,0))&lt;0.0001,1,0)</f>
        <v>1</v>
      </c>
    </row>
    <row r="72" customFormat="false" ht="15" hidden="false" customHeight="false" outlineLevel="0" collapsed="false">
      <c r="A72" s="0" t="s">
        <v>154</v>
      </c>
      <c r="B72" s="0" t="s">
        <v>155</v>
      </c>
      <c r="C72" s="0" t="s">
        <v>610</v>
      </c>
      <c r="D72" s="0" t="n">
        <f aca="false">SUMIFS(Articles!$F:$F,Articles!$A:$A,A72,Articles!$E:$E,C72)</f>
        <v>1</v>
      </c>
      <c r="E72" s="0" t="n">
        <f aca="false">IF(ABS(D72-ROUND(D72,0))&lt;0.0001,1,0)</f>
        <v>1</v>
      </c>
    </row>
    <row r="73" customFormat="false" ht="15" hidden="false" customHeight="false" outlineLevel="0" collapsed="false">
      <c r="A73" s="0" t="s">
        <v>154</v>
      </c>
      <c r="B73" s="0" t="s">
        <v>155</v>
      </c>
      <c r="C73" s="0" t="s">
        <v>611</v>
      </c>
      <c r="D73" s="0" t="n">
        <f aca="false">SUMIFS(Articles!$F:$F,Articles!$A:$A,A73,Articles!$E:$E,C73)</f>
        <v>4</v>
      </c>
      <c r="E73" s="0" t="n">
        <f aca="false">IF(ABS(D73-ROUND(D73,0))&lt;0.0001,1,0)</f>
        <v>1</v>
      </c>
    </row>
    <row r="74" customFormat="false" ht="15" hidden="false" customHeight="false" outlineLevel="0" collapsed="false">
      <c r="A74" s="0" t="s">
        <v>154</v>
      </c>
      <c r="B74" s="0" t="s">
        <v>155</v>
      </c>
      <c r="C74" s="0" t="s">
        <v>604</v>
      </c>
      <c r="D74" s="0" t="n">
        <f aca="false">SUMIFS(Articles!$F:$F,Articles!$A:$A,A74,Articles!$E:$E,C74)</f>
        <v>1</v>
      </c>
      <c r="E74" s="0" t="n">
        <f aca="false">IF(ABS(D74-ROUND(D74,0))&lt;0.0001,1,0)</f>
        <v>1</v>
      </c>
    </row>
    <row r="75" customFormat="false" ht="15" hidden="false" customHeight="false" outlineLevel="0" collapsed="false">
      <c r="A75" s="0" t="s">
        <v>154</v>
      </c>
      <c r="B75" s="0" t="s">
        <v>155</v>
      </c>
      <c r="C75" s="0" t="s">
        <v>612</v>
      </c>
      <c r="D75" s="0" t="n">
        <f aca="false">SUMIFS(Articles!$F:$F,Articles!$A:$A,A75,Articles!$E:$E,C75)</f>
        <v>1</v>
      </c>
      <c r="E75" s="0" t="n">
        <f aca="false">IF(ABS(D75-ROUND(D75,0))&lt;0.0001,1,0)</f>
        <v>1</v>
      </c>
    </row>
    <row r="76" customFormat="false" ht="15" hidden="false" customHeight="false" outlineLevel="0" collapsed="false">
      <c r="A76" s="0" t="s">
        <v>154</v>
      </c>
      <c r="B76" s="0" t="s">
        <v>155</v>
      </c>
      <c r="C76" s="0" t="s">
        <v>395</v>
      </c>
      <c r="D76" s="0" t="n">
        <f aca="false">SUMIFS(Articles!$F:$F,Articles!$A:$A,A76,Articles!$E:$E,C76)</f>
        <v>2</v>
      </c>
      <c r="E76" s="0" t="n">
        <f aca="false">IF(ABS(D76-ROUND(D76,0))&lt;0.0001,1,0)</f>
        <v>1</v>
      </c>
    </row>
    <row r="77" customFormat="false" ht="15" hidden="false" customHeight="false" outlineLevel="0" collapsed="false">
      <c r="A77" s="0" t="s">
        <v>154</v>
      </c>
      <c r="B77" s="0" t="s">
        <v>155</v>
      </c>
      <c r="C77" s="0" t="s">
        <v>613</v>
      </c>
      <c r="D77" s="0" t="n">
        <f aca="false">SUMIFS(Articles!$F:$F,Articles!$A:$A,A77,Articles!$E:$E,C77)</f>
        <v>3</v>
      </c>
      <c r="E77" s="0" t="n">
        <f aca="false">IF(ABS(D77-ROUND(D77,0))&lt;0.0001,1,0)</f>
        <v>1</v>
      </c>
    </row>
    <row r="78" customFormat="false" ht="15" hidden="false" customHeight="false" outlineLevel="0" collapsed="false">
      <c r="A78" s="0" t="s">
        <v>154</v>
      </c>
      <c r="B78" s="0" t="s">
        <v>155</v>
      </c>
      <c r="C78" s="0" t="s">
        <v>614</v>
      </c>
      <c r="D78" s="0" t="n">
        <f aca="false">SUMIFS(Articles!$F:$F,Articles!$A:$A,A78,Articles!$E:$E,C78)</f>
        <v>2</v>
      </c>
      <c r="E78" s="0" t="n">
        <f aca="false">IF(ABS(D78-ROUND(D78,0))&lt;0.0001,1,0)</f>
        <v>1</v>
      </c>
    </row>
    <row r="79" customFormat="false" ht="15" hidden="false" customHeight="false" outlineLevel="0" collapsed="false">
      <c r="A79" s="0" t="s">
        <v>154</v>
      </c>
      <c r="B79" s="0" t="s">
        <v>155</v>
      </c>
      <c r="C79" s="0" t="s">
        <v>615</v>
      </c>
      <c r="D79" s="0" t="n">
        <f aca="false">SUMIFS(Articles!$F:$F,Articles!$A:$A,A79,Articles!$E:$E,C79)</f>
        <v>1</v>
      </c>
      <c r="E79" s="0" t="n">
        <f aca="false">IF(ABS(D79-ROUND(D79,0))&lt;0.0001,1,0)</f>
        <v>1</v>
      </c>
    </row>
    <row r="80" customFormat="false" ht="15" hidden="false" customHeight="false" outlineLevel="0" collapsed="false">
      <c r="A80" s="0" t="s">
        <v>154</v>
      </c>
      <c r="B80" s="0" t="s">
        <v>155</v>
      </c>
      <c r="C80" s="0" t="s">
        <v>599</v>
      </c>
      <c r="D80" s="0" t="n">
        <f aca="false">SUMIFS(Articles!$F:$F,Articles!$A:$A,A80,Articles!$E:$E,C80)</f>
        <v>2</v>
      </c>
      <c r="E80" s="0" t="n">
        <f aca="false">IF(ABS(D80-ROUND(D80,0))&lt;0.0001,1,0)</f>
        <v>1</v>
      </c>
    </row>
    <row r="81" customFormat="false" ht="15" hidden="false" customHeight="false" outlineLevel="0" collapsed="false">
      <c r="A81" s="0" t="s">
        <v>154</v>
      </c>
      <c r="B81" s="0" t="s">
        <v>155</v>
      </c>
      <c r="C81" s="0" t="s">
        <v>419</v>
      </c>
      <c r="D81" s="0" t="n">
        <f aca="false">SUMIFS(Articles!$F:$F,Articles!$A:$A,A81,Articles!$E:$E,C81)</f>
        <v>3</v>
      </c>
      <c r="E81" s="0" t="n">
        <f aca="false">IF(ABS(D81-ROUND(D81,0))&lt;0.0001,1,0)</f>
        <v>1</v>
      </c>
    </row>
    <row r="82" customFormat="false" ht="15" hidden="false" customHeight="false" outlineLevel="0" collapsed="false">
      <c r="A82" s="0" t="s">
        <v>154</v>
      </c>
      <c r="B82" s="0" t="s">
        <v>155</v>
      </c>
      <c r="C82" s="0" t="s">
        <v>374</v>
      </c>
      <c r="D82" s="0" t="n">
        <f aca="false">SUMIFS(Articles!$F:$F,Articles!$A:$A,A82,Articles!$E:$E,C82)</f>
        <v>1</v>
      </c>
      <c r="E82" s="0" t="n">
        <f aca="false">IF(ABS(D82-ROUND(D82,0))&lt;0.0001,1,0)</f>
        <v>1</v>
      </c>
    </row>
    <row r="83" customFormat="false" ht="15" hidden="false" customHeight="false" outlineLevel="0" collapsed="false">
      <c r="A83" s="0" t="s">
        <v>154</v>
      </c>
      <c r="B83" s="0" t="s">
        <v>155</v>
      </c>
      <c r="C83" s="0" t="s">
        <v>366</v>
      </c>
      <c r="D83" s="0" t="n">
        <f aca="false">SUMIFS(Articles!$F:$F,Articles!$A:$A,A83,Articles!$E:$E,C83)</f>
        <v>1</v>
      </c>
      <c r="E83" s="0" t="n">
        <f aca="false">IF(ABS(D83-ROUND(D83,0))&lt;0.0001,1,0)</f>
        <v>1</v>
      </c>
    </row>
    <row r="84" customFormat="false" ht="15" hidden="false" customHeight="false" outlineLevel="0" collapsed="false">
      <c r="A84" s="0" t="s">
        <v>154</v>
      </c>
      <c r="B84" s="0" t="s">
        <v>155</v>
      </c>
      <c r="C84" s="0" t="s">
        <v>616</v>
      </c>
      <c r="D84" s="0" t="n">
        <f aca="false">SUMIFS(Articles!$F:$F,Articles!$A:$A,A84,Articles!$E:$E,C84)</f>
        <v>1</v>
      </c>
      <c r="E84" s="0" t="n">
        <f aca="false">IF(ABS(D84-ROUND(D84,0))&lt;0.0001,1,0)</f>
        <v>1</v>
      </c>
    </row>
    <row r="85" customFormat="false" ht="15" hidden="false" customHeight="false" outlineLevel="0" collapsed="false">
      <c r="A85" s="0" t="s">
        <v>154</v>
      </c>
      <c r="B85" s="0" t="s">
        <v>155</v>
      </c>
      <c r="C85" s="0" t="s">
        <v>617</v>
      </c>
      <c r="D85" s="0" t="n">
        <f aca="false">SUMIFS(Articles!$F:$F,Articles!$A:$A,A85,Articles!$E:$E,C85)</f>
        <v>1</v>
      </c>
      <c r="E85" s="0" t="n">
        <f aca="false">IF(ABS(D85-ROUND(D85,0))&lt;0.0001,1,0)</f>
        <v>1</v>
      </c>
    </row>
    <row r="86" customFormat="false" ht="15" hidden="false" customHeight="false" outlineLevel="0" collapsed="false">
      <c r="A86" s="0" t="s">
        <v>157</v>
      </c>
      <c r="B86" s="0" t="s">
        <v>158</v>
      </c>
      <c r="C86" s="0" t="s">
        <v>618</v>
      </c>
      <c r="D86" s="0" t="n">
        <f aca="false">SUMIFS(Articles!$F:$F,Articles!$A:$A,A86,Articles!$E:$E,C86)</f>
        <v>4</v>
      </c>
      <c r="E86" s="0" t="n">
        <f aca="false">IF(ABS(D86-ROUND(D86,0))&lt;0.0001,1,0)</f>
        <v>1</v>
      </c>
    </row>
    <row r="87" customFormat="false" ht="15" hidden="false" customHeight="false" outlineLevel="0" collapsed="false">
      <c r="A87" s="0" t="s">
        <v>157</v>
      </c>
      <c r="B87" s="0" t="s">
        <v>158</v>
      </c>
      <c r="C87" s="0" t="s">
        <v>432</v>
      </c>
      <c r="D87" s="0" t="n">
        <f aca="false">SUMIFS(Articles!$F:$F,Articles!$A:$A,A87,Articles!$E:$E,C87)</f>
        <v>1</v>
      </c>
      <c r="E87" s="0" t="n">
        <f aca="false">IF(ABS(D87-ROUND(D87,0))&lt;0.0001,1,0)</f>
        <v>1</v>
      </c>
    </row>
    <row r="88" customFormat="false" ht="15" hidden="false" customHeight="false" outlineLevel="0" collapsed="false">
      <c r="A88" s="0" t="s">
        <v>157</v>
      </c>
      <c r="B88" s="0" t="s">
        <v>158</v>
      </c>
      <c r="C88" s="0" t="s">
        <v>419</v>
      </c>
      <c r="D88" s="0" t="n">
        <f aca="false">SUMIFS(Articles!$F:$F,Articles!$A:$A,A88,Articles!$E:$E,C88)</f>
        <v>3</v>
      </c>
      <c r="E88" s="0" t="n">
        <f aca="false">IF(ABS(D88-ROUND(D88,0))&lt;0.0001,1,0)</f>
        <v>1</v>
      </c>
    </row>
    <row r="89" customFormat="false" ht="15" hidden="false" customHeight="false" outlineLevel="0" collapsed="false">
      <c r="A89" s="0" t="s">
        <v>157</v>
      </c>
      <c r="B89" s="0" t="s">
        <v>158</v>
      </c>
      <c r="C89" s="0" t="s">
        <v>387</v>
      </c>
      <c r="D89" s="0" t="n">
        <f aca="false">SUMIFS(Articles!$F:$F,Articles!$A:$A,A89,Articles!$E:$E,C89)</f>
        <v>1</v>
      </c>
      <c r="E89" s="0" t="n">
        <f aca="false">IF(ABS(D89-ROUND(D89,0))&lt;0.0001,1,0)</f>
        <v>1</v>
      </c>
    </row>
    <row r="90" customFormat="false" ht="15" hidden="false" customHeight="false" outlineLevel="0" collapsed="false">
      <c r="A90" s="0" t="s">
        <v>157</v>
      </c>
      <c r="B90" s="0" t="s">
        <v>158</v>
      </c>
      <c r="C90" s="0" t="s">
        <v>619</v>
      </c>
      <c r="D90" s="0" t="n">
        <f aca="false">SUMIFS(Articles!$F:$F,Articles!$A:$A,A90,Articles!$E:$E,C90)</f>
        <v>1</v>
      </c>
      <c r="E90" s="0" t="n">
        <f aca="false">IF(ABS(D90-ROUND(D90,0))&lt;0.0001,1,0)</f>
        <v>1</v>
      </c>
    </row>
    <row r="91" customFormat="false" ht="15" hidden="false" customHeight="false" outlineLevel="0" collapsed="false">
      <c r="A91" s="0" t="s">
        <v>157</v>
      </c>
      <c r="B91" s="0" t="s">
        <v>158</v>
      </c>
      <c r="C91" s="0" t="s">
        <v>620</v>
      </c>
      <c r="D91" s="0" t="n">
        <f aca="false">SUMIFS(Articles!$F:$F,Articles!$A:$A,A91,Articles!$E:$E,C91)</f>
        <v>1</v>
      </c>
      <c r="E91" s="0" t="n">
        <f aca="false">IF(ABS(D91-ROUND(D91,0))&lt;0.0001,1,0)</f>
        <v>1</v>
      </c>
    </row>
    <row r="92" customFormat="false" ht="15" hidden="false" customHeight="false" outlineLevel="0" collapsed="false">
      <c r="A92" s="0" t="s">
        <v>157</v>
      </c>
      <c r="B92" s="0" t="s">
        <v>158</v>
      </c>
      <c r="C92" s="0" t="s">
        <v>395</v>
      </c>
      <c r="D92" s="0" t="n">
        <f aca="false">SUMIFS(Articles!$F:$F,Articles!$A:$A,A92,Articles!$E:$E,C92)</f>
        <v>1</v>
      </c>
      <c r="E92" s="0" t="n">
        <f aca="false">IF(ABS(D92-ROUND(D92,0))&lt;0.0001,1,0)</f>
        <v>1</v>
      </c>
    </row>
    <row r="93" customFormat="false" ht="15" hidden="false" customHeight="false" outlineLevel="0" collapsed="false">
      <c r="A93" s="0" t="s">
        <v>157</v>
      </c>
      <c r="B93" s="0" t="s">
        <v>158</v>
      </c>
      <c r="C93" s="0" t="s">
        <v>621</v>
      </c>
      <c r="D93" s="0" t="n">
        <f aca="false">SUMIFS(Articles!$F:$F,Articles!$A:$A,A93,Articles!$E:$E,C93)</f>
        <v>2</v>
      </c>
      <c r="E93" s="0" t="n">
        <f aca="false">IF(ABS(D93-ROUND(D93,0))&lt;0.0001,1,0)</f>
        <v>1</v>
      </c>
    </row>
    <row r="94" customFormat="false" ht="15" hidden="false" customHeight="false" outlineLevel="0" collapsed="false">
      <c r="A94" s="0" t="s">
        <v>157</v>
      </c>
      <c r="B94" s="0" t="s">
        <v>158</v>
      </c>
      <c r="C94" s="0" t="s">
        <v>586</v>
      </c>
      <c r="D94" s="0" t="n">
        <f aca="false">SUMIFS(Articles!$F:$F,Articles!$A:$A,A94,Articles!$E:$E,C94)</f>
        <v>1</v>
      </c>
      <c r="E94" s="0" t="n">
        <f aca="false">IF(ABS(D94-ROUND(D94,0))&lt;0.0001,1,0)</f>
        <v>1</v>
      </c>
    </row>
    <row r="95" customFormat="false" ht="15" hidden="false" customHeight="false" outlineLevel="0" collapsed="false">
      <c r="A95" s="0" t="s">
        <v>157</v>
      </c>
      <c r="B95" s="0" t="s">
        <v>158</v>
      </c>
      <c r="C95" s="0" t="s">
        <v>622</v>
      </c>
      <c r="D95" s="0" t="n">
        <f aca="false">SUMIFS(Articles!$F:$F,Articles!$A:$A,A95,Articles!$E:$E,C95)</f>
        <v>2</v>
      </c>
      <c r="E95" s="0" t="n">
        <f aca="false">IF(ABS(D95-ROUND(D95,0))&lt;0.0001,1,0)</f>
        <v>1</v>
      </c>
    </row>
    <row r="96" customFormat="false" ht="15" hidden="false" customHeight="false" outlineLevel="0" collapsed="false">
      <c r="A96" s="0" t="s">
        <v>157</v>
      </c>
      <c r="B96" s="0" t="s">
        <v>158</v>
      </c>
      <c r="C96" s="0" t="s">
        <v>623</v>
      </c>
      <c r="D96" s="0" t="n">
        <f aca="false">SUMIFS(Articles!$F:$F,Articles!$A:$A,A96,Articles!$E:$E,C96)</f>
        <v>1</v>
      </c>
      <c r="E96" s="0" t="n">
        <f aca="false">IF(ABS(D96-ROUND(D96,0))&lt;0.0001,1,0)</f>
        <v>1</v>
      </c>
    </row>
    <row r="97" customFormat="false" ht="15" hidden="false" customHeight="false" outlineLevel="0" collapsed="false">
      <c r="A97" s="0" t="s">
        <v>157</v>
      </c>
      <c r="B97" s="0" t="s">
        <v>158</v>
      </c>
      <c r="C97" s="0" t="s">
        <v>624</v>
      </c>
      <c r="D97" s="0" t="n">
        <f aca="false">SUMIFS(Articles!$F:$F,Articles!$A:$A,A97,Articles!$E:$E,C97)</f>
        <v>1</v>
      </c>
      <c r="E97" s="0" t="n">
        <f aca="false">IF(ABS(D97-ROUND(D97,0))&lt;0.0001,1,0)</f>
        <v>1</v>
      </c>
    </row>
    <row r="98" customFormat="false" ht="15" hidden="false" customHeight="false" outlineLevel="0" collapsed="false">
      <c r="A98" s="0" t="s">
        <v>157</v>
      </c>
      <c r="B98" s="0" t="s">
        <v>158</v>
      </c>
      <c r="C98" s="0" t="s">
        <v>366</v>
      </c>
      <c r="D98" s="0" t="n">
        <f aca="false">SUMIFS(Articles!$F:$F,Articles!$A:$A,A98,Articles!$E:$E,C98)</f>
        <v>1</v>
      </c>
      <c r="E98" s="0" t="n">
        <f aca="false">IF(ABS(D98-ROUND(D98,0))&lt;0.0001,1,0)</f>
        <v>1</v>
      </c>
    </row>
    <row r="99" customFormat="false" ht="15" hidden="false" customHeight="false" outlineLevel="0" collapsed="false">
      <c r="A99" s="0" t="s">
        <v>157</v>
      </c>
      <c r="B99" s="0" t="s">
        <v>158</v>
      </c>
      <c r="C99" s="0" t="s">
        <v>625</v>
      </c>
      <c r="D99" s="0" t="n">
        <f aca="false">SUMIFS(Articles!$F:$F,Articles!$A:$A,A99,Articles!$E:$E,C99)</f>
        <v>1</v>
      </c>
      <c r="E99" s="0" t="n">
        <f aca="false">IF(ABS(D99-ROUND(D99,0))&lt;0.0001,1,0)</f>
        <v>1</v>
      </c>
    </row>
    <row r="100" customFormat="false" ht="15" hidden="false" customHeight="false" outlineLevel="0" collapsed="false">
      <c r="A100" s="0" t="s">
        <v>157</v>
      </c>
      <c r="B100" s="0" t="s">
        <v>158</v>
      </c>
      <c r="C100" s="0" t="s">
        <v>591</v>
      </c>
      <c r="D100" s="0" t="n">
        <f aca="false">SUMIFS(Articles!$F:$F,Articles!$A:$A,A100,Articles!$E:$E,C100)</f>
        <v>2</v>
      </c>
      <c r="E100" s="0" t="n">
        <f aca="false">IF(ABS(D100-ROUND(D100,0))&lt;0.0001,1,0)</f>
        <v>1</v>
      </c>
    </row>
    <row r="101" customFormat="false" ht="15" hidden="false" customHeight="false" outlineLevel="0" collapsed="false">
      <c r="A101" s="0" t="s">
        <v>157</v>
      </c>
      <c r="B101" s="0" t="s">
        <v>158</v>
      </c>
      <c r="C101" s="0" t="s">
        <v>626</v>
      </c>
      <c r="D101" s="0" t="n">
        <f aca="false">SUMIFS(Articles!$F:$F,Articles!$A:$A,A101,Articles!$E:$E,C101)</f>
        <v>2</v>
      </c>
      <c r="E101" s="0" t="n">
        <f aca="false">IF(ABS(D101-ROUND(D101,0))&lt;0.0001,1,0)</f>
        <v>1</v>
      </c>
    </row>
    <row r="102" customFormat="false" ht="15" hidden="false" customHeight="false" outlineLevel="0" collapsed="false">
      <c r="A102" s="0" t="s">
        <v>157</v>
      </c>
      <c r="B102" s="0" t="s">
        <v>158</v>
      </c>
      <c r="C102" s="0" t="s">
        <v>627</v>
      </c>
      <c r="D102" s="0" t="n">
        <f aca="false">SUMIFS(Articles!$F:$F,Articles!$A:$A,A102,Articles!$E:$E,C102)</f>
        <v>1</v>
      </c>
      <c r="E102" s="0" t="n">
        <f aca="false">IF(ABS(D102-ROUND(D102,0))&lt;0.0001,1,0)</f>
        <v>1</v>
      </c>
    </row>
    <row r="103" customFormat="false" ht="15" hidden="false" customHeight="false" outlineLevel="0" collapsed="false">
      <c r="A103" s="0" t="s">
        <v>157</v>
      </c>
      <c r="B103" s="0" t="s">
        <v>158</v>
      </c>
      <c r="C103" s="0" t="s">
        <v>628</v>
      </c>
      <c r="D103" s="0" t="n">
        <f aca="false">SUMIFS(Articles!$F:$F,Articles!$A:$A,A103,Articles!$E:$E,C103)</f>
        <v>1</v>
      </c>
      <c r="E103" s="0" t="n">
        <f aca="false">IF(ABS(D103-ROUND(D103,0))&lt;0.0001,1,0)</f>
        <v>1</v>
      </c>
    </row>
    <row r="104" customFormat="false" ht="15" hidden="false" customHeight="false" outlineLevel="0" collapsed="false">
      <c r="A104" s="0" t="s">
        <v>157</v>
      </c>
      <c r="B104" s="0" t="s">
        <v>158</v>
      </c>
      <c r="C104" s="0" t="s">
        <v>377</v>
      </c>
      <c r="D104" s="0" t="n">
        <f aca="false">SUMIFS(Articles!$F:$F,Articles!$A:$A,A104,Articles!$E:$E,C104)</f>
        <v>1</v>
      </c>
      <c r="E104" s="0" t="n">
        <f aca="false">IF(ABS(D104-ROUND(D104,0))&lt;0.0001,1,0)</f>
        <v>1</v>
      </c>
    </row>
    <row r="105" customFormat="false" ht="15" hidden="false" customHeight="false" outlineLevel="0" collapsed="false">
      <c r="A105" s="0" t="s">
        <v>160</v>
      </c>
      <c r="B105" s="0" t="s">
        <v>161</v>
      </c>
      <c r="C105" s="0" t="s">
        <v>590</v>
      </c>
      <c r="D105" s="0" t="n">
        <f aca="false">SUMIFS(Articles!$F:$F,Articles!$A:$A,A105,Articles!$E:$E,C105)</f>
        <v>1</v>
      </c>
      <c r="E105" s="0" t="n">
        <f aca="false">IF(ABS(D105-ROUND(D105,0))&lt;0.0001,1,0)</f>
        <v>1</v>
      </c>
    </row>
    <row r="106" customFormat="false" ht="15" hidden="false" customHeight="false" outlineLevel="0" collapsed="false">
      <c r="A106" s="0" t="s">
        <v>160</v>
      </c>
      <c r="B106" s="0" t="s">
        <v>161</v>
      </c>
      <c r="C106" s="0" t="s">
        <v>382</v>
      </c>
      <c r="D106" s="0" t="n">
        <f aca="false">SUMIFS(Articles!$F:$F,Articles!$A:$A,A106,Articles!$E:$E,C106)</f>
        <v>1</v>
      </c>
      <c r="E106" s="0" t="n">
        <f aca="false">IF(ABS(D106-ROUND(D106,0))&lt;0.0001,1,0)</f>
        <v>1</v>
      </c>
    </row>
    <row r="107" customFormat="false" ht="15" hidden="false" customHeight="false" outlineLevel="0" collapsed="false">
      <c r="A107" s="0" t="s">
        <v>160</v>
      </c>
      <c r="B107" s="0" t="s">
        <v>161</v>
      </c>
      <c r="C107" s="0" t="s">
        <v>452</v>
      </c>
      <c r="D107" s="0" t="n">
        <f aca="false">SUMIFS(Articles!$F:$F,Articles!$A:$A,A107,Articles!$E:$E,C107)</f>
        <v>2</v>
      </c>
      <c r="E107" s="0" t="n">
        <f aca="false">IF(ABS(D107-ROUND(D107,0))&lt;0.0001,1,0)</f>
        <v>1</v>
      </c>
    </row>
    <row r="108" customFormat="false" ht="15" hidden="false" customHeight="false" outlineLevel="0" collapsed="false">
      <c r="A108" s="0" t="s">
        <v>160</v>
      </c>
      <c r="B108" s="0" t="s">
        <v>161</v>
      </c>
      <c r="C108" s="0" t="s">
        <v>629</v>
      </c>
      <c r="D108" s="0" t="n">
        <f aca="false">SUMIFS(Articles!$F:$F,Articles!$A:$A,A108,Articles!$E:$E,C108)</f>
        <v>1</v>
      </c>
      <c r="E108" s="0" t="n">
        <f aca="false">IF(ABS(D108-ROUND(D108,0))&lt;0.0001,1,0)</f>
        <v>1</v>
      </c>
    </row>
    <row r="109" customFormat="false" ht="15" hidden="false" customHeight="false" outlineLevel="0" collapsed="false">
      <c r="A109" s="0" t="s">
        <v>160</v>
      </c>
      <c r="B109" s="0" t="s">
        <v>161</v>
      </c>
      <c r="C109" s="0" t="s">
        <v>366</v>
      </c>
      <c r="D109" s="0" t="n">
        <f aca="false">SUMIFS(Articles!$F:$F,Articles!$A:$A,A109,Articles!$E:$E,C109)</f>
        <v>1</v>
      </c>
      <c r="E109" s="0" t="n">
        <f aca="false">IF(ABS(D109-ROUND(D109,0))&lt;0.0001,1,0)</f>
        <v>1</v>
      </c>
    </row>
    <row r="110" customFormat="false" ht="15" hidden="false" customHeight="false" outlineLevel="0" collapsed="false">
      <c r="A110" s="0" t="s">
        <v>163</v>
      </c>
      <c r="B110" s="0" t="s">
        <v>164</v>
      </c>
      <c r="C110" s="0" t="s">
        <v>630</v>
      </c>
      <c r="D110" s="0" t="n">
        <f aca="false">SUMIFS(Articles!$F:$F,Articles!$A:$A,A110,Articles!$E:$E,C110)</f>
        <v>8</v>
      </c>
      <c r="E110" s="0" t="n">
        <f aca="false">IF(ABS(D110-ROUND(D110,0))&lt;0.0001,1,0)</f>
        <v>1</v>
      </c>
    </row>
    <row r="111" customFormat="false" ht="15" hidden="false" customHeight="false" outlineLevel="0" collapsed="false">
      <c r="A111" s="0" t="s">
        <v>163</v>
      </c>
      <c r="B111" s="0" t="s">
        <v>164</v>
      </c>
      <c r="C111" s="0" t="s">
        <v>631</v>
      </c>
      <c r="D111" s="0" t="n">
        <f aca="false">SUMIFS(Articles!$F:$F,Articles!$A:$A,A111,Articles!$E:$E,C111)</f>
        <v>1</v>
      </c>
      <c r="E111" s="0" t="n">
        <f aca="false">IF(ABS(D111-ROUND(D111,0))&lt;0.0001,1,0)</f>
        <v>1</v>
      </c>
    </row>
    <row r="112" customFormat="false" ht="15" hidden="false" customHeight="false" outlineLevel="0" collapsed="false">
      <c r="A112" s="0" t="s">
        <v>163</v>
      </c>
      <c r="B112" s="0" t="s">
        <v>164</v>
      </c>
      <c r="C112" s="0" t="s">
        <v>391</v>
      </c>
      <c r="D112" s="0" t="n">
        <f aca="false">SUMIFS(Articles!$F:$F,Articles!$A:$A,A112,Articles!$E:$E,C112)</f>
        <v>1</v>
      </c>
      <c r="E112" s="0" t="n">
        <f aca="false">IF(ABS(D112-ROUND(D112,0))&lt;0.0001,1,0)</f>
        <v>1</v>
      </c>
    </row>
    <row r="113" customFormat="false" ht="15" hidden="false" customHeight="false" outlineLevel="0" collapsed="false">
      <c r="A113" s="0" t="s">
        <v>163</v>
      </c>
      <c r="B113" s="0" t="s">
        <v>164</v>
      </c>
      <c r="C113" s="0" t="s">
        <v>372</v>
      </c>
      <c r="D113" s="0" t="n">
        <f aca="false">SUMIFS(Articles!$F:$F,Articles!$A:$A,A113,Articles!$E:$E,C113)</f>
        <v>1</v>
      </c>
      <c r="E113" s="0" t="n">
        <f aca="false">IF(ABS(D113-ROUND(D113,0))&lt;0.0001,1,0)</f>
        <v>1</v>
      </c>
    </row>
    <row r="114" customFormat="false" ht="15" hidden="false" customHeight="false" outlineLevel="0" collapsed="false">
      <c r="A114" s="0" t="s">
        <v>163</v>
      </c>
      <c r="B114" s="0" t="s">
        <v>164</v>
      </c>
      <c r="C114" s="0" t="s">
        <v>377</v>
      </c>
      <c r="D114" s="0" t="n">
        <f aca="false">SUMIFS(Articles!$F:$F,Articles!$A:$A,A114,Articles!$E:$E,C114)</f>
        <v>1</v>
      </c>
      <c r="E114" s="0" t="n">
        <f aca="false">IF(ABS(D114-ROUND(D114,0))&lt;0.0001,1,0)</f>
        <v>1</v>
      </c>
    </row>
    <row r="115" customFormat="false" ht="15" hidden="false" customHeight="false" outlineLevel="0" collapsed="false">
      <c r="A115" s="0" t="s">
        <v>163</v>
      </c>
      <c r="B115" s="0" t="s">
        <v>164</v>
      </c>
      <c r="C115" s="0" t="s">
        <v>632</v>
      </c>
      <c r="D115" s="0" t="n">
        <f aca="false">SUMIFS(Articles!$F:$F,Articles!$A:$A,A115,Articles!$E:$E,C115)</f>
        <v>2</v>
      </c>
      <c r="E115" s="0" t="n">
        <f aca="false">IF(ABS(D115-ROUND(D115,0))&lt;0.0001,1,0)</f>
        <v>1</v>
      </c>
    </row>
    <row r="116" customFormat="false" ht="15" hidden="false" customHeight="false" outlineLevel="0" collapsed="false">
      <c r="A116" s="0" t="s">
        <v>163</v>
      </c>
      <c r="B116" s="0" t="s">
        <v>164</v>
      </c>
      <c r="C116" s="0" t="s">
        <v>579</v>
      </c>
      <c r="D116" s="0" t="n">
        <f aca="false">SUMIFS(Articles!$F:$F,Articles!$A:$A,A116,Articles!$E:$E,C116)</f>
        <v>2</v>
      </c>
      <c r="E116" s="0" t="n">
        <f aca="false">IF(ABS(D116-ROUND(D116,0))&lt;0.0001,1,0)</f>
        <v>1</v>
      </c>
    </row>
    <row r="117" customFormat="false" ht="15" hidden="false" customHeight="false" outlineLevel="0" collapsed="false">
      <c r="A117" s="0" t="s">
        <v>163</v>
      </c>
      <c r="B117" s="0" t="s">
        <v>164</v>
      </c>
      <c r="C117" s="0" t="s">
        <v>428</v>
      </c>
      <c r="D117" s="0" t="n">
        <f aca="false">SUMIFS(Articles!$F:$F,Articles!$A:$A,A117,Articles!$E:$E,C117)</f>
        <v>1</v>
      </c>
      <c r="E117" s="0" t="n">
        <f aca="false">IF(ABS(D117-ROUND(D117,0))&lt;0.0001,1,0)</f>
        <v>1</v>
      </c>
    </row>
    <row r="118" customFormat="false" ht="15" hidden="false" customHeight="false" outlineLevel="0" collapsed="false">
      <c r="A118" s="0" t="s">
        <v>163</v>
      </c>
      <c r="B118" s="0" t="s">
        <v>164</v>
      </c>
      <c r="C118" s="0" t="s">
        <v>633</v>
      </c>
      <c r="D118" s="0" t="n">
        <f aca="false">SUMIFS(Articles!$F:$F,Articles!$A:$A,A118,Articles!$E:$E,C118)</f>
        <v>1</v>
      </c>
      <c r="E118" s="0" t="n">
        <f aca="false">IF(ABS(D118-ROUND(D118,0))&lt;0.0001,1,0)</f>
        <v>1</v>
      </c>
    </row>
    <row r="119" customFormat="false" ht="15" hidden="false" customHeight="false" outlineLevel="0" collapsed="false">
      <c r="A119" s="0" t="s">
        <v>163</v>
      </c>
      <c r="B119" s="0" t="s">
        <v>164</v>
      </c>
      <c r="C119" s="0" t="s">
        <v>634</v>
      </c>
      <c r="D119" s="0" t="n">
        <f aca="false">SUMIFS(Articles!$F:$F,Articles!$A:$A,A119,Articles!$E:$E,C119)</f>
        <v>1</v>
      </c>
      <c r="E119" s="0" t="n">
        <f aca="false">IF(ABS(D119-ROUND(D119,0))&lt;0.0001,1,0)</f>
        <v>1</v>
      </c>
    </row>
    <row r="120" customFormat="false" ht="15" hidden="false" customHeight="false" outlineLevel="0" collapsed="false">
      <c r="A120" s="0" t="s">
        <v>166</v>
      </c>
      <c r="B120" s="0" t="s">
        <v>167</v>
      </c>
      <c r="C120" s="0" t="s">
        <v>421</v>
      </c>
      <c r="D120" s="0" t="n">
        <f aca="false">SUMIFS(Articles!$F:$F,Articles!$A:$A,A120,Articles!$E:$E,C120)</f>
        <v>1</v>
      </c>
      <c r="E120" s="0" t="n">
        <f aca="false">IF(ABS(D120-ROUND(D120,0))&lt;0.0001,1,0)</f>
        <v>1</v>
      </c>
    </row>
    <row r="121" customFormat="false" ht="15" hidden="false" customHeight="false" outlineLevel="0" collapsed="false">
      <c r="A121" s="0" t="s">
        <v>166</v>
      </c>
      <c r="B121" s="0" t="s">
        <v>167</v>
      </c>
      <c r="C121" s="0" t="s">
        <v>437</v>
      </c>
      <c r="D121" s="0" t="n">
        <f aca="false">SUMIFS(Articles!$F:$F,Articles!$A:$A,A121,Articles!$E:$E,C121)</f>
        <v>2</v>
      </c>
      <c r="E121" s="0" t="n">
        <f aca="false">IF(ABS(D121-ROUND(D121,0))&lt;0.0001,1,0)</f>
        <v>1</v>
      </c>
    </row>
    <row r="122" customFormat="false" ht="15" hidden="false" customHeight="false" outlineLevel="0" collapsed="false">
      <c r="A122" s="0" t="s">
        <v>166</v>
      </c>
      <c r="B122" s="0" t="s">
        <v>167</v>
      </c>
      <c r="C122" s="0" t="s">
        <v>395</v>
      </c>
      <c r="D122" s="0" t="n">
        <f aca="false">SUMIFS(Articles!$F:$F,Articles!$A:$A,A122,Articles!$E:$E,C122)</f>
        <v>1</v>
      </c>
      <c r="E122" s="0" t="n">
        <f aca="false">IF(ABS(D122-ROUND(D122,0))&lt;0.0001,1,0)</f>
        <v>1</v>
      </c>
    </row>
    <row r="123" customFormat="false" ht="15" hidden="false" customHeight="false" outlineLevel="0" collapsed="false">
      <c r="A123" s="0" t="s">
        <v>166</v>
      </c>
      <c r="B123" s="0" t="s">
        <v>167</v>
      </c>
      <c r="C123" s="0" t="s">
        <v>635</v>
      </c>
      <c r="D123" s="0" t="n">
        <f aca="false">SUMIFS(Articles!$F:$F,Articles!$A:$A,A123,Articles!$E:$E,C123)</f>
        <v>1</v>
      </c>
      <c r="E123" s="0" t="n">
        <f aca="false">IF(ABS(D123-ROUND(D123,0))&lt;0.0001,1,0)</f>
        <v>1</v>
      </c>
    </row>
    <row r="124" customFormat="false" ht="15" hidden="false" customHeight="false" outlineLevel="0" collapsed="false">
      <c r="A124" s="0" t="s">
        <v>166</v>
      </c>
      <c r="B124" s="0" t="s">
        <v>167</v>
      </c>
      <c r="C124" s="0" t="s">
        <v>613</v>
      </c>
      <c r="D124" s="0" t="n">
        <f aca="false">SUMIFS(Articles!$F:$F,Articles!$A:$A,A124,Articles!$E:$E,C124)</f>
        <v>2</v>
      </c>
      <c r="E124" s="0" t="n">
        <f aca="false">IF(ABS(D124-ROUND(D124,0))&lt;0.0001,1,0)</f>
        <v>1</v>
      </c>
    </row>
    <row r="125" customFormat="false" ht="15" hidden="false" customHeight="false" outlineLevel="0" collapsed="false">
      <c r="A125" s="0" t="s">
        <v>166</v>
      </c>
      <c r="B125" s="0" t="s">
        <v>167</v>
      </c>
      <c r="C125" s="0" t="s">
        <v>430</v>
      </c>
      <c r="D125" s="0" t="n">
        <f aca="false">SUMIFS(Articles!$F:$F,Articles!$A:$A,A125,Articles!$E:$E,C125)</f>
        <v>1</v>
      </c>
      <c r="E125" s="0" t="n">
        <f aca="false">IF(ABS(D125-ROUND(D125,0))&lt;0.0001,1,0)</f>
        <v>1</v>
      </c>
    </row>
    <row r="126" customFormat="false" ht="15" hidden="false" customHeight="false" outlineLevel="0" collapsed="false">
      <c r="A126" s="0" t="s">
        <v>166</v>
      </c>
      <c r="B126" s="0" t="s">
        <v>167</v>
      </c>
      <c r="C126" s="0" t="s">
        <v>636</v>
      </c>
      <c r="D126" s="0" t="n">
        <f aca="false">SUMIFS(Articles!$F:$F,Articles!$A:$A,A126,Articles!$E:$E,C126)</f>
        <v>1</v>
      </c>
      <c r="E126" s="0" t="n">
        <f aca="false">IF(ABS(D126-ROUND(D126,0))&lt;0.0001,1,0)</f>
        <v>1</v>
      </c>
    </row>
    <row r="127" customFormat="false" ht="15" hidden="false" customHeight="false" outlineLevel="0" collapsed="false">
      <c r="A127" s="0" t="s">
        <v>166</v>
      </c>
      <c r="B127" s="0" t="s">
        <v>167</v>
      </c>
      <c r="C127" s="0" t="s">
        <v>387</v>
      </c>
      <c r="D127" s="0" t="n">
        <f aca="false">SUMIFS(Articles!$F:$F,Articles!$A:$A,A127,Articles!$E:$E,C127)</f>
        <v>1</v>
      </c>
      <c r="E127" s="0" t="n">
        <f aca="false">IF(ABS(D127-ROUND(D127,0))&lt;0.0001,1,0)</f>
        <v>1</v>
      </c>
    </row>
    <row r="128" customFormat="false" ht="15" hidden="false" customHeight="false" outlineLevel="0" collapsed="false">
      <c r="A128" s="0" t="s">
        <v>166</v>
      </c>
      <c r="B128" s="0" t="s">
        <v>167</v>
      </c>
      <c r="C128" s="0" t="s">
        <v>622</v>
      </c>
      <c r="D128" s="0" t="n">
        <f aca="false">SUMIFS(Articles!$F:$F,Articles!$A:$A,A128,Articles!$E:$E,C128)</f>
        <v>1</v>
      </c>
      <c r="E128" s="0" t="n">
        <f aca="false">IF(ABS(D128-ROUND(D128,0))&lt;0.0001,1,0)</f>
        <v>1</v>
      </c>
    </row>
    <row r="129" customFormat="false" ht="15" hidden="false" customHeight="false" outlineLevel="0" collapsed="false">
      <c r="A129" s="0" t="s">
        <v>166</v>
      </c>
      <c r="B129" s="0" t="s">
        <v>167</v>
      </c>
      <c r="C129" s="0" t="s">
        <v>374</v>
      </c>
      <c r="D129" s="0" t="n">
        <f aca="false">SUMIFS(Articles!$F:$F,Articles!$A:$A,A129,Articles!$E:$E,C129)</f>
        <v>2</v>
      </c>
      <c r="E129" s="0" t="n">
        <f aca="false">IF(ABS(D129-ROUND(D129,0))&lt;0.0001,1,0)</f>
        <v>1</v>
      </c>
    </row>
    <row r="130" customFormat="false" ht="15" hidden="false" customHeight="false" outlineLevel="0" collapsed="false">
      <c r="A130" s="0" t="s">
        <v>166</v>
      </c>
      <c r="B130" s="0" t="s">
        <v>167</v>
      </c>
      <c r="C130" s="0" t="s">
        <v>624</v>
      </c>
      <c r="D130" s="0" t="n">
        <f aca="false">SUMIFS(Articles!$F:$F,Articles!$A:$A,A130,Articles!$E:$E,C130)</f>
        <v>1</v>
      </c>
      <c r="E130" s="0" t="n">
        <f aca="false">IF(ABS(D130-ROUND(D130,0))&lt;0.0001,1,0)</f>
        <v>1</v>
      </c>
    </row>
    <row r="131" customFormat="false" ht="15" hidden="false" customHeight="false" outlineLevel="0" collapsed="false">
      <c r="A131" s="0" t="s">
        <v>166</v>
      </c>
      <c r="B131" s="0" t="s">
        <v>167</v>
      </c>
      <c r="C131" s="0" t="s">
        <v>637</v>
      </c>
      <c r="D131" s="0" t="n">
        <f aca="false">SUMIFS(Articles!$F:$F,Articles!$A:$A,A131,Articles!$E:$E,C131)</f>
        <v>1</v>
      </c>
      <c r="E131" s="0" t="n">
        <f aca="false">IF(ABS(D131-ROUND(D131,0))&lt;0.0001,1,0)</f>
        <v>1</v>
      </c>
    </row>
    <row r="132" customFormat="false" ht="15" hidden="false" customHeight="false" outlineLevel="0" collapsed="false">
      <c r="A132" s="0" t="s">
        <v>166</v>
      </c>
      <c r="B132" s="0" t="s">
        <v>167</v>
      </c>
      <c r="C132" s="0" t="s">
        <v>638</v>
      </c>
      <c r="D132" s="0" t="n">
        <f aca="false">SUMIFS(Articles!$F:$F,Articles!$A:$A,A132,Articles!$E:$E,C132)</f>
        <v>1</v>
      </c>
      <c r="E132" s="0" t="n">
        <f aca="false">IF(ABS(D132-ROUND(D132,0))&lt;0.0001,1,0)</f>
        <v>1</v>
      </c>
    </row>
    <row r="133" customFormat="false" ht="15" hidden="false" customHeight="false" outlineLevel="0" collapsed="false">
      <c r="A133" s="0" t="s">
        <v>166</v>
      </c>
      <c r="B133" s="0" t="s">
        <v>167</v>
      </c>
      <c r="C133" s="0" t="s">
        <v>366</v>
      </c>
      <c r="D133" s="0" t="n">
        <f aca="false">SUMIFS(Articles!$F:$F,Articles!$A:$A,A133,Articles!$E:$E,C133)</f>
        <v>1</v>
      </c>
      <c r="E133" s="0" t="n">
        <f aca="false">IF(ABS(D133-ROUND(D133,0))&lt;0.0001,1,0)</f>
        <v>1</v>
      </c>
    </row>
    <row r="134" customFormat="false" ht="15" hidden="false" customHeight="false" outlineLevel="0" collapsed="false">
      <c r="A134" s="0" t="s">
        <v>169</v>
      </c>
      <c r="B134" s="0" t="s">
        <v>170</v>
      </c>
      <c r="C134" s="0" t="s">
        <v>607</v>
      </c>
      <c r="D134" s="0" t="n">
        <f aca="false">SUMIFS(Articles!$F:$F,Articles!$A:$A,A134,Articles!$E:$E,C134)</f>
        <v>1</v>
      </c>
      <c r="E134" s="0" t="n">
        <f aca="false">IF(ABS(D134-ROUND(D134,0))&lt;0.0001,1,0)</f>
        <v>1</v>
      </c>
    </row>
    <row r="135" customFormat="false" ht="15" hidden="false" customHeight="false" outlineLevel="0" collapsed="false">
      <c r="A135" s="0" t="s">
        <v>169</v>
      </c>
      <c r="B135" s="0" t="s">
        <v>170</v>
      </c>
      <c r="C135" s="0" t="s">
        <v>405</v>
      </c>
      <c r="D135" s="0" t="n">
        <f aca="false">SUMIFS(Articles!$F:$F,Articles!$A:$A,A135,Articles!$E:$E,C135)</f>
        <v>2</v>
      </c>
      <c r="E135" s="0" t="n">
        <f aca="false">IF(ABS(D135-ROUND(D135,0))&lt;0.0001,1,0)</f>
        <v>1</v>
      </c>
    </row>
    <row r="136" customFormat="false" ht="15" hidden="false" customHeight="false" outlineLevel="0" collapsed="false">
      <c r="A136" s="0" t="s">
        <v>169</v>
      </c>
      <c r="B136" s="0" t="s">
        <v>170</v>
      </c>
      <c r="C136" s="0" t="s">
        <v>368</v>
      </c>
      <c r="D136" s="0" t="n">
        <f aca="false">SUMIFS(Articles!$F:$F,Articles!$A:$A,A136,Articles!$E:$E,C136)</f>
        <v>1</v>
      </c>
      <c r="E136" s="0" t="n">
        <f aca="false">IF(ABS(D136-ROUND(D136,0))&lt;0.0001,1,0)</f>
        <v>1</v>
      </c>
    </row>
    <row r="137" customFormat="false" ht="15" hidden="false" customHeight="false" outlineLevel="0" collapsed="false">
      <c r="A137" s="0" t="s">
        <v>169</v>
      </c>
      <c r="B137" s="0" t="s">
        <v>170</v>
      </c>
      <c r="C137" s="0" t="s">
        <v>639</v>
      </c>
      <c r="D137" s="0" t="n">
        <f aca="false">SUMIFS(Articles!$F:$F,Articles!$A:$A,A137,Articles!$E:$E,C137)</f>
        <v>2</v>
      </c>
      <c r="E137" s="0" t="n">
        <f aca="false">IF(ABS(D137-ROUND(D137,0))&lt;0.0001,1,0)</f>
        <v>1</v>
      </c>
    </row>
    <row r="138" customFormat="false" ht="15" hidden="false" customHeight="false" outlineLevel="0" collapsed="false">
      <c r="A138" s="0" t="s">
        <v>169</v>
      </c>
      <c r="B138" s="0" t="s">
        <v>170</v>
      </c>
      <c r="C138" s="0" t="s">
        <v>391</v>
      </c>
      <c r="D138" s="0" t="n">
        <f aca="false">SUMIFS(Articles!$F:$F,Articles!$A:$A,A138,Articles!$E:$E,C138)</f>
        <v>1</v>
      </c>
      <c r="E138" s="0" t="n">
        <f aca="false">IF(ABS(D138-ROUND(D138,0))&lt;0.0001,1,0)</f>
        <v>1</v>
      </c>
    </row>
    <row r="139" customFormat="false" ht="15" hidden="false" customHeight="false" outlineLevel="0" collapsed="false">
      <c r="A139" s="0" t="s">
        <v>169</v>
      </c>
      <c r="B139" s="0" t="s">
        <v>170</v>
      </c>
      <c r="C139" s="0" t="s">
        <v>582</v>
      </c>
      <c r="D139" s="0" t="n">
        <f aca="false">SUMIFS(Articles!$F:$F,Articles!$A:$A,A139,Articles!$E:$E,C139)</f>
        <v>1</v>
      </c>
      <c r="E139" s="0" t="n">
        <f aca="false">IF(ABS(D139-ROUND(D139,0))&lt;0.0001,1,0)</f>
        <v>1</v>
      </c>
    </row>
    <row r="140" customFormat="false" ht="15" hidden="false" customHeight="false" outlineLevel="0" collapsed="false">
      <c r="A140" s="0" t="s">
        <v>169</v>
      </c>
      <c r="B140" s="0" t="s">
        <v>170</v>
      </c>
      <c r="C140" s="0" t="s">
        <v>350</v>
      </c>
      <c r="D140" s="0" t="n">
        <f aca="false">SUMIFS(Articles!$F:$F,Articles!$A:$A,A140,Articles!$E:$E,C140)</f>
        <v>3</v>
      </c>
      <c r="E140" s="0" t="n">
        <f aca="false">IF(ABS(D140-ROUND(D140,0))&lt;0.0001,1,0)</f>
        <v>1</v>
      </c>
    </row>
    <row r="141" customFormat="false" ht="15" hidden="false" customHeight="false" outlineLevel="0" collapsed="false">
      <c r="A141" s="0" t="s">
        <v>169</v>
      </c>
      <c r="B141" s="0" t="s">
        <v>170</v>
      </c>
      <c r="C141" s="0" t="s">
        <v>392</v>
      </c>
      <c r="D141" s="0" t="n">
        <f aca="false">SUMIFS(Articles!$F:$F,Articles!$A:$A,A141,Articles!$E:$E,C141)</f>
        <v>1</v>
      </c>
      <c r="E141" s="0" t="n">
        <f aca="false">IF(ABS(D141-ROUND(D141,0))&lt;0.0001,1,0)</f>
        <v>1</v>
      </c>
    </row>
    <row r="142" customFormat="false" ht="15" hidden="false" customHeight="false" outlineLevel="0" collapsed="false">
      <c r="A142" s="0" t="s">
        <v>169</v>
      </c>
      <c r="B142" s="0" t="s">
        <v>170</v>
      </c>
      <c r="C142" s="0" t="s">
        <v>640</v>
      </c>
      <c r="D142" s="0" t="n">
        <f aca="false">SUMIFS(Articles!$F:$F,Articles!$A:$A,A142,Articles!$E:$E,C142)</f>
        <v>1</v>
      </c>
      <c r="E142" s="0" t="n">
        <f aca="false">IF(ABS(D142-ROUND(D142,0))&lt;0.0001,1,0)</f>
        <v>1</v>
      </c>
    </row>
    <row r="143" customFormat="false" ht="15" hidden="false" customHeight="false" outlineLevel="0" collapsed="false">
      <c r="A143" s="0" t="s">
        <v>169</v>
      </c>
      <c r="B143" s="0" t="s">
        <v>170</v>
      </c>
      <c r="C143" s="0" t="s">
        <v>622</v>
      </c>
      <c r="D143" s="0" t="n">
        <f aca="false">SUMIFS(Articles!$F:$F,Articles!$A:$A,A143,Articles!$E:$E,C143)</f>
        <v>2</v>
      </c>
      <c r="E143" s="0" t="n">
        <f aca="false">IF(ABS(D143-ROUND(D143,0))&lt;0.0001,1,0)</f>
        <v>1</v>
      </c>
    </row>
    <row r="144" customFormat="false" ht="15" hidden="false" customHeight="false" outlineLevel="0" collapsed="false">
      <c r="A144" s="0" t="s">
        <v>169</v>
      </c>
      <c r="B144" s="0" t="s">
        <v>170</v>
      </c>
      <c r="C144" s="0" t="s">
        <v>372</v>
      </c>
      <c r="D144" s="0" t="n">
        <f aca="false">SUMIFS(Articles!$F:$F,Articles!$A:$A,A144,Articles!$E:$E,C144)</f>
        <v>1</v>
      </c>
      <c r="E144" s="0" t="n">
        <f aca="false">IF(ABS(D144-ROUND(D144,0))&lt;0.0001,1,0)</f>
        <v>1</v>
      </c>
    </row>
    <row r="145" customFormat="false" ht="15" hidden="false" customHeight="false" outlineLevel="0" collapsed="false">
      <c r="A145" s="0" t="s">
        <v>169</v>
      </c>
      <c r="B145" s="0" t="s">
        <v>170</v>
      </c>
      <c r="C145" s="0" t="s">
        <v>345</v>
      </c>
      <c r="D145" s="0" t="n">
        <f aca="false">SUMIFS(Articles!$F:$F,Articles!$A:$A,A145,Articles!$E:$E,C145)</f>
        <v>1</v>
      </c>
      <c r="E145" s="0" t="n">
        <f aca="false">IF(ABS(D145-ROUND(D145,0))&lt;0.0001,1,0)</f>
        <v>1</v>
      </c>
    </row>
    <row r="146" customFormat="false" ht="15" hidden="false" customHeight="false" outlineLevel="0" collapsed="false">
      <c r="A146" s="0" t="s">
        <v>172</v>
      </c>
      <c r="B146" s="0" t="s">
        <v>173</v>
      </c>
      <c r="C146" s="0" t="s">
        <v>587</v>
      </c>
      <c r="D146" s="0" t="n">
        <f aca="false">SUMIFS(Articles!$F:$F,Articles!$A:$A,A146,Articles!$E:$E,C146)</f>
        <v>1</v>
      </c>
      <c r="E146" s="0" t="n">
        <f aca="false">IF(ABS(D146-ROUND(D146,0))&lt;0.0001,1,0)</f>
        <v>1</v>
      </c>
    </row>
    <row r="147" customFormat="false" ht="15" hidden="false" customHeight="false" outlineLevel="0" collapsed="false">
      <c r="A147" s="0" t="s">
        <v>172</v>
      </c>
      <c r="B147" s="0" t="s">
        <v>173</v>
      </c>
      <c r="C147" s="0" t="s">
        <v>395</v>
      </c>
      <c r="D147" s="0" t="n">
        <f aca="false">SUMIFS(Articles!$F:$F,Articles!$A:$A,A147,Articles!$E:$E,C147)</f>
        <v>1</v>
      </c>
      <c r="E147" s="0" t="n">
        <f aca="false">IF(ABS(D147-ROUND(D147,0))&lt;0.0001,1,0)</f>
        <v>1</v>
      </c>
    </row>
    <row r="148" customFormat="false" ht="15" hidden="false" customHeight="false" outlineLevel="0" collapsed="false">
      <c r="A148" s="0" t="s">
        <v>172</v>
      </c>
      <c r="B148" s="0" t="s">
        <v>173</v>
      </c>
      <c r="C148" s="0" t="s">
        <v>344</v>
      </c>
      <c r="D148" s="0" t="n">
        <f aca="false">SUMIFS(Articles!$F:$F,Articles!$A:$A,A148,Articles!$E:$E,C148)</f>
        <v>1</v>
      </c>
      <c r="E148" s="0" t="n">
        <f aca="false">IF(ABS(D148-ROUND(D148,0))&lt;0.0001,1,0)</f>
        <v>1</v>
      </c>
    </row>
    <row r="149" customFormat="false" ht="15" hidden="false" customHeight="false" outlineLevel="0" collapsed="false">
      <c r="A149" s="0" t="s">
        <v>172</v>
      </c>
      <c r="B149" s="0" t="s">
        <v>173</v>
      </c>
      <c r="C149" s="0" t="s">
        <v>590</v>
      </c>
      <c r="D149" s="0" t="n">
        <f aca="false">SUMIFS(Articles!$F:$F,Articles!$A:$A,A149,Articles!$E:$E,C149)</f>
        <v>1</v>
      </c>
      <c r="E149" s="0" t="n">
        <f aca="false">IF(ABS(D149-ROUND(D149,0))&lt;0.0001,1,0)</f>
        <v>1</v>
      </c>
    </row>
    <row r="150" customFormat="false" ht="15" hidden="false" customHeight="false" outlineLevel="0" collapsed="false">
      <c r="A150" s="0" t="s">
        <v>172</v>
      </c>
      <c r="B150" s="0" t="s">
        <v>173</v>
      </c>
      <c r="C150" s="0" t="s">
        <v>593</v>
      </c>
      <c r="D150" s="0" t="n">
        <f aca="false">SUMIFS(Articles!$F:$F,Articles!$A:$A,A150,Articles!$E:$E,C150)</f>
        <v>2</v>
      </c>
      <c r="E150" s="0" t="n">
        <f aca="false">IF(ABS(D150-ROUND(D150,0))&lt;0.0001,1,0)</f>
        <v>1</v>
      </c>
    </row>
    <row r="151" customFormat="false" ht="15" hidden="false" customHeight="false" outlineLevel="0" collapsed="false">
      <c r="A151" s="0" t="s">
        <v>172</v>
      </c>
      <c r="B151" s="0" t="s">
        <v>173</v>
      </c>
      <c r="C151" s="0" t="s">
        <v>641</v>
      </c>
      <c r="D151" s="0" t="n">
        <f aca="false">SUMIFS(Articles!$F:$F,Articles!$A:$A,A151,Articles!$E:$E,C151)</f>
        <v>1</v>
      </c>
      <c r="E151" s="0" t="n">
        <f aca="false">IF(ABS(D151-ROUND(D151,0))&lt;0.0001,1,0)</f>
        <v>1</v>
      </c>
    </row>
    <row r="152" customFormat="false" ht="15" hidden="false" customHeight="false" outlineLevel="0" collapsed="false">
      <c r="A152" s="0" t="s">
        <v>172</v>
      </c>
      <c r="B152" s="0" t="s">
        <v>173</v>
      </c>
      <c r="C152" s="0" t="s">
        <v>636</v>
      </c>
      <c r="D152" s="0" t="n">
        <f aca="false">SUMIFS(Articles!$F:$F,Articles!$A:$A,A152,Articles!$E:$E,C152)</f>
        <v>2</v>
      </c>
      <c r="E152" s="0" t="n">
        <f aca="false">IF(ABS(D152-ROUND(D152,0))&lt;0.0001,1,0)</f>
        <v>1</v>
      </c>
    </row>
    <row r="153" customFormat="false" ht="15" hidden="false" customHeight="false" outlineLevel="0" collapsed="false">
      <c r="A153" s="0" t="s">
        <v>172</v>
      </c>
      <c r="B153" s="0" t="s">
        <v>173</v>
      </c>
      <c r="C153" s="0" t="s">
        <v>618</v>
      </c>
      <c r="D153" s="0" t="n">
        <f aca="false">SUMIFS(Articles!$F:$F,Articles!$A:$A,A153,Articles!$E:$E,C153)</f>
        <v>6</v>
      </c>
      <c r="E153" s="0" t="n">
        <f aca="false">IF(ABS(D153-ROUND(D153,0))&lt;0.0001,1,0)</f>
        <v>1</v>
      </c>
    </row>
    <row r="154" customFormat="false" ht="15" hidden="false" customHeight="false" outlineLevel="0" collapsed="false">
      <c r="A154" s="0" t="s">
        <v>172</v>
      </c>
      <c r="B154" s="0" t="s">
        <v>173</v>
      </c>
      <c r="C154" s="0" t="s">
        <v>432</v>
      </c>
      <c r="D154" s="0" t="n">
        <f aca="false">SUMIFS(Articles!$F:$F,Articles!$A:$A,A154,Articles!$E:$E,C154)</f>
        <v>2</v>
      </c>
      <c r="E154" s="0" t="n">
        <f aca="false">IF(ABS(D154-ROUND(D154,0))&lt;0.0001,1,0)</f>
        <v>1</v>
      </c>
    </row>
    <row r="155" customFormat="false" ht="15" hidden="false" customHeight="false" outlineLevel="0" collapsed="false">
      <c r="A155" s="0" t="s">
        <v>172</v>
      </c>
      <c r="B155" s="0" t="s">
        <v>173</v>
      </c>
      <c r="C155" s="0" t="s">
        <v>615</v>
      </c>
      <c r="D155" s="0" t="n">
        <f aca="false">SUMIFS(Articles!$F:$F,Articles!$A:$A,A155,Articles!$E:$E,C155)</f>
        <v>1</v>
      </c>
      <c r="E155" s="0" t="n">
        <f aca="false">IF(ABS(D155-ROUND(D155,0))&lt;0.0001,1,0)</f>
        <v>1</v>
      </c>
    </row>
    <row r="156" customFormat="false" ht="15" hidden="false" customHeight="false" outlineLevel="0" collapsed="false">
      <c r="A156" s="0" t="s">
        <v>172</v>
      </c>
      <c r="B156" s="0" t="s">
        <v>173</v>
      </c>
      <c r="C156" s="0" t="s">
        <v>642</v>
      </c>
      <c r="D156" s="0" t="n">
        <f aca="false">SUMIFS(Articles!$F:$F,Articles!$A:$A,A156,Articles!$E:$E,C156)</f>
        <v>2</v>
      </c>
      <c r="E156" s="0" t="n">
        <f aca="false">IF(ABS(D156-ROUND(D156,0))&lt;0.0001,1,0)</f>
        <v>1</v>
      </c>
    </row>
    <row r="157" customFormat="false" ht="15" hidden="false" customHeight="false" outlineLevel="0" collapsed="false">
      <c r="A157" s="0" t="s">
        <v>172</v>
      </c>
      <c r="B157" s="0" t="s">
        <v>173</v>
      </c>
      <c r="C157" s="0" t="s">
        <v>628</v>
      </c>
      <c r="D157" s="0" t="n">
        <f aca="false">SUMIFS(Articles!$F:$F,Articles!$A:$A,A157,Articles!$E:$E,C157)</f>
        <v>1</v>
      </c>
      <c r="E157" s="0" t="n">
        <f aca="false">IF(ABS(D157-ROUND(D157,0))&lt;0.0001,1,0)</f>
        <v>1</v>
      </c>
    </row>
    <row r="158" customFormat="false" ht="15" hidden="false" customHeight="false" outlineLevel="0" collapsed="false">
      <c r="A158" s="0" t="s">
        <v>172</v>
      </c>
      <c r="B158" s="0" t="s">
        <v>173</v>
      </c>
      <c r="C158" s="0" t="s">
        <v>643</v>
      </c>
      <c r="D158" s="0" t="n">
        <f aca="false">SUMIFS(Articles!$F:$F,Articles!$A:$A,A158,Articles!$E:$E,C158)</f>
        <v>1</v>
      </c>
      <c r="E158" s="0" t="n">
        <f aca="false">IF(ABS(D158-ROUND(D158,0))&lt;0.0001,1,0)</f>
        <v>1</v>
      </c>
    </row>
    <row r="159" customFormat="false" ht="15" hidden="false" customHeight="false" outlineLevel="0" collapsed="false">
      <c r="A159" s="0" t="s">
        <v>172</v>
      </c>
      <c r="B159" s="0" t="s">
        <v>173</v>
      </c>
      <c r="C159" s="0" t="s">
        <v>345</v>
      </c>
      <c r="D159" s="0" t="n">
        <f aca="false">SUMIFS(Articles!$F:$F,Articles!$A:$A,A159,Articles!$E:$E,C159)</f>
        <v>1</v>
      </c>
      <c r="E159" s="0" t="n">
        <f aca="false">IF(ABS(D159-ROUND(D159,0))&lt;0.0001,1,0)</f>
        <v>1</v>
      </c>
    </row>
    <row r="160" customFormat="false" ht="15" hidden="false" customHeight="false" outlineLevel="0" collapsed="false">
      <c r="A160" s="0" t="s">
        <v>172</v>
      </c>
      <c r="B160" s="0" t="s">
        <v>173</v>
      </c>
      <c r="C160" s="0" t="s">
        <v>637</v>
      </c>
      <c r="D160" s="0" t="n">
        <f aca="false">SUMIFS(Articles!$F:$F,Articles!$A:$A,A160,Articles!$E:$E,C160)</f>
        <v>1</v>
      </c>
      <c r="E160" s="0" t="n">
        <f aca="false">IF(ABS(D160-ROUND(D160,0))&lt;0.0001,1,0)</f>
        <v>1</v>
      </c>
    </row>
    <row r="161" customFormat="false" ht="15" hidden="false" customHeight="false" outlineLevel="0" collapsed="false">
      <c r="A161" s="0" t="s">
        <v>172</v>
      </c>
      <c r="B161" s="0" t="s">
        <v>173</v>
      </c>
      <c r="C161" s="0" t="s">
        <v>358</v>
      </c>
      <c r="D161" s="0" t="n">
        <f aca="false">SUMIFS(Articles!$F:$F,Articles!$A:$A,A161,Articles!$E:$E,C161)</f>
        <v>1</v>
      </c>
      <c r="E161" s="0" t="n">
        <f aca="false">IF(ABS(D161-ROUND(D161,0))&lt;0.0001,1,0)</f>
        <v>1</v>
      </c>
    </row>
    <row r="162" customFormat="false" ht="15" hidden="false" customHeight="false" outlineLevel="0" collapsed="false">
      <c r="A162" s="0" t="s">
        <v>175</v>
      </c>
      <c r="B162" s="0" t="s">
        <v>176</v>
      </c>
      <c r="C162" s="0" t="s">
        <v>593</v>
      </c>
      <c r="D162" s="0" t="n">
        <f aca="false">SUMIFS(Articles!$F:$F,Articles!$A:$A,A162,Articles!$E:$E,C162)</f>
        <v>2</v>
      </c>
      <c r="E162" s="0" t="n">
        <f aca="false">IF(ABS(D162-ROUND(D162,0))&lt;0.0001,1,0)</f>
        <v>1</v>
      </c>
    </row>
    <row r="163" customFormat="false" ht="15" hidden="false" customHeight="false" outlineLevel="0" collapsed="false">
      <c r="A163" s="0" t="s">
        <v>175</v>
      </c>
      <c r="B163" s="0" t="s">
        <v>176</v>
      </c>
      <c r="C163" s="0" t="s">
        <v>644</v>
      </c>
      <c r="D163" s="0" t="n">
        <f aca="false">SUMIFS(Articles!$F:$F,Articles!$A:$A,A163,Articles!$E:$E,C163)</f>
        <v>1</v>
      </c>
      <c r="E163" s="0" t="n">
        <f aca="false">IF(ABS(D163-ROUND(D163,0))&lt;0.0001,1,0)</f>
        <v>1</v>
      </c>
    </row>
    <row r="164" customFormat="false" ht="15" hidden="false" customHeight="false" outlineLevel="0" collapsed="false">
      <c r="A164" s="0" t="s">
        <v>175</v>
      </c>
      <c r="B164" s="0" t="s">
        <v>176</v>
      </c>
      <c r="C164" s="0" t="s">
        <v>415</v>
      </c>
      <c r="D164" s="0" t="n">
        <f aca="false">SUMIFS(Articles!$F:$F,Articles!$A:$A,A164,Articles!$E:$E,C164)</f>
        <v>1</v>
      </c>
      <c r="E164" s="0" t="n">
        <f aca="false">IF(ABS(D164-ROUND(D164,0))&lt;0.0001,1,0)</f>
        <v>1</v>
      </c>
    </row>
    <row r="165" customFormat="false" ht="15" hidden="false" customHeight="false" outlineLevel="0" collapsed="false">
      <c r="A165" s="0" t="s">
        <v>175</v>
      </c>
      <c r="B165" s="0" t="s">
        <v>176</v>
      </c>
      <c r="C165" s="0" t="s">
        <v>645</v>
      </c>
      <c r="D165" s="0" t="n">
        <f aca="false">SUMIFS(Articles!$F:$F,Articles!$A:$A,A165,Articles!$E:$E,C165)</f>
        <v>1</v>
      </c>
      <c r="E165" s="0" t="n">
        <f aca="false">IF(ABS(D165-ROUND(D165,0))&lt;0.0001,1,0)</f>
        <v>1</v>
      </c>
    </row>
    <row r="166" customFormat="false" ht="15" hidden="false" customHeight="false" outlineLevel="0" collapsed="false">
      <c r="A166" s="0" t="s">
        <v>175</v>
      </c>
      <c r="B166" s="0" t="s">
        <v>176</v>
      </c>
      <c r="C166" s="0" t="s">
        <v>400</v>
      </c>
      <c r="D166" s="0" t="n">
        <f aca="false">SUMIFS(Articles!$F:$F,Articles!$A:$A,A166,Articles!$E:$E,C166)</f>
        <v>1</v>
      </c>
      <c r="E166" s="0" t="n">
        <f aca="false">IF(ABS(D166-ROUND(D166,0))&lt;0.0001,1,0)</f>
        <v>1</v>
      </c>
    </row>
    <row r="167" customFormat="false" ht="15" hidden="false" customHeight="false" outlineLevel="0" collapsed="false">
      <c r="A167" s="0" t="s">
        <v>175</v>
      </c>
      <c r="B167" s="0" t="s">
        <v>176</v>
      </c>
      <c r="C167" s="0" t="s">
        <v>463</v>
      </c>
      <c r="D167" s="0" t="n">
        <f aca="false">SUMIFS(Articles!$F:$F,Articles!$A:$A,A167,Articles!$E:$E,C167)</f>
        <v>1</v>
      </c>
      <c r="E167" s="0" t="n">
        <f aca="false">IF(ABS(D167-ROUND(D167,0))&lt;0.0001,1,0)</f>
        <v>1</v>
      </c>
    </row>
    <row r="168" customFormat="false" ht="15" hidden="false" customHeight="false" outlineLevel="0" collapsed="false">
      <c r="A168" s="0" t="s">
        <v>175</v>
      </c>
      <c r="B168" s="0" t="s">
        <v>176</v>
      </c>
      <c r="C168" s="0" t="s">
        <v>646</v>
      </c>
      <c r="D168" s="0" t="n">
        <f aca="false">SUMIFS(Articles!$F:$F,Articles!$A:$A,A168,Articles!$E:$E,C168)</f>
        <v>1</v>
      </c>
      <c r="E168" s="0" t="n">
        <f aca="false">IF(ABS(D168-ROUND(D168,0))&lt;0.0001,1,0)</f>
        <v>1</v>
      </c>
    </row>
    <row r="169" customFormat="false" ht="15" hidden="false" customHeight="false" outlineLevel="0" collapsed="false">
      <c r="A169" s="0" t="s">
        <v>175</v>
      </c>
      <c r="B169" s="0" t="s">
        <v>176</v>
      </c>
      <c r="C169" s="0" t="s">
        <v>647</v>
      </c>
      <c r="D169" s="0" t="n">
        <f aca="false">SUMIFS(Articles!$F:$F,Articles!$A:$A,A169,Articles!$E:$E,C169)</f>
        <v>1</v>
      </c>
      <c r="E169" s="0" t="n">
        <f aca="false">IF(ABS(D169-ROUND(D169,0))&lt;0.0001,1,0)</f>
        <v>1</v>
      </c>
    </row>
    <row r="170" customFormat="false" ht="15" hidden="false" customHeight="false" outlineLevel="0" collapsed="false">
      <c r="A170" s="0" t="s">
        <v>175</v>
      </c>
      <c r="B170" s="0" t="s">
        <v>176</v>
      </c>
      <c r="C170" s="0" t="s">
        <v>591</v>
      </c>
      <c r="D170" s="0" t="n">
        <f aca="false">SUMIFS(Articles!$F:$F,Articles!$A:$A,A170,Articles!$E:$E,C170)</f>
        <v>2</v>
      </c>
      <c r="E170" s="0" t="n">
        <f aca="false">IF(ABS(D170-ROUND(D170,0))&lt;0.0001,1,0)</f>
        <v>1</v>
      </c>
    </row>
    <row r="171" customFormat="false" ht="15" hidden="false" customHeight="false" outlineLevel="0" collapsed="false">
      <c r="A171" s="0" t="s">
        <v>175</v>
      </c>
      <c r="B171" s="0" t="s">
        <v>176</v>
      </c>
      <c r="C171" s="0" t="s">
        <v>353</v>
      </c>
      <c r="D171" s="0" t="n">
        <f aca="false">SUMIFS(Articles!$F:$F,Articles!$A:$A,A171,Articles!$E:$E,C171)</f>
        <v>1</v>
      </c>
      <c r="E171" s="0" t="n">
        <f aca="false">IF(ABS(D171-ROUND(D171,0))&lt;0.0001,1,0)</f>
        <v>1</v>
      </c>
    </row>
    <row r="172" customFormat="false" ht="15" hidden="false" customHeight="false" outlineLevel="0" collapsed="false">
      <c r="A172" s="0" t="s">
        <v>175</v>
      </c>
      <c r="B172" s="0" t="s">
        <v>176</v>
      </c>
      <c r="C172" s="0" t="s">
        <v>626</v>
      </c>
      <c r="D172" s="0" t="n">
        <f aca="false">SUMIFS(Articles!$F:$F,Articles!$A:$A,A172,Articles!$E:$E,C172)</f>
        <v>1</v>
      </c>
      <c r="E172" s="0" t="n">
        <f aca="false">IF(ABS(D172-ROUND(D172,0))&lt;0.0001,1,0)</f>
        <v>1</v>
      </c>
    </row>
    <row r="173" customFormat="false" ht="15" hidden="false" customHeight="false" outlineLevel="0" collapsed="false">
      <c r="A173" s="0" t="s">
        <v>175</v>
      </c>
      <c r="B173" s="0" t="s">
        <v>176</v>
      </c>
      <c r="C173" s="0" t="s">
        <v>648</v>
      </c>
      <c r="D173" s="0" t="n">
        <f aca="false">SUMIFS(Articles!$F:$F,Articles!$A:$A,A173,Articles!$E:$E,C173)</f>
        <v>1</v>
      </c>
      <c r="E173" s="0" t="n">
        <f aca="false">IF(ABS(D173-ROUND(D173,0))&lt;0.0001,1,0)</f>
        <v>1</v>
      </c>
    </row>
    <row r="174" customFormat="false" ht="15" hidden="false" customHeight="false" outlineLevel="0" collapsed="false">
      <c r="A174" s="0" t="s">
        <v>178</v>
      </c>
      <c r="B174" s="0" t="s">
        <v>179</v>
      </c>
      <c r="C174" s="0" t="s">
        <v>395</v>
      </c>
      <c r="D174" s="0" t="n">
        <f aca="false">SUMIFS(Articles!$F:$F,Articles!$A:$A,A174,Articles!$E:$E,C174)</f>
        <v>1</v>
      </c>
      <c r="E174" s="0" t="n">
        <f aca="false">IF(ABS(D174-ROUND(D174,0))&lt;0.0001,1,0)</f>
        <v>1</v>
      </c>
    </row>
    <row r="175" customFormat="false" ht="15" hidden="false" customHeight="false" outlineLevel="0" collapsed="false">
      <c r="A175" s="0" t="s">
        <v>178</v>
      </c>
      <c r="B175" s="0" t="s">
        <v>179</v>
      </c>
      <c r="C175" s="0" t="s">
        <v>402</v>
      </c>
      <c r="D175" s="0" t="n">
        <f aca="false">SUMIFS(Articles!$F:$F,Articles!$A:$A,A175,Articles!$E:$E,C175)</f>
        <v>1</v>
      </c>
      <c r="E175" s="0" t="n">
        <f aca="false">IF(ABS(D175-ROUND(D175,0))&lt;0.0001,1,0)</f>
        <v>1</v>
      </c>
    </row>
    <row r="176" customFormat="false" ht="15" hidden="false" customHeight="false" outlineLevel="0" collapsed="false">
      <c r="A176" s="0" t="s">
        <v>178</v>
      </c>
      <c r="B176" s="0" t="s">
        <v>179</v>
      </c>
      <c r="C176" s="0" t="s">
        <v>649</v>
      </c>
      <c r="D176" s="0" t="n">
        <f aca="false">SUMIFS(Articles!$F:$F,Articles!$A:$A,A176,Articles!$E:$E,C176)</f>
        <v>1</v>
      </c>
      <c r="E176" s="0" t="n">
        <f aca="false">IF(ABS(D176-ROUND(D176,0))&lt;0.0001,1,0)</f>
        <v>1</v>
      </c>
    </row>
    <row r="177" customFormat="false" ht="15" hidden="false" customHeight="false" outlineLevel="0" collapsed="false">
      <c r="A177" s="0" t="s">
        <v>178</v>
      </c>
      <c r="B177" s="0" t="s">
        <v>179</v>
      </c>
      <c r="C177" s="0" t="s">
        <v>650</v>
      </c>
      <c r="D177" s="0" t="n">
        <f aca="false">SUMIFS(Articles!$F:$F,Articles!$A:$A,A177,Articles!$E:$E,C177)</f>
        <v>1</v>
      </c>
      <c r="E177" s="0" t="n">
        <f aca="false">IF(ABS(D177-ROUND(D177,0))&lt;0.0001,1,0)</f>
        <v>1</v>
      </c>
    </row>
    <row r="178" customFormat="false" ht="15" hidden="false" customHeight="false" outlineLevel="0" collapsed="false">
      <c r="A178" s="0" t="s">
        <v>178</v>
      </c>
      <c r="B178" s="0" t="s">
        <v>179</v>
      </c>
      <c r="C178" s="0" t="s">
        <v>651</v>
      </c>
      <c r="D178" s="0" t="n">
        <f aca="false">SUMIFS(Articles!$F:$F,Articles!$A:$A,A178,Articles!$E:$E,C178)</f>
        <v>1</v>
      </c>
      <c r="E178" s="0" t="n">
        <f aca="false">IF(ABS(D178-ROUND(D178,0))&lt;0.0001,1,0)</f>
        <v>1</v>
      </c>
    </row>
    <row r="179" customFormat="false" ht="15" hidden="false" customHeight="false" outlineLevel="0" collapsed="false">
      <c r="A179" s="0" t="s">
        <v>181</v>
      </c>
      <c r="B179" s="0" t="s">
        <v>182</v>
      </c>
      <c r="C179" s="0" t="s">
        <v>644</v>
      </c>
      <c r="D179" s="0" t="n">
        <f aca="false">SUMIFS(Articles!$F:$F,Articles!$A:$A,A179,Articles!$E:$E,C179)</f>
        <v>2</v>
      </c>
      <c r="E179" s="0" t="n">
        <f aca="false">IF(ABS(D179-ROUND(D179,0))&lt;0.0001,1,0)</f>
        <v>1</v>
      </c>
    </row>
    <row r="180" customFormat="false" ht="15" hidden="false" customHeight="false" outlineLevel="0" collapsed="false">
      <c r="A180" s="0" t="s">
        <v>181</v>
      </c>
      <c r="B180" s="0" t="s">
        <v>182</v>
      </c>
      <c r="C180" s="0" t="s">
        <v>364</v>
      </c>
      <c r="D180" s="0" t="n">
        <f aca="false">SUMIFS(Articles!$F:$F,Articles!$A:$A,A180,Articles!$E:$E,C180)</f>
        <v>1</v>
      </c>
      <c r="E180" s="0" t="n">
        <f aca="false">IF(ABS(D180-ROUND(D180,0))&lt;0.0001,1,0)</f>
        <v>1</v>
      </c>
    </row>
    <row r="181" customFormat="false" ht="15" hidden="false" customHeight="false" outlineLevel="0" collapsed="false">
      <c r="A181" s="0" t="s">
        <v>181</v>
      </c>
      <c r="B181" s="0" t="s">
        <v>182</v>
      </c>
      <c r="C181" s="0" t="s">
        <v>405</v>
      </c>
      <c r="D181" s="0" t="n">
        <f aca="false">SUMIFS(Articles!$F:$F,Articles!$A:$A,A181,Articles!$E:$E,C181)</f>
        <v>1</v>
      </c>
      <c r="E181" s="0" t="n">
        <f aca="false">IF(ABS(D181-ROUND(D181,0))&lt;0.0001,1,0)</f>
        <v>1</v>
      </c>
    </row>
    <row r="182" customFormat="false" ht="15" hidden="false" customHeight="false" outlineLevel="0" collapsed="false">
      <c r="A182" s="0" t="s">
        <v>181</v>
      </c>
      <c r="B182" s="0" t="s">
        <v>182</v>
      </c>
      <c r="C182" s="0" t="s">
        <v>652</v>
      </c>
      <c r="D182" s="0" t="n">
        <f aca="false">SUMIFS(Articles!$F:$F,Articles!$A:$A,A182,Articles!$E:$E,C182)</f>
        <v>1</v>
      </c>
      <c r="E182" s="0" t="n">
        <f aca="false">IF(ABS(D182-ROUND(D182,0))&lt;0.0001,1,0)</f>
        <v>1</v>
      </c>
    </row>
    <row r="183" customFormat="false" ht="15" hidden="false" customHeight="false" outlineLevel="0" collapsed="false">
      <c r="A183" s="0" t="s">
        <v>181</v>
      </c>
      <c r="B183" s="0" t="s">
        <v>182</v>
      </c>
      <c r="C183" s="0" t="s">
        <v>636</v>
      </c>
      <c r="D183" s="0" t="n">
        <f aca="false">SUMIFS(Articles!$F:$F,Articles!$A:$A,A183,Articles!$E:$E,C183)</f>
        <v>1</v>
      </c>
      <c r="E183" s="0" t="n">
        <f aca="false">IF(ABS(D183-ROUND(D183,0))&lt;0.0001,1,0)</f>
        <v>1</v>
      </c>
    </row>
    <row r="184" customFormat="false" ht="15" hidden="false" customHeight="false" outlineLevel="0" collapsed="false">
      <c r="A184" s="0" t="s">
        <v>181</v>
      </c>
      <c r="B184" s="0" t="s">
        <v>182</v>
      </c>
      <c r="C184" s="0" t="s">
        <v>589</v>
      </c>
      <c r="D184" s="0" t="n">
        <f aca="false">SUMIFS(Articles!$F:$F,Articles!$A:$A,A184,Articles!$E:$E,C184)</f>
        <v>1</v>
      </c>
      <c r="E184" s="0" t="n">
        <f aca="false">IF(ABS(D184-ROUND(D184,0))&lt;0.0001,1,0)</f>
        <v>1</v>
      </c>
    </row>
    <row r="185" customFormat="false" ht="15" hidden="false" customHeight="false" outlineLevel="0" collapsed="false">
      <c r="A185" s="0" t="s">
        <v>181</v>
      </c>
      <c r="B185" s="0" t="s">
        <v>182</v>
      </c>
      <c r="C185" s="0" t="s">
        <v>653</v>
      </c>
      <c r="D185" s="0" t="n">
        <f aca="false">SUMIFS(Articles!$F:$F,Articles!$A:$A,A185,Articles!$E:$E,C185)</f>
        <v>1</v>
      </c>
      <c r="E185" s="0" t="n">
        <f aca="false">IF(ABS(D185-ROUND(D185,0))&lt;0.0001,1,0)</f>
        <v>1</v>
      </c>
    </row>
    <row r="186" customFormat="false" ht="15" hidden="false" customHeight="false" outlineLevel="0" collapsed="false">
      <c r="A186" s="0" t="s">
        <v>181</v>
      </c>
      <c r="B186" s="0" t="s">
        <v>182</v>
      </c>
      <c r="C186" s="0" t="s">
        <v>406</v>
      </c>
      <c r="D186" s="0" t="n">
        <f aca="false">SUMIFS(Articles!$F:$F,Articles!$A:$A,A186,Articles!$E:$E,C186)</f>
        <v>1</v>
      </c>
      <c r="E186" s="0" t="n">
        <f aca="false">IF(ABS(D186-ROUND(D186,0))&lt;0.0001,1,0)</f>
        <v>1</v>
      </c>
    </row>
    <row r="187" customFormat="false" ht="15" hidden="false" customHeight="false" outlineLevel="0" collapsed="false">
      <c r="A187" s="0" t="s">
        <v>181</v>
      </c>
      <c r="B187" s="0" t="s">
        <v>182</v>
      </c>
      <c r="C187" s="0" t="s">
        <v>429</v>
      </c>
      <c r="D187" s="0" t="n">
        <f aca="false">SUMIFS(Articles!$F:$F,Articles!$A:$A,A187,Articles!$E:$E,C187)</f>
        <v>2</v>
      </c>
      <c r="E187" s="0" t="n">
        <f aca="false">IF(ABS(D187-ROUND(D187,0))&lt;0.0001,1,0)</f>
        <v>1</v>
      </c>
    </row>
    <row r="188" customFormat="false" ht="15" hidden="false" customHeight="false" outlineLevel="0" collapsed="false">
      <c r="A188" s="0" t="s">
        <v>181</v>
      </c>
      <c r="B188" s="0" t="s">
        <v>182</v>
      </c>
      <c r="C188" s="0" t="s">
        <v>654</v>
      </c>
      <c r="D188" s="0" t="n">
        <f aca="false">SUMIFS(Articles!$F:$F,Articles!$A:$A,A188,Articles!$E:$E,C188)</f>
        <v>2</v>
      </c>
      <c r="E188" s="0" t="n">
        <f aca="false">IF(ABS(D188-ROUND(D188,0))&lt;0.0001,1,0)</f>
        <v>1</v>
      </c>
    </row>
    <row r="189" customFormat="false" ht="15" hidden="false" customHeight="false" outlineLevel="0" collapsed="false">
      <c r="A189" s="0" t="s">
        <v>181</v>
      </c>
      <c r="B189" s="0" t="s">
        <v>182</v>
      </c>
      <c r="C189" s="0" t="s">
        <v>366</v>
      </c>
      <c r="D189" s="0" t="n">
        <f aca="false">SUMIFS(Articles!$F:$F,Articles!$A:$A,A189,Articles!$E:$E,C189)</f>
        <v>2</v>
      </c>
      <c r="E189" s="0" t="n">
        <f aca="false">IF(ABS(D189-ROUND(D189,0))&lt;0.0001,1,0)</f>
        <v>1</v>
      </c>
    </row>
    <row r="190" customFormat="false" ht="15" hidden="false" customHeight="false" outlineLevel="0" collapsed="false">
      <c r="A190" s="0" t="s">
        <v>184</v>
      </c>
      <c r="B190" s="0" t="s">
        <v>185</v>
      </c>
      <c r="C190" s="0" t="s">
        <v>587</v>
      </c>
      <c r="D190" s="0" t="n">
        <f aca="false">SUMIFS(Articles!$F:$F,Articles!$A:$A,A190,Articles!$E:$E,C190)</f>
        <v>3</v>
      </c>
      <c r="E190" s="0" t="n">
        <f aca="false">IF(ABS(D190-ROUND(D190,0))&lt;0.0001,1,0)</f>
        <v>1</v>
      </c>
    </row>
    <row r="191" customFormat="false" ht="15" hidden="false" customHeight="false" outlineLevel="0" collapsed="false">
      <c r="A191" s="0" t="s">
        <v>184</v>
      </c>
      <c r="B191" s="0" t="s">
        <v>185</v>
      </c>
      <c r="C191" s="0" t="s">
        <v>400</v>
      </c>
      <c r="D191" s="0" t="n">
        <f aca="false">SUMIFS(Articles!$F:$F,Articles!$A:$A,A191,Articles!$E:$E,C191)</f>
        <v>2</v>
      </c>
      <c r="E191" s="0" t="n">
        <f aca="false">IF(ABS(D191-ROUND(D191,0))&lt;0.0001,1,0)</f>
        <v>1</v>
      </c>
    </row>
    <row r="192" customFormat="false" ht="15" hidden="false" customHeight="false" outlineLevel="0" collapsed="false">
      <c r="A192" s="0" t="s">
        <v>184</v>
      </c>
      <c r="B192" s="0" t="s">
        <v>185</v>
      </c>
      <c r="C192" s="0" t="s">
        <v>366</v>
      </c>
      <c r="D192" s="0" t="n">
        <f aca="false">SUMIFS(Articles!$F:$F,Articles!$A:$A,A192,Articles!$E:$E,C192)</f>
        <v>2</v>
      </c>
      <c r="E192" s="0" t="n">
        <f aca="false">IF(ABS(D192-ROUND(D192,0))&lt;0.0001,1,0)</f>
        <v>1</v>
      </c>
    </row>
    <row r="193" customFormat="false" ht="15" hidden="false" customHeight="false" outlineLevel="0" collapsed="false">
      <c r="A193" s="0" t="s">
        <v>184</v>
      </c>
      <c r="B193" s="0" t="s">
        <v>185</v>
      </c>
      <c r="C193" s="0" t="s">
        <v>598</v>
      </c>
      <c r="D193" s="0" t="n">
        <f aca="false">SUMIFS(Articles!$F:$F,Articles!$A:$A,A193,Articles!$E:$E,C193)</f>
        <v>2</v>
      </c>
      <c r="E193" s="0" t="n">
        <f aca="false">IF(ABS(D193-ROUND(D193,0))&lt;0.0001,1,0)</f>
        <v>1</v>
      </c>
    </row>
    <row r="194" customFormat="false" ht="15" hidden="false" customHeight="false" outlineLevel="0" collapsed="false">
      <c r="A194" s="0" t="s">
        <v>184</v>
      </c>
      <c r="B194" s="0" t="s">
        <v>185</v>
      </c>
      <c r="C194" s="0" t="s">
        <v>641</v>
      </c>
      <c r="D194" s="0" t="n">
        <f aca="false">SUMIFS(Articles!$F:$F,Articles!$A:$A,A194,Articles!$E:$E,C194)</f>
        <v>1</v>
      </c>
      <c r="E194" s="0" t="n">
        <f aca="false">IF(ABS(D194-ROUND(D194,0))&lt;0.0001,1,0)</f>
        <v>1</v>
      </c>
    </row>
    <row r="195" customFormat="false" ht="15" hidden="false" customHeight="false" outlineLevel="0" collapsed="false">
      <c r="A195" s="0" t="s">
        <v>184</v>
      </c>
      <c r="B195" s="0" t="s">
        <v>185</v>
      </c>
      <c r="C195" s="0" t="s">
        <v>421</v>
      </c>
      <c r="D195" s="0" t="n">
        <f aca="false">SUMIFS(Articles!$F:$F,Articles!$A:$A,A195,Articles!$E:$E,C195)</f>
        <v>1</v>
      </c>
      <c r="E195" s="0" t="n">
        <f aca="false">IF(ABS(D195-ROUND(D195,0))&lt;0.0001,1,0)</f>
        <v>1</v>
      </c>
    </row>
    <row r="196" customFormat="false" ht="15" hidden="false" customHeight="false" outlineLevel="0" collapsed="false">
      <c r="A196" s="0" t="s">
        <v>184</v>
      </c>
      <c r="B196" s="0" t="s">
        <v>185</v>
      </c>
      <c r="C196" s="0" t="s">
        <v>409</v>
      </c>
      <c r="D196" s="0" t="n">
        <f aca="false">SUMIFS(Articles!$F:$F,Articles!$A:$A,A196,Articles!$E:$E,C196)</f>
        <v>1</v>
      </c>
      <c r="E196" s="0" t="n">
        <f aca="false">IF(ABS(D196-ROUND(D196,0))&lt;0.0001,1,0)</f>
        <v>1</v>
      </c>
    </row>
    <row r="197" customFormat="false" ht="15" hidden="false" customHeight="false" outlineLevel="0" collapsed="false">
      <c r="A197" s="0" t="s">
        <v>184</v>
      </c>
      <c r="B197" s="0" t="s">
        <v>185</v>
      </c>
      <c r="C197" s="0" t="s">
        <v>351</v>
      </c>
      <c r="D197" s="0" t="n">
        <f aca="false">SUMIFS(Articles!$F:$F,Articles!$A:$A,A197,Articles!$E:$E,C197)</f>
        <v>2</v>
      </c>
      <c r="E197" s="0" t="n">
        <f aca="false">IF(ABS(D197-ROUND(D197,0))&lt;0.0001,1,0)</f>
        <v>1</v>
      </c>
    </row>
    <row r="198" customFormat="false" ht="15" hidden="false" customHeight="false" outlineLevel="0" collapsed="false">
      <c r="A198" s="0" t="s">
        <v>184</v>
      </c>
      <c r="B198" s="0" t="s">
        <v>185</v>
      </c>
      <c r="C198" s="0" t="s">
        <v>406</v>
      </c>
      <c r="D198" s="0" t="n">
        <f aca="false">SUMIFS(Articles!$F:$F,Articles!$A:$A,A198,Articles!$E:$E,C198)</f>
        <v>1</v>
      </c>
      <c r="E198" s="0" t="n">
        <f aca="false">IF(ABS(D198-ROUND(D198,0))&lt;0.0001,1,0)</f>
        <v>1</v>
      </c>
    </row>
    <row r="199" customFormat="false" ht="15" hidden="false" customHeight="false" outlineLevel="0" collapsed="false">
      <c r="A199" s="0" t="s">
        <v>184</v>
      </c>
      <c r="B199" s="0" t="s">
        <v>185</v>
      </c>
      <c r="C199" s="0" t="s">
        <v>636</v>
      </c>
      <c r="D199" s="0" t="n">
        <f aca="false">SUMIFS(Articles!$F:$F,Articles!$A:$A,A199,Articles!$E:$E,C199)</f>
        <v>1</v>
      </c>
      <c r="E199" s="0" t="n">
        <f aca="false">IF(ABS(D199-ROUND(D199,0))&lt;0.0001,1,0)</f>
        <v>1</v>
      </c>
    </row>
    <row r="200" customFormat="false" ht="15" hidden="false" customHeight="false" outlineLevel="0" collapsed="false">
      <c r="A200" s="0" t="s">
        <v>184</v>
      </c>
      <c r="B200" s="0" t="s">
        <v>185</v>
      </c>
      <c r="C200" s="0" t="s">
        <v>642</v>
      </c>
      <c r="D200" s="0" t="n">
        <f aca="false">SUMIFS(Articles!$F:$F,Articles!$A:$A,A200,Articles!$E:$E,C200)</f>
        <v>1</v>
      </c>
      <c r="E200" s="0" t="n">
        <f aca="false">IF(ABS(D200-ROUND(D200,0))&lt;0.0001,1,0)</f>
        <v>1</v>
      </c>
    </row>
    <row r="201" customFormat="false" ht="15" hidden="false" customHeight="false" outlineLevel="0" collapsed="false">
      <c r="A201" s="0" t="s">
        <v>187</v>
      </c>
      <c r="B201" s="0" t="s">
        <v>188</v>
      </c>
      <c r="C201" s="0" t="s">
        <v>621</v>
      </c>
      <c r="D201" s="0" t="n">
        <f aca="false">SUMIFS(Articles!$F:$F,Articles!$A:$A,A201,Articles!$E:$E,C201)</f>
        <v>1</v>
      </c>
      <c r="E201" s="0" t="n">
        <f aca="false">IF(ABS(D201-ROUND(D201,0))&lt;0.0001,1,0)</f>
        <v>1</v>
      </c>
    </row>
    <row r="202" customFormat="false" ht="15" hidden="false" customHeight="false" outlineLevel="0" collapsed="false">
      <c r="A202" s="0" t="s">
        <v>187</v>
      </c>
      <c r="B202" s="0" t="s">
        <v>188</v>
      </c>
      <c r="C202" s="0" t="s">
        <v>415</v>
      </c>
      <c r="D202" s="0" t="n">
        <f aca="false">SUMIFS(Articles!$F:$F,Articles!$A:$A,A202,Articles!$E:$E,C202)</f>
        <v>1</v>
      </c>
      <c r="E202" s="0" t="n">
        <f aca="false">IF(ABS(D202-ROUND(D202,0))&lt;0.0001,1,0)</f>
        <v>1</v>
      </c>
    </row>
    <row r="203" customFormat="false" ht="15" hidden="false" customHeight="false" outlineLevel="0" collapsed="false">
      <c r="A203" s="0" t="s">
        <v>187</v>
      </c>
      <c r="B203" s="0" t="s">
        <v>188</v>
      </c>
      <c r="C203" s="0" t="s">
        <v>586</v>
      </c>
      <c r="D203" s="0" t="n">
        <f aca="false">SUMIFS(Articles!$F:$F,Articles!$A:$A,A203,Articles!$E:$E,C203)</f>
        <v>1</v>
      </c>
      <c r="E203" s="0" t="n">
        <f aca="false">IF(ABS(D203-ROUND(D203,0))&lt;0.0001,1,0)</f>
        <v>1</v>
      </c>
    </row>
    <row r="204" customFormat="false" ht="15" hidden="false" customHeight="false" outlineLevel="0" collapsed="false">
      <c r="A204" s="0" t="s">
        <v>187</v>
      </c>
      <c r="B204" s="0" t="s">
        <v>188</v>
      </c>
      <c r="C204" s="0" t="s">
        <v>655</v>
      </c>
      <c r="D204" s="0" t="n">
        <f aca="false">SUMIFS(Articles!$F:$F,Articles!$A:$A,A204,Articles!$E:$E,C204)</f>
        <v>1</v>
      </c>
      <c r="E204" s="0" t="n">
        <f aca="false">IF(ABS(D204-ROUND(D204,0))&lt;0.0001,1,0)</f>
        <v>1</v>
      </c>
    </row>
    <row r="205" customFormat="false" ht="15" hidden="false" customHeight="false" outlineLevel="0" collapsed="false">
      <c r="A205" s="0" t="s">
        <v>187</v>
      </c>
      <c r="B205" s="0" t="s">
        <v>188</v>
      </c>
      <c r="C205" s="0" t="s">
        <v>605</v>
      </c>
      <c r="D205" s="0" t="n">
        <f aca="false">SUMIFS(Articles!$F:$F,Articles!$A:$A,A205,Articles!$E:$E,C205)</f>
        <v>1</v>
      </c>
      <c r="E205" s="0" t="n">
        <f aca="false">IF(ABS(D205-ROUND(D205,0))&lt;0.0001,1,0)</f>
        <v>1</v>
      </c>
    </row>
    <row r="206" customFormat="false" ht="15" hidden="false" customHeight="false" outlineLevel="0" collapsed="false">
      <c r="A206" s="0" t="s">
        <v>187</v>
      </c>
      <c r="B206" s="0" t="s">
        <v>188</v>
      </c>
      <c r="C206" s="0" t="s">
        <v>441</v>
      </c>
      <c r="D206" s="0" t="n">
        <f aca="false">SUMIFS(Articles!$F:$F,Articles!$A:$A,A206,Articles!$E:$E,C206)</f>
        <v>1</v>
      </c>
      <c r="E206" s="0" t="n">
        <f aca="false">IF(ABS(D206-ROUND(D206,0))&lt;0.0001,1,0)</f>
        <v>1</v>
      </c>
    </row>
    <row r="207" customFormat="false" ht="15" hidden="false" customHeight="false" outlineLevel="0" collapsed="false">
      <c r="A207" s="0" t="s">
        <v>187</v>
      </c>
      <c r="B207" s="0" t="s">
        <v>188</v>
      </c>
      <c r="C207" s="0" t="s">
        <v>353</v>
      </c>
      <c r="D207" s="0" t="n">
        <f aca="false">SUMIFS(Articles!$F:$F,Articles!$A:$A,A207,Articles!$E:$E,C207)</f>
        <v>1</v>
      </c>
      <c r="E207" s="0" t="n">
        <f aca="false">IF(ABS(D207-ROUND(D207,0))&lt;0.0001,1,0)</f>
        <v>1</v>
      </c>
    </row>
    <row r="208" customFormat="false" ht="15" hidden="false" customHeight="false" outlineLevel="0" collapsed="false">
      <c r="A208" s="0" t="s">
        <v>187</v>
      </c>
      <c r="B208" s="0" t="s">
        <v>188</v>
      </c>
      <c r="C208" s="0" t="s">
        <v>656</v>
      </c>
      <c r="D208" s="0" t="n">
        <f aca="false">SUMIFS(Articles!$F:$F,Articles!$A:$A,A208,Articles!$E:$E,C208)</f>
        <v>1</v>
      </c>
      <c r="E208" s="0" t="n">
        <f aca="false">IF(ABS(D208-ROUND(D208,0))&lt;0.0001,1,0)</f>
        <v>1</v>
      </c>
    </row>
    <row r="209" customFormat="false" ht="15" hidden="false" customHeight="false" outlineLevel="0" collapsed="false">
      <c r="A209" s="0" t="s">
        <v>187</v>
      </c>
      <c r="B209" s="0" t="s">
        <v>188</v>
      </c>
      <c r="C209" s="0" t="s">
        <v>591</v>
      </c>
      <c r="D209" s="0" t="n">
        <f aca="false">SUMIFS(Articles!$F:$F,Articles!$A:$A,A209,Articles!$E:$E,C209)</f>
        <v>2</v>
      </c>
      <c r="E209" s="0" t="n">
        <f aca="false">IF(ABS(D209-ROUND(D209,0))&lt;0.0001,1,0)</f>
        <v>1</v>
      </c>
    </row>
    <row r="210" customFormat="false" ht="15" hidden="false" customHeight="false" outlineLevel="0" collapsed="false">
      <c r="A210" s="0" t="s">
        <v>187</v>
      </c>
      <c r="B210" s="0" t="s">
        <v>188</v>
      </c>
      <c r="C210" s="0" t="s">
        <v>413</v>
      </c>
      <c r="D210" s="0" t="n">
        <f aca="false">SUMIFS(Articles!$F:$F,Articles!$A:$A,A210,Articles!$E:$E,C210)</f>
        <v>2</v>
      </c>
      <c r="E210" s="0" t="n">
        <f aca="false">IF(ABS(D210-ROUND(D210,0))&lt;0.0001,1,0)</f>
        <v>1</v>
      </c>
    </row>
    <row r="211" customFormat="false" ht="15" hidden="false" customHeight="false" outlineLevel="0" collapsed="false">
      <c r="A211" s="0" t="s">
        <v>187</v>
      </c>
      <c r="B211" s="0" t="s">
        <v>188</v>
      </c>
      <c r="C211" s="0" t="s">
        <v>463</v>
      </c>
      <c r="D211" s="0" t="n">
        <f aca="false">SUMIFS(Articles!$F:$F,Articles!$A:$A,A211,Articles!$E:$E,C211)</f>
        <v>1</v>
      </c>
      <c r="E211" s="0" t="n">
        <f aca="false">IF(ABS(D211-ROUND(D211,0))&lt;0.0001,1,0)</f>
        <v>1</v>
      </c>
    </row>
    <row r="212" customFormat="false" ht="15" hidden="false" customHeight="false" outlineLevel="0" collapsed="false">
      <c r="A212" s="0" t="s">
        <v>187</v>
      </c>
      <c r="B212" s="0" t="s">
        <v>188</v>
      </c>
      <c r="C212" s="0" t="s">
        <v>657</v>
      </c>
      <c r="D212" s="0" t="n">
        <f aca="false">SUMIFS(Articles!$F:$F,Articles!$A:$A,A212,Articles!$E:$E,C212)</f>
        <v>2</v>
      </c>
      <c r="E212" s="0" t="n">
        <f aca="false">IF(ABS(D212-ROUND(D212,0))&lt;0.0001,1,0)</f>
        <v>1</v>
      </c>
    </row>
    <row r="213" customFormat="false" ht="15" hidden="false" customHeight="false" outlineLevel="0" collapsed="false">
      <c r="A213" s="0" t="s">
        <v>187</v>
      </c>
      <c r="B213" s="0" t="s">
        <v>188</v>
      </c>
      <c r="C213" s="0" t="s">
        <v>432</v>
      </c>
      <c r="D213" s="0" t="n">
        <f aca="false">SUMIFS(Articles!$F:$F,Articles!$A:$A,A213,Articles!$E:$E,C213)</f>
        <v>1</v>
      </c>
      <c r="E213" s="0" t="n">
        <f aca="false">IF(ABS(D213-ROUND(D213,0))&lt;0.0001,1,0)</f>
        <v>1</v>
      </c>
    </row>
    <row r="214" customFormat="false" ht="15" hidden="false" customHeight="false" outlineLevel="0" collapsed="false">
      <c r="A214" s="0" t="s">
        <v>187</v>
      </c>
      <c r="B214" s="0" t="s">
        <v>188</v>
      </c>
      <c r="C214" s="0" t="s">
        <v>658</v>
      </c>
      <c r="D214" s="0" t="n">
        <f aca="false">SUMIFS(Articles!$F:$F,Articles!$A:$A,A214,Articles!$E:$E,C214)</f>
        <v>1</v>
      </c>
      <c r="E214" s="0" t="n">
        <f aca="false">IF(ABS(D214-ROUND(D214,0))&lt;0.0001,1,0)</f>
        <v>1</v>
      </c>
    </row>
    <row r="215" customFormat="false" ht="15" hidden="false" customHeight="false" outlineLevel="0" collapsed="false">
      <c r="A215" s="0" t="s">
        <v>187</v>
      </c>
      <c r="B215" s="0" t="s">
        <v>188</v>
      </c>
      <c r="C215" s="0" t="s">
        <v>374</v>
      </c>
      <c r="D215" s="0" t="n">
        <f aca="false">SUMIFS(Articles!$F:$F,Articles!$A:$A,A215,Articles!$E:$E,C215)</f>
        <v>2</v>
      </c>
      <c r="E215" s="0" t="n">
        <f aca="false">IF(ABS(D215-ROUND(D215,0))&lt;0.0001,1,0)</f>
        <v>1</v>
      </c>
    </row>
    <row r="216" customFormat="false" ht="15" hidden="false" customHeight="false" outlineLevel="0" collapsed="false">
      <c r="A216" s="0" t="s">
        <v>190</v>
      </c>
      <c r="B216" s="0" t="s">
        <v>191</v>
      </c>
      <c r="C216" s="0" t="s">
        <v>344</v>
      </c>
      <c r="D216" s="0" t="n">
        <f aca="false">SUMIFS(Articles!$F:$F,Articles!$A:$A,A216,Articles!$E:$E,C216)</f>
        <v>2</v>
      </c>
      <c r="E216" s="0" t="n">
        <f aca="false">IF(ABS(D216-ROUND(D216,0))&lt;0.0001,1,0)</f>
        <v>1</v>
      </c>
    </row>
    <row r="217" customFormat="false" ht="15" hidden="false" customHeight="false" outlineLevel="0" collapsed="false">
      <c r="A217" s="0" t="s">
        <v>190</v>
      </c>
      <c r="B217" s="0" t="s">
        <v>191</v>
      </c>
      <c r="C217" s="0" t="s">
        <v>364</v>
      </c>
      <c r="D217" s="0" t="n">
        <f aca="false">SUMIFS(Articles!$F:$F,Articles!$A:$A,A217,Articles!$E:$E,C217)</f>
        <v>1</v>
      </c>
      <c r="E217" s="0" t="n">
        <f aca="false">IF(ABS(D217-ROUND(D217,0))&lt;0.0001,1,0)</f>
        <v>1</v>
      </c>
    </row>
    <row r="218" customFormat="false" ht="15" hidden="false" customHeight="false" outlineLevel="0" collapsed="false">
      <c r="A218" s="0" t="s">
        <v>190</v>
      </c>
      <c r="B218" s="0" t="s">
        <v>191</v>
      </c>
      <c r="C218" s="0" t="s">
        <v>587</v>
      </c>
      <c r="D218" s="0" t="n">
        <f aca="false">SUMIFS(Articles!$F:$F,Articles!$A:$A,A218,Articles!$E:$E,C218)</f>
        <v>1</v>
      </c>
      <c r="E218" s="0" t="n">
        <f aca="false">IF(ABS(D218-ROUND(D218,0))&lt;0.0001,1,0)</f>
        <v>1</v>
      </c>
    </row>
    <row r="219" customFormat="false" ht="15" hidden="false" customHeight="false" outlineLevel="0" collapsed="false">
      <c r="A219" s="0" t="s">
        <v>190</v>
      </c>
      <c r="B219" s="0" t="s">
        <v>191</v>
      </c>
      <c r="C219" s="0" t="s">
        <v>392</v>
      </c>
      <c r="D219" s="0" t="n">
        <f aca="false">SUMIFS(Articles!$F:$F,Articles!$A:$A,A219,Articles!$E:$E,C219)</f>
        <v>2</v>
      </c>
      <c r="E219" s="0" t="n">
        <f aca="false">IF(ABS(D219-ROUND(D219,0))&lt;0.0001,1,0)</f>
        <v>1</v>
      </c>
    </row>
    <row r="220" customFormat="false" ht="15" hidden="false" customHeight="false" outlineLevel="0" collapsed="false">
      <c r="A220" s="0" t="s">
        <v>190</v>
      </c>
      <c r="B220" s="0" t="s">
        <v>191</v>
      </c>
      <c r="C220" s="0" t="s">
        <v>591</v>
      </c>
      <c r="D220" s="0" t="n">
        <f aca="false">SUMIFS(Articles!$F:$F,Articles!$A:$A,A220,Articles!$E:$E,C220)</f>
        <v>2</v>
      </c>
      <c r="E220" s="0" t="n">
        <f aca="false">IF(ABS(D220-ROUND(D220,0))&lt;0.0001,1,0)</f>
        <v>1</v>
      </c>
    </row>
    <row r="221" customFormat="false" ht="15" hidden="false" customHeight="false" outlineLevel="0" collapsed="false">
      <c r="A221" s="0" t="s">
        <v>190</v>
      </c>
      <c r="B221" s="0" t="s">
        <v>191</v>
      </c>
      <c r="C221" s="0" t="s">
        <v>413</v>
      </c>
      <c r="D221" s="0" t="n">
        <f aca="false">SUMIFS(Articles!$F:$F,Articles!$A:$A,A221,Articles!$E:$E,C221)</f>
        <v>1</v>
      </c>
      <c r="E221" s="0" t="n">
        <f aca="false">IF(ABS(D221-ROUND(D221,0))&lt;0.0001,1,0)</f>
        <v>1</v>
      </c>
    </row>
    <row r="222" customFormat="false" ht="15" hidden="false" customHeight="false" outlineLevel="0" collapsed="false">
      <c r="A222" s="0" t="s">
        <v>190</v>
      </c>
      <c r="B222" s="0" t="s">
        <v>191</v>
      </c>
      <c r="C222" s="0" t="s">
        <v>626</v>
      </c>
      <c r="D222" s="0" t="n">
        <f aca="false">SUMIFS(Articles!$F:$F,Articles!$A:$A,A222,Articles!$E:$E,C222)</f>
        <v>1</v>
      </c>
      <c r="E222" s="0" t="n">
        <f aca="false">IF(ABS(D222-ROUND(D222,0))&lt;0.0001,1,0)</f>
        <v>1</v>
      </c>
    </row>
    <row r="223" customFormat="false" ht="15" hidden="false" customHeight="false" outlineLevel="0" collapsed="false">
      <c r="A223" s="0" t="s">
        <v>190</v>
      </c>
      <c r="B223" s="0" t="s">
        <v>191</v>
      </c>
      <c r="C223" s="0" t="s">
        <v>659</v>
      </c>
      <c r="D223" s="0" t="n">
        <f aca="false">SUMIFS(Articles!$F:$F,Articles!$A:$A,A223,Articles!$E:$E,C223)</f>
        <v>1</v>
      </c>
      <c r="E223" s="0" t="n">
        <f aca="false">IF(ABS(D223-ROUND(D223,0))&lt;0.0001,1,0)</f>
        <v>1</v>
      </c>
    </row>
    <row r="224" customFormat="false" ht="15" hidden="false" customHeight="false" outlineLevel="0" collapsed="false">
      <c r="A224" s="0" t="s">
        <v>190</v>
      </c>
      <c r="B224" s="0" t="s">
        <v>191</v>
      </c>
      <c r="C224" s="0" t="s">
        <v>627</v>
      </c>
      <c r="D224" s="0" t="n">
        <f aca="false">SUMIFS(Articles!$F:$F,Articles!$A:$A,A224,Articles!$E:$E,C224)</f>
        <v>1</v>
      </c>
      <c r="E224" s="0" t="n">
        <f aca="false">IF(ABS(D224-ROUND(D224,0))&lt;0.0001,1,0)</f>
        <v>1</v>
      </c>
    </row>
    <row r="225" customFormat="false" ht="15" hidden="false" customHeight="false" outlineLevel="0" collapsed="false">
      <c r="A225" s="0" t="s">
        <v>190</v>
      </c>
      <c r="B225" s="0" t="s">
        <v>191</v>
      </c>
      <c r="C225" s="0" t="s">
        <v>660</v>
      </c>
      <c r="D225" s="0" t="n">
        <f aca="false">SUMIFS(Articles!$F:$F,Articles!$A:$A,A225,Articles!$E:$E,C225)</f>
        <v>1</v>
      </c>
      <c r="E225" s="0" t="n">
        <f aca="false">IF(ABS(D225-ROUND(D225,0))&lt;0.0001,1,0)</f>
        <v>1</v>
      </c>
    </row>
    <row r="226" customFormat="false" ht="15" hidden="false" customHeight="false" outlineLevel="0" collapsed="false">
      <c r="A226" s="0" t="s">
        <v>190</v>
      </c>
      <c r="B226" s="0" t="s">
        <v>191</v>
      </c>
      <c r="C226" s="0" t="s">
        <v>419</v>
      </c>
      <c r="D226" s="0" t="n">
        <f aca="false">SUMIFS(Articles!$F:$F,Articles!$A:$A,A226,Articles!$E:$E,C226)</f>
        <v>1</v>
      </c>
      <c r="E226" s="0" t="n">
        <f aca="false">IF(ABS(D226-ROUND(D226,0))&lt;0.0001,1,0)</f>
        <v>1</v>
      </c>
    </row>
    <row r="227" customFormat="false" ht="15" hidden="false" customHeight="false" outlineLevel="0" collapsed="false">
      <c r="A227" s="0" t="s">
        <v>190</v>
      </c>
      <c r="B227" s="0" t="s">
        <v>191</v>
      </c>
      <c r="C227" s="0" t="s">
        <v>642</v>
      </c>
      <c r="D227" s="0" t="n">
        <f aca="false">SUMIFS(Articles!$F:$F,Articles!$A:$A,A227,Articles!$E:$E,C227)</f>
        <v>1</v>
      </c>
      <c r="E227" s="0" t="n">
        <f aca="false">IF(ABS(D227-ROUND(D227,0))&lt;0.0001,1,0)</f>
        <v>1</v>
      </c>
    </row>
    <row r="228" customFormat="false" ht="15" hidden="false" customHeight="false" outlineLevel="0" collapsed="false">
      <c r="A228" s="0" t="s">
        <v>190</v>
      </c>
      <c r="B228" s="0" t="s">
        <v>191</v>
      </c>
      <c r="C228" s="0" t="s">
        <v>661</v>
      </c>
      <c r="D228" s="0" t="n">
        <f aca="false">SUMIFS(Articles!$F:$F,Articles!$A:$A,A228,Articles!$E:$E,C228)</f>
        <v>1</v>
      </c>
      <c r="E228" s="0" t="n">
        <f aca="false">IF(ABS(D228-ROUND(D228,0))&lt;0.0001,1,0)</f>
        <v>1</v>
      </c>
    </row>
    <row r="229" customFormat="false" ht="15" hidden="false" customHeight="false" outlineLevel="0" collapsed="false">
      <c r="A229" s="0" t="s">
        <v>190</v>
      </c>
      <c r="B229" s="0" t="s">
        <v>191</v>
      </c>
      <c r="C229" s="0" t="s">
        <v>658</v>
      </c>
      <c r="D229" s="0" t="n">
        <f aca="false">SUMIFS(Articles!$F:$F,Articles!$A:$A,A229,Articles!$E:$E,C229)</f>
        <v>1</v>
      </c>
      <c r="E229" s="0" t="n">
        <f aca="false">IF(ABS(D229-ROUND(D229,0))&lt;0.0001,1,0)</f>
        <v>1</v>
      </c>
    </row>
    <row r="230" customFormat="false" ht="15" hidden="false" customHeight="false" outlineLevel="0" collapsed="false">
      <c r="A230" s="0" t="s">
        <v>190</v>
      </c>
      <c r="B230" s="0" t="s">
        <v>191</v>
      </c>
      <c r="C230" s="0" t="s">
        <v>637</v>
      </c>
      <c r="D230" s="0" t="n">
        <f aca="false">SUMIFS(Articles!$F:$F,Articles!$A:$A,A230,Articles!$E:$E,C230)</f>
        <v>1</v>
      </c>
      <c r="E230" s="0" t="n">
        <f aca="false">IF(ABS(D230-ROUND(D230,0))&lt;0.0001,1,0)</f>
        <v>1</v>
      </c>
    </row>
    <row r="231" customFormat="false" ht="15" hidden="false" customHeight="false" outlineLevel="0" collapsed="false">
      <c r="A231" s="0" t="s">
        <v>190</v>
      </c>
      <c r="B231" s="0" t="s">
        <v>191</v>
      </c>
      <c r="C231" s="0" t="s">
        <v>662</v>
      </c>
      <c r="D231" s="0" t="n">
        <f aca="false">SUMIFS(Articles!$F:$F,Articles!$A:$A,A231,Articles!$E:$E,C231)</f>
        <v>1</v>
      </c>
      <c r="E231" s="0" t="n">
        <f aca="false">IF(ABS(D231-ROUND(D231,0))&lt;0.0001,1,0)</f>
        <v>1</v>
      </c>
    </row>
    <row r="232" customFormat="false" ht="15" hidden="false" customHeight="false" outlineLevel="0" collapsed="false">
      <c r="A232" s="0" t="s">
        <v>193</v>
      </c>
      <c r="B232" s="0" t="s">
        <v>93</v>
      </c>
      <c r="C232" s="0" t="s">
        <v>421</v>
      </c>
      <c r="D232" s="0" t="n">
        <f aca="false">SUMIFS(Articles!$F:$F,Articles!$A:$A,A232,Articles!$E:$E,C232)</f>
        <v>1</v>
      </c>
      <c r="E232" s="0" t="n">
        <f aca="false">IF(ABS(D232-ROUND(D232,0))&lt;0.0001,1,0)</f>
        <v>1</v>
      </c>
    </row>
    <row r="233" customFormat="false" ht="15" hidden="false" customHeight="false" outlineLevel="0" collapsed="false">
      <c r="A233" s="0" t="s">
        <v>193</v>
      </c>
      <c r="B233" s="0" t="s">
        <v>93</v>
      </c>
      <c r="C233" s="0" t="s">
        <v>437</v>
      </c>
      <c r="D233" s="0" t="n">
        <f aca="false">SUMIFS(Articles!$F:$F,Articles!$A:$A,A233,Articles!$E:$E,C233)</f>
        <v>1</v>
      </c>
      <c r="E233" s="0" t="n">
        <f aca="false">IF(ABS(D233-ROUND(D233,0))&lt;0.0001,1,0)</f>
        <v>1</v>
      </c>
    </row>
    <row r="234" customFormat="false" ht="15" hidden="false" customHeight="false" outlineLevel="0" collapsed="false">
      <c r="A234" s="0" t="s">
        <v>193</v>
      </c>
      <c r="B234" s="0" t="s">
        <v>93</v>
      </c>
      <c r="C234" s="0" t="s">
        <v>621</v>
      </c>
      <c r="D234" s="0" t="n">
        <f aca="false">SUMIFS(Articles!$F:$F,Articles!$A:$A,A234,Articles!$E:$E,C234)</f>
        <v>2</v>
      </c>
      <c r="E234" s="0" t="n">
        <f aca="false">IF(ABS(D234-ROUND(D234,0))&lt;0.0001,1,0)</f>
        <v>1</v>
      </c>
    </row>
    <row r="235" customFormat="false" ht="15" hidden="false" customHeight="false" outlineLevel="0" collapsed="false">
      <c r="A235" s="0" t="s">
        <v>193</v>
      </c>
      <c r="B235" s="0" t="s">
        <v>93</v>
      </c>
      <c r="C235" s="0" t="s">
        <v>663</v>
      </c>
      <c r="D235" s="0" t="n">
        <f aca="false">SUMIFS(Articles!$F:$F,Articles!$A:$A,A235,Articles!$E:$E,C235)</f>
        <v>2</v>
      </c>
      <c r="E235" s="0" t="n">
        <f aca="false">IF(ABS(D235-ROUND(D235,0))&lt;0.0001,1,0)</f>
        <v>1</v>
      </c>
    </row>
    <row r="236" customFormat="false" ht="15" hidden="false" customHeight="false" outlineLevel="0" collapsed="false">
      <c r="A236" s="0" t="s">
        <v>193</v>
      </c>
      <c r="B236" s="0" t="s">
        <v>93</v>
      </c>
      <c r="C236" s="0" t="s">
        <v>441</v>
      </c>
      <c r="D236" s="0" t="n">
        <f aca="false">SUMIFS(Articles!$F:$F,Articles!$A:$A,A236,Articles!$E:$E,C236)</f>
        <v>1</v>
      </c>
      <c r="E236" s="0" t="n">
        <f aca="false">IF(ABS(D236-ROUND(D236,0))&lt;0.0001,1,0)</f>
        <v>1</v>
      </c>
    </row>
    <row r="237" customFormat="false" ht="15" hidden="false" customHeight="false" outlineLevel="0" collapsed="false">
      <c r="A237" s="0" t="s">
        <v>193</v>
      </c>
      <c r="B237" s="0" t="s">
        <v>93</v>
      </c>
      <c r="C237" s="0" t="s">
        <v>445</v>
      </c>
      <c r="D237" s="0" t="n">
        <f aca="false">SUMIFS(Articles!$F:$F,Articles!$A:$A,A237,Articles!$E:$E,C237)</f>
        <v>1</v>
      </c>
      <c r="E237" s="0" t="n">
        <f aca="false">IF(ABS(D237-ROUND(D237,0))&lt;0.0001,1,0)</f>
        <v>1</v>
      </c>
    </row>
    <row r="238" customFormat="false" ht="15" hidden="false" customHeight="false" outlineLevel="0" collapsed="false">
      <c r="A238" s="0" t="s">
        <v>193</v>
      </c>
      <c r="B238" s="0" t="s">
        <v>93</v>
      </c>
      <c r="C238" s="0" t="s">
        <v>613</v>
      </c>
      <c r="D238" s="0" t="n">
        <f aca="false">SUMIFS(Articles!$F:$F,Articles!$A:$A,A238,Articles!$E:$E,C238)</f>
        <v>2</v>
      </c>
      <c r="E238" s="0" t="n">
        <f aca="false">IF(ABS(D238-ROUND(D238,0))&lt;0.0001,1,0)</f>
        <v>1</v>
      </c>
    </row>
    <row r="239" customFormat="false" ht="15" hidden="false" customHeight="false" outlineLevel="0" collapsed="false">
      <c r="A239" s="0" t="s">
        <v>193</v>
      </c>
      <c r="B239" s="0" t="s">
        <v>93</v>
      </c>
      <c r="C239" s="0" t="s">
        <v>432</v>
      </c>
      <c r="D239" s="0" t="n">
        <f aca="false">SUMIFS(Articles!$F:$F,Articles!$A:$A,A239,Articles!$E:$E,C239)</f>
        <v>1</v>
      </c>
      <c r="E239" s="0" t="n">
        <f aca="false">IF(ABS(D239-ROUND(D239,0))&lt;0.0001,1,0)</f>
        <v>1</v>
      </c>
    </row>
    <row r="240" customFormat="false" ht="15" hidden="false" customHeight="false" outlineLevel="0" collapsed="false">
      <c r="A240" s="0" t="s">
        <v>193</v>
      </c>
      <c r="B240" s="0" t="s">
        <v>93</v>
      </c>
      <c r="C240" s="0" t="s">
        <v>419</v>
      </c>
      <c r="D240" s="0" t="n">
        <f aca="false">SUMIFS(Articles!$F:$F,Articles!$A:$A,A240,Articles!$E:$E,C240)</f>
        <v>1</v>
      </c>
      <c r="E240" s="0" t="n">
        <f aca="false">IF(ABS(D240-ROUND(D240,0))&lt;0.0001,1,0)</f>
        <v>1</v>
      </c>
    </row>
    <row r="241" customFormat="false" ht="15" hidden="false" customHeight="false" outlineLevel="0" collapsed="false">
      <c r="A241" s="0" t="s">
        <v>193</v>
      </c>
      <c r="B241" s="0" t="s">
        <v>93</v>
      </c>
      <c r="C241" s="0" t="s">
        <v>664</v>
      </c>
      <c r="D241" s="0" t="n">
        <f aca="false">SUMIFS(Articles!$F:$F,Articles!$A:$A,A241,Articles!$E:$E,C241)</f>
        <v>1</v>
      </c>
      <c r="E241" s="0" t="n">
        <f aca="false">IF(ABS(D241-ROUND(D241,0))&lt;0.0001,1,0)</f>
        <v>1</v>
      </c>
    </row>
    <row r="242" customFormat="false" ht="15" hidden="false" customHeight="false" outlineLevel="0" collapsed="false">
      <c r="A242" s="0" t="s">
        <v>193</v>
      </c>
      <c r="B242" s="0" t="s">
        <v>93</v>
      </c>
      <c r="C242" s="0" t="s">
        <v>645</v>
      </c>
      <c r="D242" s="0" t="n">
        <f aca="false">SUMIFS(Articles!$F:$F,Articles!$A:$A,A242,Articles!$E:$E,C242)</f>
        <v>2</v>
      </c>
      <c r="E242" s="0" t="n">
        <f aca="false">IF(ABS(D242-ROUND(D242,0))&lt;0.0001,1,0)</f>
        <v>1</v>
      </c>
    </row>
    <row r="243" customFormat="false" ht="15" hidden="false" customHeight="false" outlineLevel="0" collapsed="false">
      <c r="A243" s="0" t="s">
        <v>193</v>
      </c>
      <c r="B243" s="0" t="s">
        <v>93</v>
      </c>
      <c r="C243" s="0" t="s">
        <v>366</v>
      </c>
      <c r="D243" s="0" t="n">
        <f aca="false">SUMIFS(Articles!$F:$F,Articles!$A:$A,A243,Articles!$E:$E,C243)</f>
        <v>2</v>
      </c>
      <c r="E243" s="0" t="n">
        <f aca="false">IF(ABS(D243-ROUND(D243,0))&lt;0.0001,1,0)</f>
        <v>1</v>
      </c>
    </row>
    <row r="244" customFormat="false" ht="15" hidden="false" customHeight="false" outlineLevel="0" collapsed="false">
      <c r="A244" s="0" t="s">
        <v>193</v>
      </c>
      <c r="B244" s="0" t="s">
        <v>93</v>
      </c>
      <c r="C244" s="0" t="s">
        <v>665</v>
      </c>
      <c r="D244" s="0" t="n">
        <f aca="false">SUMIFS(Articles!$F:$F,Articles!$A:$A,A244,Articles!$E:$E,C244)</f>
        <v>1</v>
      </c>
      <c r="E244" s="0" t="n">
        <f aca="false">IF(ABS(D244-ROUND(D244,0))&lt;0.0001,1,0)</f>
        <v>1</v>
      </c>
    </row>
    <row r="245" customFormat="false" ht="15" hidden="false" customHeight="false" outlineLevel="0" collapsed="false">
      <c r="A245" s="0" t="s">
        <v>193</v>
      </c>
      <c r="B245" s="0" t="s">
        <v>93</v>
      </c>
      <c r="C245" s="0" t="s">
        <v>374</v>
      </c>
      <c r="D245" s="0" t="n">
        <f aca="false">SUMIFS(Articles!$F:$F,Articles!$A:$A,A245,Articles!$E:$E,C245)</f>
        <v>1</v>
      </c>
      <c r="E245" s="0" t="n">
        <f aca="false">IF(ABS(D245-ROUND(D245,0))&lt;0.0001,1,0)</f>
        <v>1</v>
      </c>
    </row>
    <row r="246" customFormat="false" ht="15" hidden="false" customHeight="false" outlineLevel="0" collapsed="false">
      <c r="A246" s="0" t="s">
        <v>193</v>
      </c>
      <c r="B246" s="0" t="s">
        <v>93</v>
      </c>
      <c r="C246" s="0" t="s">
        <v>666</v>
      </c>
      <c r="D246" s="0" t="n">
        <f aca="false">SUMIFS(Articles!$F:$F,Articles!$A:$A,A246,Articles!$E:$E,C246)</f>
        <v>1</v>
      </c>
      <c r="E246" s="0" t="n">
        <f aca="false">IF(ABS(D246-ROUND(D246,0))&lt;0.0001,1,0)</f>
        <v>1</v>
      </c>
    </row>
    <row r="247" customFormat="false" ht="15" hidden="false" customHeight="false" outlineLevel="0" collapsed="false">
      <c r="A247" s="0" t="s">
        <v>193</v>
      </c>
      <c r="B247" s="0" t="s">
        <v>93</v>
      </c>
      <c r="C247" s="0" t="s">
        <v>667</v>
      </c>
      <c r="D247" s="0" t="n">
        <f aca="false">SUMIFS(Articles!$F:$F,Articles!$A:$A,A247,Articles!$E:$E,C247)</f>
        <v>1</v>
      </c>
      <c r="E247" s="0" t="n">
        <f aca="false">IF(ABS(D247-ROUND(D247,0))&lt;0.0001,1,0)</f>
        <v>1</v>
      </c>
    </row>
    <row r="248" customFormat="false" ht="15" hidden="false" customHeight="false" outlineLevel="0" collapsed="false">
      <c r="A248" s="0" t="s">
        <v>195</v>
      </c>
      <c r="B248" s="0" t="s">
        <v>196</v>
      </c>
      <c r="C248" s="0" t="s">
        <v>644</v>
      </c>
      <c r="D248" s="0" t="n">
        <f aca="false">SUMIFS(Articles!$F:$F,Articles!$A:$A,A248,Articles!$E:$E,C248)</f>
        <v>1</v>
      </c>
      <c r="E248" s="0" t="n">
        <f aca="false">IF(ABS(D248-ROUND(D248,0))&lt;0.0001,1,0)</f>
        <v>1</v>
      </c>
    </row>
    <row r="249" customFormat="false" ht="15" hidden="false" customHeight="false" outlineLevel="0" collapsed="false">
      <c r="A249" s="0" t="s">
        <v>195</v>
      </c>
      <c r="B249" s="0" t="s">
        <v>196</v>
      </c>
      <c r="C249" s="0" t="s">
        <v>668</v>
      </c>
      <c r="D249" s="0" t="n">
        <f aca="false">SUMIFS(Articles!$F:$F,Articles!$A:$A,A249,Articles!$E:$E,C249)</f>
        <v>1</v>
      </c>
      <c r="E249" s="0" t="n">
        <f aca="false">IF(ABS(D249-ROUND(D249,0))&lt;0.0001,1,0)</f>
        <v>1</v>
      </c>
    </row>
    <row r="250" customFormat="false" ht="15" hidden="false" customHeight="false" outlineLevel="0" collapsed="false">
      <c r="A250" s="0" t="s">
        <v>195</v>
      </c>
      <c r="B250" s="0" t="s">
        <v>196</v>
      </c>
      <c r="C250" s="0" t="s">
        <v>591</v>
      </c>
      <c r="D250" s="0" t="n">
        <f aca="false">SUMIFS(Articles!$F:$F,Articles!$A:$A,A250,Articles!$E:$E,C250)</f>
        <v>1</v>
      </c>
      <c r="E250" s="0" t="n">
        <f aca="false">IF(ABS(D250-ROUND(D250,0))&lt;0.0001,1,0)</f>
        <v>1</v>
      </c>
    </row>
    <row r="251" customFormat="false" ht="15" hidden="false" customHeight="false" outlineLevel="0" collapsed="false">
      <c r="A251" s="0" t="s">
        <v>195</v>
      </c>
      <c r="B251" s="0" t="s">
        <v>196</v>
      </c>
      <c r="C251" s="0" t="s">
        <v>419</v>
      </c>
      <c r="D251" s="0" t="n">
        <f aca="false">SUMIFS(Articles!$F:$F,Articles!$A:$A,A251,Articles!$E:$E,C251)</f>
        <v>1</v>
      </c>
      <c r="E251" s="0" t="n">
        <f aca="false">IF(ABS(D251-ROUND(D251,0))&lt;0.0001,1,0)</f>
        <v>1</v>
      </c>
    </row>
    <row r="252" customFormat="false" ht="15" hidden="false" customHeight="false" outlineLevel="0" collapsed="false">
      <c r="A252" s="0" t="s">
        <v>195</v>
      </c>
      <c r="B252" s="0" t="s">
        <v>196</v>
      </c>
      <c r="C252" s="0" t="s">
        <v>669</v>
      </c>
      <c r="D252" s="0" t="n">
        <f aca="false">SUMIFS(Articles!$F:$F,Articles!$A:$A,A252,Articles!$E:$E,C252)</f>
        <v>1</v>
      </c>
      <c r="E252" s="0" t="n">
        <f aca="false">IF(ABS(D252-ROUND(D252,0))&lt;0.0001,1,0)</f>
        <v>1</v>
      </c>
    </row>
    <row r="253" customFormat="false" ht="15" hidden="false" customHeight="false" outlineLevel="0" collapsed="false">
      <c r="A253" s="0" t="s">
        <v>195</v>
      </c>
      <c r="B253" s="0" t="s">
        <v>196</v>
      </c>
      <c r="C253" s="0" t="s">
        <v>445</v>
      </c>
      <c r="D253" s="0" t="n">
        <f aca="false">SUMIFS(Articles!$F:$F,Articles!$A:$A,A253,Articles!$E:$E,C253)</f>
        <v>1</v>
      </c>
      <c r="E253" s="0" t="n">
        <f aca="false">IF(ABS(D253-ROUND(D253,0))&lt;0.0001,1,0)</f>
        <v>1</v>
      </c>
    </row>
    <row r="254" customFormat="false" ht="15" hidden="false" customHeight="false" outlineLevel="0" collapsed="false">
      <c r="A254" s="0" t="s">
        <v>195</v>
      </c>
      <c r="B254" s="0" t="s">
        <v>196</v>
      </c>
      <c r="C254" s="0" t="s">
        <v>377</v>
      </c>
      <c r="D254" s="0" t="n">
        <f aca="false">SUMIFS(Articles!$F:$F,Articles!$A:$A,A254,Articles!$E:$E,C254)</f>
        <v>1</v>
      </c>
      <c r="E254" s="0" t="n">
        <f aca="false">IF(ABS(D254-ROUND(D254,0))&lt;0.0001,1,0)</f>
        <v>1</v>
      </c>
    </row>
    <row r="255" customFormat="false" ht="15" hidden="false" customHeight="false" outlineLevel="0" collapsed="false">
      <c r="A255" s="0" t="s">
        <v>195</v>
      </c>
      <c r="B255" s="0" t="s">
        <v>196</v>
      </c>
      <c r="C255" s="0" t="s">
        <v>423</v>
      </c>
      <c r="D255" s="0" t="n">
        <f aca="false">SUMIFS(Articles!$F:$F,Articles!$A:$A,A255,Articles!$E:$E,C255)</f>
        <v>1</v>
      </c>
      <c r="E255" s="0" t="n">
        <f aca="false">IF(ABS(D255-ROUND(D255,0))&lt;0.0001,1,0)</f>
        <v>1</v>
      </c>
    </row>
    <row r="256" customFormat="false" ht="15" hidden="false" customHeight="false" outlineLevel="0" collapsed="false">
      <c r="A256" s="0" t="s">
        <v>195</v>
      </c>
      <c r="B256" s="0" t="s">
        <v>196</v>
      </c>
      <c r="C256" s="0" t="s">
        <v>366</v>
      </c>
      <c r="D256" s="0" t="n">
        <f aca="false">SUMIFS(Articles!$F:$F,Articles!$A:$A,A256,Articles!$E:$E,C256)</f>
        <v>1</v>
      </c>
      <c r="E256" s="0" t="n">
        <f aca="false">IF(ABS(D256-ROUND(D256,0))&lt;0.0001,1,0)</f>
        <v>1</v>
      </c>
    </row>
    <row r="257" customFormat="false" ht="15" hidden="false" customHeight="false" outlineLevel="0" collapsed="false">
      <c r="A257" s="0" t="s">
        <v>198</v>
      </c>
      <c r="B257" s="0" t="s">
        <v>199</v>
      </c>
      <c r="C257" s="0" t="s">
        <v>647</v>
      </c>
      <c r="D257" s="0" t="n">
        <f aca="false">SUMIFS(Articles!$F:$F,Articles!$A:$A,A257,Articles!$E:$E,C257)</f>
        <v>1</v>
      </c>
      <c r="E257" s="0" t="n">
        <f aca="false">IF(ABS(D257-ROUND(D257,0))&lt;0.0001,1,0)</f>
        <v>1</v>
      </c>
    </row>
    <row r="258" customFormat="false" ht="15" hidden="false" customHeight="false" outlineLevel="0" collapsed="false">
      <c r="A258" s="0" t="s">
        <v>198</v>
      </c>
      <c r="B258" s="0" t="s">
        <v>199</v>
      </c>
      <c r="C258" s="0" t="s">
        <v>670</v>
      </c>
      <c r="D258" s="0" t="n">
        <f aca="false">SUMIFS(Articles!$F:$F,Articles!$A:$A,A258,Articles!$E:$E,C258)</f>
        <v>1</v>
      </c>
      <c r="E258" s="0" t="n">
        <f aca="false">IF(ABS(D258-ROUND(D258,0))&lt;0.0001,1,0)</f>
        <v>1</v>
      </c>
    </row>
    <row r="259" customFormat="false" ht="15" hidden="false" customHeight="false" outlineLevel="0" collapsed="false">
      <c r="A259" s="0" t="s">
        <v>198</v>
      </c>
      <c r="B259" s="0" t="s">
        <v>199</v>
      </c>
      <c r="C259" s="0" t="s">
        <v>427</v>
      </c>
      <c r="D259" s="0" t="n">
        <f aca="false">SUMIFS(Articles!$F:$F,Articles!$A:$A,A259,Articles!$E:$E,C259)</f>
        <v>1</v>
      </c>
      <c r="E259" s="0" t="n">
        <f aca="false">IF(ABS(D259-ROUND(D259,0))&lt;0.0001,1,0)</f>
        <v>1</v>
      </c>
    </row>
    <row r="260" customFormat="false" ht="15" hidden="false" customHeight="false" outlineLevel="0" collapsed="false">
      <c r="A260" s="0" t="s">
        <v>198</v>
      </c>
      <c r="B260" s="0" t="s">
        <v>199</v>
      </c>
      <c r="C260" s="0" t="s">
        <v>425</v>
      </c>
      <c r="D260" s="0" t="n">
        <f aca="false">SUMIFS(Articles!$F:$F,Articles!$A:$A,A260,Articles!$E:$E,C260)</f>
        <v>1</v>
      </c>
      <c r="E260" s="0" t="n">
        <f aca="false">IF(ABS(D260-ROUND(D260,0))&lt;0.0001,1,0)</f>
        <v>1</v>
      </c>
    </row>
    <row r="261" customFormat="false" ht="15" hidden="false" customHeight="false" outlineLevel="0" collapsed="false">
      <c r="A261" s="0" t="s">
        <v>198</v>
      </c>
      <c r="B261" s="0" t="s">
        <v>199</v>
      </c>
      <c r="C261" s="0" t="s">
        <v>654</v>
      </c>
      <c r="D261" s="0" t="n">
        <f aca="false">SUMIFS(Articles!$F:$F,Articles!$A:$A,A261,Articles!$E:$E,C261)</f>
        <v>1</v>
      </c>
      <c r="E261" s="0" t="n">
        <f aca="false">IF(ABS(D261-ROUND(D261,0))&lt;0.0001,1,0)</f>
        <v>1</v>
      </c>
    </row>
    <row r="262" customFormat="false" ht="15" hidden="false" customHeight="false" outlineLevel="0" collapsed="false">
      <c r="A262" s="0" t="s">
        <v>198</v>
      </c>
      <c r="B262" s="0" t="s">
        <v>199</v>
      </c>
      <c r="C262" s="0" t="s">
        <v>429</v>
      </c>
      <c r="D262" s="0" t="n">
        <f aca="false">SUMIFS(Articles!$F:$F,Articles!$A:$A,A262,Articles!$E:$E,C262)</f>
        <v>1</v>
      </c>
      <c r="E262" s="0" t="n">
        <f aca="false">IF(ABS(D262-ROUND(D262,0))&lt;0.0001,1,0)</f>
        <v>1</v>
      </c>
    </row>
    <row r="263" customFormat="false" ht="15" hidden="false" customHeight="false" outlineLevel="0" collapsed="false">
      <c r="A263" s="0" t="s">
        <v>198</v>
      </c>
      <c r="B263" s="0" t="s">
        <v>199</v>
      </c>
      <c r="C263" s="0" t="s">
        <v>366</v>
      </c>
      <c r="D263" s="0" t="n">
        <f aca="false">SUMIFS(Articles!$F:$F,Articles!$A:$A,A263,Articles!$E:$E,C263)</f>
        <v>3</v>
      </c>
      <c r="E263" s="0" t="n">
        <f aca="false">IF(ABS(D263-ROUND(D263,0))&lt;0.0001,1,0)</f>
        <v>1</v>
      </c>
    </row>
    <row r="264" customFormat="false" ht="15" hidden="false" customHeight="false" outlineLevel="0" collapsed="false">
      <c r="A264" s="0" t="s">
        <v>198</v>
      </c>
      <c r="B264" s="0" t="s">
        <v>199</v>
      </c>
      <c r="C264" s="0" t="s">
        <v>671</v>
      </c>
      <c r="D264" s="0" t="n">
        <f aca="false">SUMIFS(Articles!$F:$F,Articles!$A:$A,A264,Articles!$E:$E,C264)</f>
        <v>1</v>
      </c>
      <c r="E264" s="0" t="n">
        <f aca="false">IF(ABS(D264-ROUND(D264,0))&lt;0.0001,1,0)</f>
        <v>1</v>
      </c>
    </row>
    <row r="265" customFormat="false" ht="15" hidden="false" customHeight="false" outlineLevel="0" collapsed="false">
      <c r="A265" s="0" t="s">
        <v>198</v>
      </c>
      <c r="B265" s="0" t="s">
        <v>199</v>
      </c>
      <c r="C265" s="0" t="s">
        <v>423</v>
      </c>
      <c r="D265" s="0" t="n">
        <f aca="false">SUMIFS(Articles!$F:$F,Articles!$A:$A,A265,Articles!$E:$E,C265)</f>
        <v>1</v>
      </c>
      <c r="E265" s="0" t="n">
        <f aca="false">IF(ABS(D265-ROUND(D265,0))&lt;0.0001,1,0)</f>
        <v>1</v>
      </c>
    </row>
    <row r="266" customFormat="false" ht="15" hidden="false" customHeight="false" outlineLevel="0" collapsed="false">
      <c r="A266" s="0" t="s">
        <v>198</v>
      </c>
      <c r="B266" s="0" t="s">
        <v>199</v>
      </c>
      <c r="C266" s="0" t="s">
        <v>672</v>
      </c>
      <c r="D266" s="0" t="n">
        <f aca="false">SUMIFS(Articles!$F:$F,Articles!$A:$A,A266,Articles!$E:$E,C266)</f>
        <v>1</v>
      </c>
      <c r="E266" s="0" t="n">
        <f aca="false">IF(ABS(D266-ROUND(D266,0))&lt;0.0001,1,0)</f>
        <v>1</v>
      </c>
    </row>
    <row r="267" customFormat="false" ht="15" hidden="false" customHeight="false" outlineLevel="0" collapsed="false">
      <c r="A267" s="0" t="s">
        <v>201</v>
      </c>
      <c r="B267" s="0" t="s">
        <v>202</v>
      </c>
      <c r="C267" s="0" t="s">
        <v>395</v>
      </c>
      <c r="D267" s="0" t="n">
        <f aca="false">SUMIFS(Articles!$F:$F,Articles!$A:$A,A267,Articles!$E:$E,C267)</f>
        <v>2</v>
      </c>
      <c r="E267" s="0" t="n">
        <f aca="false">IF(ABS(D267-ROUND(D267,0))&lt;0.0001,1,0)</f>
        <v>1</v>
      </c>
    </row>
    <row r="268" customFormat="false" ht="15" hidden="false" customHeight="false" outlineLevel="0" collapsed="false">
      <c r="A268" s="0" t="s">
        <v>201</v>
      </c>
      <c r="B268" s="0" t="s">
        <v>202</v>
      </c>
      <c r="C268" s="0" t="s">
        <v>428</v>
      </c>
      <c r="D268" s="0" t="n">
        <f aca="false">SUMIFS(Articles!$F:$F,Articles!$A:$A,A268,Articles!$E:$E,C268)</f>
        <v>3</v>
      </c>
      <c r="E268" s="0" t="n">
        <f aca="false">IF(ABS(D268-ROUND(D268,0))&lt;0.0001,1,0)</f>
        <v>1</v>
      </c>
    </row>
    <row r="269" customFormat="false" ht="15" hidden="false" customHeight="false" outlineLevel="0" collapsed="false">
      <c r="A269" s="0" t="s">
        <v>201</v>
      </c>
      <c r="B269" s="0" t="s">
        <v>202</v>
      </c>
      <c r="C269" s="0" t="s">
        <v>400</v>
      </c>
      <c r="D269" s="0" t="n">
        <f aca="false">SUMIFS(Articles!$F:$F,Articles!$A:$A,A269,Articles!$E:$E,C269)</f>
        <v>1</v>
      </c>
      <c r="E269" s="0" t="n">
        <f aca="false">IF(ABS(D269-ROUND(D269,0))&lt;0.0001,1,0)</f>
        <v>1</v>
      </c>
    </row>
    <row r="270" customFormat="false" ht="15" hidden="false" customHeight="false" outlineLevel="0" collapsed="false">
      <c r="A270" s="0" t="s">
        <v>201</v>
      </c>
      <c r="B270" s="0" t="s">
        <v>202</v>
      </c>
      <c r="C270" s="0" t="s">
        <v>430</v>
      </c>
      <c r="D270" s="0" t="n">
        <f aca="false">SUMIFS(Articles!$F:$F,Articles!$A:$A,A270,Articles!$E:$E,C270)</f>
        <v>1</v>
      </c>
      <c r="E270" s="0" t="n">
        <f aca="false">IF(ABS(D270-ROUND(D270,0))&lt;0.0001,1,0)</f>
        <v>1</v>
      </c>
    </row>
    <row r="271" customFormat="false" ht="15" hidden="false" customHeight="false" outlineLevel="0" collapsed="false">
      <c r="A271" s="0" t="s">
        <v>201</v>
      </c>
      <c r="B271" s="0" t="s">
        <v>202</v>
      </c>
      <c r="C271" s="0" t="s">
        <v>351</v>
      </c>
      <c r="D271" s="0" t="n">
        <f aca="false">SUMIFS(Articles!$F:$F,Articles!$A:$A,A271,Articles!$E:$E,C271)</f>
        <v>1</v>
      </c>
      <c r="E271" s="0" t="n">
        <f aca="false">IF(ABS(D271-ROUND(D271,0))&lt;0.0001,1,0)</f>
        <v>1</v>
      </c>
    </row>
    <row r="272" customFormat="false" ht="15" hidden="false" customHeight="false" outlineLevel="0" collapsed="false">
      <c r="A272" s="0" t="s">
        <v>201</v>
      </c>
      <c r="B272" s="0" t="s">
        <v>202</v>
      </c>
      <c r="C272" s="0" t="s">
        <v>591</v>
      </c>
      <c r="D272" s="0" t="n">
        <f aca="false">SUMIFS(Articles!$F:$F,Articles!$A:$A,A272,Articles!$E:$E,C272)</f>
        <v>1</v>
      </c>
      <c r="E272" s="0" t="n">
        <f aca="false">IF(ABS(D272-ROUND(D272,0))&lt;0.0001,1,0)</f>
        <v>1</v>
      </c>
    </row>
    <row r="273" customFormat="false" ht="15" hidden="false" customHeight="false" outlineLevel="0" collapsed="false">
      <c r="A273" s="0" t="s">
        <v>201</v>
      </c>
      <c r="B273" s="0" t="s">
        <v>202</v>
      </c>
      <c r="C273" s="0" t="s">
        <v>673</v>
      </c>
      <c r="D273" s="0" t="n">
        <f aca="false">SUMIFS(Articles!$F:$F,Articles!$A:$A,A273,Articles!$E:$E,C273)</f>
        <v>1</v>
      </c>
      <c r="E273" s="0" t="n">
        <f aca="false">IF(ABS(D273-ROUND(D273,0))&lt;0.0001,1,0)</f>
        <v>1</v>
      </c>
    </row>
    <row r="274" customFormat="false" ht="15" hidden="false" customHeight="false" outlineLevel="0" collapsed="false">
      <c r="A274" s="0" t="s">
        <v>201</v>
      </c>
      <c r="B274" s="0" t="s">
        <v>202</v>
      </c>
      <c r="C274" s="0" t="s">
        <v>674</v>
      </c>
      <c r="D274" s="0" t="n">
        <f aca="false">SUMIFS(Articles!$F:$F,Articles!$A:$A,A274,Articles!$E:$E,C274)</f>
        <v>1</v>
      </c>
      <c r="E274" s="0" t="n">
        <f aca="false">IF(ABS(D274-ROUND(D274,0))&lt;0.0001,1,0)</f>
        <v>1</v>
      </c>
    </row>
    <row r="275" customFormat="false" ht="15" hidden="false" customHeight="false" outlineLevel="0" collapsed="false">
      <c r="A275" s="0" t="s">
        <v>201</v>
      </c>
      <c r="B275" s="0" t="s">
        <v>202</v>
      </c>
      <c r="C275" s="0" t="s">
        <v>432</v>
      </c>
      <c r="D275" s="0" t="n">
        <f aca="false">SUMIFS(Articles!$F:$F,Articles!$A:$A,A275,Articles!$E:$E,C275)</f>
        <v>1</v>
      </c>
      <c r="E275" s="0" t="n">
        <f aca="false">IF(ABS(D275-ROUND(D275,0))&lt;0.0001,1,0)</f>
        <v>1</v>
      </c>
    </row>
    <row r="276" customFormat="false" ht="15" hidden="false" customHeight="false" outlineLevel="0" collapsed="false">
      <c r="A276" s="0" t="s">
        <v>201</v>
      </c>
      <c r="B276" s="0" t="s">
        <v>202</v>
      </c>
      <c r="C276" s="0" t="s">
        <v>675</v>
      </c>
      <c r="D276" s="0" t="n">
        <f aca="false">SUMIFS(Articles!$F:$F,Articles!$A:$A,A276,Articles!$E:$E,C276)</f>
        <v>1</v>
      </c>
      <c r="E276" s="0" t="n">
        <f aca="false">IF(ABS(D276-ROUND(D276,0))&lt;0.0001,1,0)</f>
        <v>1</v>
      </c>
    </row>
    <row r="277" customFormat="false" ht="15" hidden="false" customHeight="false" outlineLevel="0" collapsed="false">
      <c r="A277" s="0" t="s">
        <v>201</v>
      </c>
      <c r="B277" s="0" t="s">
        <v>202</v>
      </c>
      <c r="C277" s="0" t="s">
        <v>429</v>
      </c>
      <c r="D277" s="0" t="n">
        <f aca="false">SUMIFS(Articles!$F:$F,Articles!$A:$A,A277,Articles!$E:$E,C277)</f>
        <v>1</v>
      </c>
      <c r="E277" s="0" t="n">
        <f aca="false">IF(ABS(D277-ROUND(D277,0))&lt;0.0001,1,0)</f>
        <v>1</v>
      </c>
    </row>
    <row r="278" customFormat="false" ht="15" hidden="false" customHeight="false" outlineLevel="0" collapsed="false">
      <c r="A278" s="0" t="s">
        <v>201</v>
      </c>
      <c r="B278" s="0" t="s">
        <v>202</v>
      </c>
      <c r="C278" s="0" t="s">
        <v>377</v>
      </c>
      <c r="D278" s="0" t="n">
        <f aca="false">SUMIFS(Articles!$F:$F,Articles!$A:$A,A278,Articles!$E:$E,C278)</f>
        <v>1</v>
      </c>
      <c r="E278" s="0" t="n">
        <f aca="false">IF(ABS(D278-ROUND(D278,0))&lt;0.0001,1,0)</f>
        <v>1</v>
      </c>
    </row>
    <row r="279" customFormat="false" ht="15" hidden="false" customHeight="false" outlineLevel="0" collapsed="false">
      <c r="A279" s="0" t="s">
        <v>204</v>
      </c>
      <c r="B279" s="0" t="s">
        <v>205</v>
      </c>
      <c r="C279" s="0" t="s">
        <v>641</v>
      </c>
      <c r="D279" s="0" t="n">
        <f aca="false">SUMIFS(Articles!$F:$F,Articles!$A:$A,A279,Articles!$E:$E,C279)</f>
        <v>1</v>
      </c>
      <c r="E279" s="0" t="n">
        <f aca="false">IF(ABS(D279-ROUND(D279,0))&lt;0.0001,1,0)</f>
        <v>1</v>
      </c>
    </row>
    <row r="280" customFormat="false" ht="15" hidden="false" customHeight="false" outlineLevel="0" collapsed="false">
      <c r="A280" s="0" t="s">
        <v>204</v>
      </c>
      <c r="B280" s="0" t="s">
        <v>205</v>
      </c>
      <c r="C280" s="0" t="s">
        <v>428</v>
      </c>
      <c r="D280" s="0" t="n">
        <f aca="false">SUMIFS(Articles!$F:$F,Articles!$A:$A,A280,Articles!$E:$E,C280)</f>
        <v>2</v>
      </c>
      <c r="E280" s="0" t="n">
        <f aca="false">IF(ABS(D280-ROUND(D280,0))&lt;0.0001,1,0)</f>
        <v>1</v>
      </c>
    </row>
    <row r="281" customFormat="false" ht="15" hidden="false" customHeight="false" outlineLevel="0" collapsed="false">
      <c r="A281" s="0" t="s">
        <v>204</v>
      </c>
      <c r="B281" s="0" t="s">
        <v>205</v>
      </c>
      <c r="C281" s="0" t="s">
        <v>452</v>
      </c>
      <c r="D281" s="0" t="n">
        <f aca="false">SUMIFS(Articles!$F:$F,Articles!$A:$A,A281,Articles!$E:$E,C281)</f>
        <v>2</v>
      </c>
      <c r="E281" s="0" t="n">
        <f aca="false">IF(ABS(D281-ROUND(D281,0))&lt;0.0001,1,0)</f>
        <v>1</v>
      </c>
    </row>
    <row r="282" customFormat="false" ht="15" hidden="false" customHeight="false" outlineLevel="0" collapsed="false">
      <c r="A282" s="0" t="s">
        <v>204</v>
      </c>
      <c r="B282" s="0" t="s">
        <v>205</v>
      </c>
      <c r="C282" s="0" t="s">
        <v>613</v>
      </c>
      <c r="D282" s="0" t="n">
        <f aca="false">SUMIFS(Articles!$F:$F,Articles!$A:$A,A282,Articles!$E:$E,C282)</f>
        <v>2</v>
      </c>
      <c r="E282" s="0" t="n">
        <f aca="false">IF(ABS(D282-ROUND(D282,0))&lt;0.0001,1,0)</f>
        <v>1</v>
      </c>
    </row>
    <row r="283" customFormat="false" ht="15" hidden="false" customHeight="false" outlineLevel="0" collapsed="false">
      <c r="A283" s="0" t="s">
        <v>204</v>
      </c>
      <c r="B283" s="0" t="s">
        <v>205</v>
      </c>
      <c r="C283" s="0" t="s">
        <v>432</v>
      </c>
      <c r="D283" s="0" t="n">
        <f aca="false">SUMIFS(Articles!$F:$F,Articles!$A:$A,A283,Articles!$E:$E,C283)</f>
        <v>1</v>
      </c>
      <c r="E283" s="0" t="n">
        <f aca="false">IF(ABS(D283-ROUND(D283,0))&lt;0.0001,1,0)</f>
        <v>1</v>
      </c>
    </row>
    <row r="284" customFormat="false" ht="15" hidden="false" customHeight="false" outlineLevel="0" collapsed="false">
      <c r="A284" s="0" t="s">
        <v>204</v>
      </c>
      <c r="B284" s="0" t="s">
        <v>205</v>
      </c>
      <c r="C284" s="0" t="s">
        <v>649</v>
      </c>
      <c r="D284" s="0" t="n">
        <f aca="false">SUMIFS(Articles!$F:$F,Articles!$A:$A,A284,Articles!$E:$E,C284)</f>
        <v>1</v>
      </c>
      <c r="E284" s="0" t="n">
        <f aca="false">IF(ABS(D284-ROUND(D284,0))&lt;0.0001,1,0)</f>
        <v>1</v>
      </c>
    </row>
    <row r="285" customFormat="false" ht="15" hidden="false" customHeight="false" outlineLevel="0" collapsed="false">
      <c r="A285" s="0" t="s">
        <v>204</v>
      </c>
      <c r="B285" s="0" t="s">
        <v>205</v>
      </c>
      <c r="C285" s="0" t="s">
        <v>405</v>
      </c>
      <c r="D285" s="0" t="n">
        <f aca="false">SUMIFS(Articles!$F:$F,Articles!$A:$A,A285,Articles!$E:$E,C285)</f>
        <v>6</v>
      </c>
      <c r="E285" s="0" t="n">
        <f aca="false">IF(ABS(D285-ROUND(D285,0))&lt;0.0001,1,0)</f>
        <v>1</v>
      </c>
    </row>
    <row r="286" customFormat="false" ht="15" hidden="false" customHeight="false" outlineLevel="0" collapsed="false">
      <c r="A286" s="0" t="s">
        <v>204</v>
      </c>
      <c r="B286" s="0" t="s">
        <v>205</v>
      </c>
      <c r="C286" s="0" t="s">
        <v>676</v>
      </c>
      <c r="D286" s="0" t="n">
        <f aca="false">SUMIFS(Articles!$F:$F,Articles!$A:$A,A286,Articles!$E:$E,C286)</f>
        <v>1</v>
      </c>
      <c r="E286" s="0" t="n">
        <f aca="false">IF(ABS(D286-ROUND(D286,0))&lt;0.0001,1,0)</f>
        <v>1</v>
      </c>
    </row>
    <row r="287" customFormat="false" ht="15" hidden="false" customHeight="false" outlineLevel="0" collapsed="false">
      <c r="A287" s="0" t="s">
        <v>204</v>
      </c>
      <c r="B287" s="0" t="s">
        <v>205</v>
      </c>
      <c r="C287" s="0" t="s">
        <v>345</v>
      </c>
      <c r="D287" s="0" t="n">
        <f aca="false">SUMIFS(Articles!$F:$F,Articles!$A:$A,A287,Articles!$E:$E,C287)</f>
        <v>3</v>
      </c>
      <c r="E287" s="0" t="n">
        <f aca="false">IF(ABS(D287-ROUND(D287,0))&lt;0.0001,1,0)</f>
        <v>1</v>
      </c>
    </row>
    <row r="288" customFormat="false" ht="15" hidden="false" customHeight="false" outlineLevel="0" collapsed="false">
      <c r="A288" s="0" t="s">
        <v>204</v>
      </c>
      <c r="B288" s="0" t="s">
        <v>205</v>
      </c>
      <c r="C288" s="0" t="s">
        <v>423</v>
      </c>
      <c r="D288" s="0" t="n">
        <f aca="false">SUMIFS(Articles!$F:$F,Articles!$A:$A,A288,Articles!$E:$E,C288)</f>
        <v>1</v>
      </c>
      <c r="E288" s="0" t="n">
        <f aca="false">IF(ABS(D288-ROUND(D288,0))&lt;0.0001,1,0)</f>
        <v>1</v>
      </c>
    </row>
    <row r="289" customFormat="false" ht="15" hidden="false" customHeight="false" outlineLevel="0" collapsed="false">
      <c r="A289" s="0" t="s">
        <v>204</v>
      </c>
      <c r="B289" s="0" t="s">
        <v>205</v>
      </c>
      <c r="C289" s="0" t="s">
        <v>677</v>
      </c>
      <c r="D289" s="0" t="n">
        <f aca="false">SUMIFS(Articles!$F:$F,Articles!$A:$A,A289,Articles!$E:$E,C289)</f>
        <v>1</v>
      </c>
      <c r="E289" s="0" t="n">
        <f aca="false">IF(ABS(D289-ROUND(D289,0))&lt;0.0001,1,0)</f>
        <v>1</v>
      </c>
    </row>
    <row r="290" customFormat="false" ht="15" hidden="false" customHeight="false" outlineLevel="0" collapsed="false">
      <c r="A290" s="0" t="s">
        <v>204</v>
      </c>
      <c r="B290" s="0" t="s">
        <v>205</v>
      </c>
      <c r="C290" s="0" t="s">
        <v>433</v>
      </c>
      <c r="D290" s="0" t="n">
        <f aca="false">SUMIFS(Articles!$F:$F,Articles!$A:$A,A290,Articles!$E:$E,C290)</f>
        <v>1</v>
      </c>
      <c r="E290" s="0" t="n">
        <f aca="false">IF(ABS(D290-ROUND(D290,0))&lt;0.0001,1,0)</f>
        <v>1</v>
      </c>
    </row>
    <row r="291" customFormat="false" ht="15" hidden="false" customHeight="false" outlineLevel="0" collapsed="false">
      <c r="A291" s="0" t="s">
        <v>204</v>
      </c>
      <c r="B291" s="0" t="s">
        <v>205</v>
      </c>
      <c r="C291" s="0" t="s">
        <v>366</v>
      </c>
      <c r="D291" s="0" t="n">
        <f aca="false">SUMIFS(Articles!$F:$F,Articles!$A:$A,A291,Articles!$E:$E,C291)</f>
        <v>3</v>
      </c>
      <c r="E291" s="0" t="n">
        <f aca="false">IF(ABS(D291-ROUND(D291,0))&lt;0.0001,1,0)</f>
        <v>1</v>
      </c>
    </row>
    <row r="292" customFormat="false" ht="15" hidden="false" customHeight="false" outlineLevel="0" collapsed="false">
      <c r="A292" s="0" t="s">
        <v>207</v>
      </c>
      <c r="B292" s="0" t="s">
        <v>208</v>
      </c>
      <c r="C292" s="0" t="s">
        <v>405</v>
      </c>
      <c r="D292" s="0" t="n">
        <f aca="false">SUMIFS(Articles!$F:$F,Articles!$A:$A,A292,Articles!$E:$E,C292)</f>
        <v>1</v>
      </c>
      <c r="E292" s="0" t="n">
        <f aca="false">IF(ABS(D292-ROUND(D292,0))&lt;0.0001,1,0)</f>
        <v>1</v>
      </c>
    </row>
    <row r="293" customFormat="false" ht="15" hidden="false" customHeight="false" outlineLevel="0" collapsed="false">
      <c r="A293" s="0" t="s">
        <v>207</v>
      </c>
      <c r="B293" s="0" t="s">
        <v>208</v>
      </c>
      <c r="C293" s="0" t="s">
        <v>437</v>
      </c>
      <c r="D293" s="0" t="n">
        <f aca="false">SUMIFS(Articles!$F:$F,Articles!$A:$A,A293,Articles!$E:$E,C293)</f>
        <v>1</v>
      </c>
      <c r="E293" s="0" t="n">
        <f aca="false">IF(ABS(D293-ROUND(D293,0))&lt;0.0001,1,0)</f>
        <v>1</v>
      </c>
    </row>
    <row r="294" customFormat="false" ht="15" hidden="false" customHeight="false" outlineLevel="0" collapsed="false">
      <c r="A294" s="0" t="s">
        <v>207</v>
      </c>
      <c r="B294" s="0" t="s">
        <v>208</v>
      </c>
      <c r="C294" s="0" t="s">
        <v>395</v>
      </c>
      <c r="D294" s="0" t="n">
        <f aca="false">SUMIFS(Articles!$F:$F,Articles!$A:$A,A294,Articles!$E:$E,C294)</f>
        <v>1</v>
      </c>
      <c r="E294" s="0" t="n">
        <f aca="false">IF(ABS(D294-ROUND(D294,0))&lt;0.0001,1,0)</f>
        <v>1</v>
      </c>
    </row>
    <row r="295" customFormat="false" ht="15" hidden="false" customHeight="false" outlineLevel="0" collapsed="false">
      <c r="A295" s="0" t="s">
        <v>207</v>
      </c>
      <c r="B295" s="0" t="s">
        <v>208</v>
      </c>
      <c r="C295" s="0" t="s">
        <v>435</v>
      </c>
      <c r="D295" s="0" t="n">
        <f aca="false">SUMIFS(Articles!$F:$F,Articles!$A:$A,A295,Articles!$E:$E,C295)</f>
        <v>1</v>
      </c>
      <c r="E295" s="0" t="n">
        <f aca="false">IF(ABS(D295-ROUND(D295,0))&lt;0.0001,1,0)</f>
        <v>1</v>
      </c>
    </row>
    <row r="296" customFormat="false" ht="15" hidden="false" customHeight="false" outlineLevel="0" collapsed="false">
      <c r="A296" s="0" t="s">
        <v>207</v>
      </c>
      <c r="B296" s="0" t="s">
        <v>208</v>
      </c>
      <c r="C296" s="0" t="s">
        <v>676</v>
      </c>
      <c r="D296" s="0" t="n">
        <f aca="false">SUMIFS(Articles!$F:$F,Articles!$A:$A,A296,Articles!$E:$E,C296)</f>
        <v>1</v>
      </c>
      <c r="E296" s="0" t="n">
        <f aca="false">IF(ABS(D296-ROUND(D296,0))&lt;0.0001,1,0)</f>
        <v>1</v>
      </c>
    </row>
    <row r="297" customFormat="false" ht="15" hidden="false" customHeight="false" outlineLevel="0" collapsed="false">
      <c r="A297" s="0" t="s">
        <v>207</v>
      </c>
      <c r="B297" s="0" t="s">
        <v>208</v>
      </c>
      <c r="C297" s="0" t="s">
        <v>605</v>
      </c>
      <c r="D297" s="0" t="n">
        <f aca="false">SUMIFS(Articles!$F:$F,Articles!$A:$A,A297,Articles!$E:$E,C297)</f>
        <v>2</v>
      </c>
      <c r="E297" s="0" t="n">
        <f aca="false">IF(ABS(D297-ROUND(D297,0))&lt;0.0001,1,0)</f>
        <v>1</v>
      </c>
    </row>
    <row r="298" customFormat="false" ht="15" hidden="false" customHeight="false" outlineLevel="0" collapsed="false">
      <c r="A298" s="0" t="s">
        <v>207</v>
      </c>
      <c r="B298" s="0" t="s">
        <v>208</v>
      </c>
      <c r="C298" s="0" t="s">
        <v>613</v>
      </c>
      <c r="D298" s="0" t="n">
        <f aca="false">SUMIFS(Articles!$F:$F,Articles!$A:$A,A298,Articles!$E:$E,C298)</f>
        <v>2</v>
      </c>
      <c r="E298" s="0" t="n">
        <f aca="false">IF(ABS(D298-ROUND(D298,0))&lt;0.0001,1,0)</f>
        <v>1</v>
      </c>
    </row>
    <row r="299" customFormat="false" ht="15" hidden="false" customHeight="false" outlineLevel="0" collapsed="false">
      <c r="A299" s="0" t="s">
        <v>207</v>
      </c>
      <c r="B299" s="0" t="s">
        <v>208</v>
      </c>
      <c r="C299" s="0" t="s">
        <v>387</v>
      </c>
      <c r="D299" s="0" t="n">
        <f aca="false">SUMIFS(Articles!$F:$F,Articles!$A:$A,A299,Articles!$E:$E,C299)</f>
        <v>1</v>
      </c>
      <c r="E299" s="0" t="n">
        <f aca="false">IF(ABS(D299-ROUND(D299,0))&lt;0.0001,1,0)</f>
        <v>1</v>
      </c>
    </row>
    <row r="300" customFormat="false" ht="15" hidden="false" customHeight="false" outlineLevel="0" collapsed="false">
      <c r="A300" s="0" t="s">
        <v>207</v>
      </c>
      <c r="B300" s="0" t="s">
        <v>208</v>
      </c>
      <c r="C300" s="0" t="s">
        <v>432</v>
      </c>
      <c r="D300" s="0" t="n">
        <f aca="false">SUMIFS(Articles!$F:$F,Articles!$A:$A,A300,Articles!$E:$E,C300)</f>
        <v>1</v>
      </c>
      <c r="E300" s="0" t="n">
        <f aca="false">IF(ABS(D300-ROUND(D300,0))&lt;0.0001,1,0)</f>
        <v>1</v>
      </c>
    </row>
    <row r="301" customFormat="false" ht="15" hidden="false" customHeight="false" outlineLevel="0" collapsed="false">
      <c r="A301" s="0" t="s">
        <v>207</v>
      </c>
      <c r="B301" s="0" t="s">
        <v>208</v>
      </c>
      <c r="C301" s="0" t="s">
        <v>678</v>
      </c>
      <c r="D301" s="0" t="n">
        <f aca="false">SUMIFS(Articles!$F:$F,Articles!$A:$A,A301,Articles!$E:$E,C301)</f>
        <v>3</v>
      </c>
      <c r="E301" s="0" t="n">
        <f aca="false">IF(ABS(D301-ROUND(D301,0))&lt;0.0001,1,0)</f>
        <v>1</v>
      </c>
    </row>
    <row r="302" customFormat="false" ht="15" hidden="false" customHeight="false" outlineLevel="0" collapsed="false">
      <c r="A302" s="0" t="s">
        <v>207</v>
      </c>
      <c r="B302" s="0" t="s">
        <v>208</v>
      </c>
      <c r="C302" s="0" t="s">
        <v>345</v>
      </c>
      <c r="D302" s="0" t="n">
        <f aca="false">SUMIFS(Articles!$F:$F,Articles!$A:$A,A302,Articles!$E:$E,C302)</f>
        <v>2</v>
      </c>
      <c r="E302" s="0" t="n">
        <f aca="false">IF(ABS(D302-ROUND(D302,0))&lt;0.0001,1,0)</f>
        <v>1</v>
      </c>
    </row>
    <row r="303" customFormat="false" ht="15" hidden="false" customHeight="false" outlineLevel="0" collapsed="false">
      <c r="A303" s="0" t="s">
        <v>207</v>
      </c>
      <c r="B303" s="0" t="s">
        <v>208</v>
      </c>
      <c r="C303" s="0" t="s">
        <v>429</v>
      </c>
      <c r="D303" s="0" t="n">
        <f aca="false">SUMIFS(Articles!$F:$F,Articles!$A:$A,A303,Articles!$E:$E,C303)</f>
        <v>2</v>
      </c>
      <c r="E303" s="0" t="n">
        <f aca="false">IF(ABS(D303-ROUND(D303,0))&lt;0.0001,1,0)</f>
        <v>1</v>
      </c>
    </row>
    <row r="304" customFormat="false" ht="15" hidden="false" customHeight="false" outlineLevel="0" collapsed="false">
      <c r="A304" s="0" t="s">
        <v>210</v>
      </c>
      <c r="B304" s="0" t="s">
        <v>211</v>
      </c>
      <c r="C304" s="0" t="s">
        <v>679</v>
      </c>
      <c r="D304" s="0" t="n">
        <f aca="false">SUMIFS(Articles!$F:$F,Articles!$A:$A,A304,Articles!$E:$E,C304)</f>
        <v>2</v>
      </c>
      <c r="E304" s="0" t="n">
        <f aca="false">IF(ABS(D304-ROUND(D304,0))&lt;0.0001,1,0)</f>
        <v>1</v>
      </c>
    </row>
    <row r="305" customFormat="false" ht="15" hidden="false" customHeight="false" outlineLevel="0" collapsed="false">
      <c r="A305" s="0" t="s">
        <v>210</v>
      </c>
      <c r="B305" s="0" t="s">
        <v>211</v>
      </c>
      <c r="C305" s="0" t="s">
        <v>680</v>
      </c>
      <c r="D305" s="0" t="n">
        <f aca="false">SUMIFS(Articles!$F:$F,Articles!$A:$A,A305,Articles!$E:$E,C305)</f>
        <v>1</v>
      </c>
      <c r="E305" s="0" t="n">
        <f aca="false">IF(ABS(D305-ROUND(D305,0))&lt;0.0001,1,0)</f>
        <v>1</v>
      </c>
    </row>
    <row r="306" customFormat="false" ht="15" hidden="false" customHeight="false" outlineLevel="0" collapsed="false">
      <c r="A306" s="0" t="s">
        <v>210</v>
      </c>
      <c r="B306" s="0" t="s">
        <v>211</v>
      </c>
      <c r="C306" s="0" t="s">
        <v>441</v>
      </c>
      <c r="D306" s="0" t="n">
        <f aca="false">SUMIFS(Articles!$F:$F,Articles!$A:$A,A306,Articles!$E:$E,C306)</f>
        <v>1</v>
      </c>
      <c r="E306" s="0" t="n">
        <f aca="false">IF(ABS(D306-ROUND(D306,0))&lt;0.0001,1,0)</f>
        <v>1</v>
      </c>
    </row>
    <row r="307" customFormat="false" ht="15" hidden="false" customHeight="false" outlineLevel="0" collapsed="false">
      <c r="A307" s="0" t="s">
        <v>210</v>
      </c>
      <c r="B307" s="0" t="s">
        <v>211</v>
      </c>
      <c r="C307" s="0" t="s">
        <v>395</v>
      </c>
      <c r="D307" s="0" t="n">
        <f aca="false">SUMIFS(Articles!$F:$F,Articles!$A:$A,A307,Articles!$E:$E,C307)</f>
        <v>1</v>
      </c>
      <c r="E307" s="0" t="n">
        <f aca="false">IF(ABS(D307-ROUND(D307,0))&lt;0.0001,1,0)</f>
        <v>1</v>
      </c>
    </row>
    <row r="308" customFormat="false" ht="15" hidden="false" customHeight="false" outlineLevel="0" collapsed="false">
      <c r="A308" s="0" t="s">
        <v>210</v>
      </c>
      <c r="B308" s="0" t="s">
        <v>211</v>
      </c>
      <c r="C308" s="0" t="s">
        <v>590</v>
      </c>
      <c r="D308" s="0" t="n">
        <f aca="false">SUMIFS(Articles!$F:$F,Articles!$A:$A,A308,Articles!$E:$E,C308)</f>
        <v>1</v>
      </c>
      <c r="E308" s="0" t="n">
        <f aca="false">IF(ABS(D308-ROUND(D308,0))&lt;0.0001,1,0)</f>
        <v>1</v>
      </c>
    </row>
    <row r="309" customFormat="false" ht="15" hidden="false" customHeight="false" outlineLevel="0" collapsed="false">
      <c r="A309" s="0" t="s">
        <v>210</v>
      </c>
      <c r="B309" s="0" t="s">
        <v>211</v>
      </c>
      <c r="C309" s="0" t="s">
        <v>636</v>
      </c>
      <c r="D309" s="0" t="n">
        <f aca="false">SUMIFS(Articles!$F:$F,Articles!$A:$A,A309,Articles!$E:$E,C309)</f>
        <v>1</v>
      </c>
      <c r="E309" s="0" t="n">
        <f aca="false">IF(ABS(D309-ROUND(D309,0))&lt;0.0001,1,0)</f>
        <v>1</v>
      </c>
    </row>
    <row r="310" customFormat="false" ht="15" hidden="false" customHeight="false" outlineLevel="0" collapsed="false">
      <c r="A310" s="0" t="s">
        <v>210</v>
      </c>
      <c r="B310" s="0" t="s">
        <v>211</v>
      </c>
      <c r="C310" s="0" t="s">
        <v>425</v>
      </c>
      <c r="D310" s="0" t="n">
        <f aca="false">SUMIFS(Articles!$F:$F,Articles!$A:$A,A310,Articles!$E:$E,C310)</f>
        <v>1</v>
      </c>
      <c r="E310" s="0" t="n">
        <f aca="false">IF(ABS(D310-ROUND(D310,0))&lt;0.0001,1,0)</f>
        <v>1</v>
      </c>
    </row>
    <row r="311" customFormat="false" ht="15" hidden="false" customHeight="false" outlineLevel="0" collapsed="false">
      <c r="A311" s="0" t="s">
        <v>210</v>
      </c>
      <c r="B311" s="0" t="s">
        <v>211</v>
      </c>
      <c r="C311" s="0" t="s">
        <v>624</v>
      </c>
      <c r="D311" s="0" t="n">
        <f aca="false">SUMIFS(Articles!$F:$F,Articles!$A:$A,A311,Articles!$E:$E,C311)</f>
        <v>1</v>
      </c>
      <c r="E311" s="0" t="n">
        <f aca="false">IF(ABS(D311-ROUND(D311,0))&lt;0.0001,1,0)</f>
        <v>1</v>
      </c>
    </row>
    <row r="312" customFormat="false" ht="15" hidden="false" customHeight="false" outlineLevel="0" collapsed="false">
      <c r="A312" s="0" t="s">
        <v>210</v>
      </c>
      <c r="B312" s="0" t="s">
        <v>211</v>
      </c>
      <c r="C312" s="0" t="s">
        <v>642</v>
      </c>
      <c r="D312" s="0" t="n">
        <f aca="false">SUMIFS(Articles!$F:$F,Articles!$A:$A,A312,Articles!$E:$E,C312)</f>
        <v>1</v>
      </c>
      <c r="E312" s="0" t="n">
        <f aca="false">IF(ABS(D312-ROUND(D312,0))&lt;0.0001,1,0)</f>
        <v>1</v>
      </c>
    </row>
    <row r="313" customFormat="false" ht="15" hidden="false" customHeight="false" outlineLevel="0" collapsed="false">
      <c r="A313" s="0" t="s">
        <v>213</v>
      </c>
      <c r="B313" s="0" t="s">
        <v>214</v>
      </c>
      <c r="C313" s="0" t="s">
        <v>681</v>
      </c>
      <c r="D313" s="0" t="n">
        <f aca="false">SUMIFS(Articles!$F:$F,Articles!$A:$A,A313,Articles!$E:$E,C313)</f>
        <v>1</v>
      </c>
      <c r="E313" s="0" t="n">
        <f aca="false">IF(ABS(D313-ROUND(D313,0))&lt;0.0001,1,0)</f>
        <v>1</v>
      </c>
    </row>
    <row r="314" customFormat="false" ht="15" hidden="false" customHeight="false" outlineLevel="0" collapsed="false">
      <c r="A314" s="0" t="s">
        <v>213</v>
      </c>
      <c r="B314" s="0" t="s">
        <v>214</v>
      </c>
      <c r="C314" s="0" t="s">
        <v>644</v>
      </c>
      <c r="D314" s="0" t="n">
        <f aca="false">SUMIFS(Articles!$F:$F,Articles!$A:$A,A314,Articles!$E:$E,C314)</f>
        <v>2</v>
      </c>
      <c r="E314" s="0" t="n">
        <f aca="false">IF(ABS(D314-ROUND(D314,0))&lt;0.0001,1,0)</f>
        <v>1</v>
      </c>
    </row>
    <row r="315" customFormat="false" ht="15" hidden="false" customHeight="false" outlineLevel="0" collapsed="false">
      <c r="A315" s="0" t="s">
        <v>213</v>
      </c>
      <c r="B315" s="0" t="s">
        <v>214</v>
      </c>
      <c r="C315" s="0" t="s">
        <v>382</v>
      </c>
      <c r="D315" s="0" t="n">
        <f aca="false">SUMIFS(Articles!$F:$F,Articles!$A:$A,A315,Articles!$E:$E,C315)</f>
        <v>1</v>
      </c>
      <c r="E315" s="0" t="n">
        <f aca="false">IF(ABS(D315-ROUND(D315,0))&lt;0.0001,1,0)</f>
        <v>1</v>
      </c>
    </row>
    <row r="316" customFormat="false" ht="15" hidden="false" customHeight="false" outlineLevel="0" collapsed="false">
      <c r="A316" s="0" t="s">
        <v>213</v>
      </c>
      <c r="B316" s="0" t="s">
        <v>214</v>
      </c>
      <c r="C316" s="0" t="s">
        <v>652</v>
      </c>
      <c r="D316" s="0" t="n">
        <f aca="false">SUMIFS(Articles!$F:$F,Articles!$A:$A,A316,Articles!$E:$E,C316)</f>
        <v>1</v>
      </c>
      <c r="E316" s="0" t="n">
        <f aca="false">IF(ABS(D316-ROUND(D316,0))&lt;0.0001,1,0)</f>
        <v>1</v>
      </c>
    </row>
    <row r="317" customFormat="false" ht="15" hidden="false" customHeight="false" outlineLevel="0" collapsed="false">
      <c r="A317" s="0" t="s">
        <v>213</v>
      </c>
      <c r="B317" s="0" t="s">
        <v>214</v>
      </c>
      <c r="C317" s="0" t="s">
        <v>605</v>
      </c>
      <c r="D317" s="0" t="n">
        <f aca="false">SUMIFS(Articles!$F:$F,Articles!$A:$A,A317,Articles!$E:$E,C317)</f>
        <v>2</v>
      </c>
      <c r="E317" s="0" t="n">
        <f aca="false">IF(ABS(D317-ROUND(D317,0))&lt;0.0001,1,0)</f>
        <v>1</v>
      </c>
    </row>
    <row r="318" customFormat="false" ht="15" hidden="false" customHeight="false" outlineLevel="0" collapsed="false">
      <c r="A318" s="0" t="s">
        <v>213</v>
      </c>
      <c r="B318" s="0" t="s">
        <v>214</v>
      </c>
      <c r="C318" s="0" t="s">
        <v>650</v>
      </c>
      <c r="D318" s="0" t="n">
        <f aca="false">SUMIFS(Articles!$F:$F,Articles!$A:$A,A318,Articles!$E:$E,C318)</f>
        <v>1</v>
      </c>
      <c r="E318" s="0" t="n">
        <f aca="false">IF(ABS(D318-ROUND(D318,0))&lt;0.0001,1,0)</f>
        <v>1</v>
      </c>
    </row>
    <row r="319" customFormat="false" ht="15" hidden="false" customHeight="false" outlineLevel="0" collapsed="false">
      <c r="A319" s="0" t="s">
        <v>213</v>
      </c>
      <c r="B319" s="0" t="s">
        <v>214</v>
      </c>
      <c r="C319" s="0" t="s">
        <v>392</v>
      </c>
      <c r="D319" s="0" t="n">
        <f aca="false">SUMIFS(Articles!$F:$F,Articles!$A:$A,A319,Articles!$E:$E,C319)</f>
        <v>1</v>
      </c>
      <c r="E319" s="0" t="n">
        <f aca="false">IF(ABS(D319-ROUND(D319,0))&lt;0.0001,1,0)</f>
        <v>1</v>
      </c>
    </row>
    <row r="320" customFormat="false" ht="15" hidden="false" customHeight="false" outlineLevel="0" collapsed="false">
      <c r="A320" s="0" t="s">
        <v>213</v>
      </c>
      <c r="B320" s="0" t="s">
        <v>214</v>
      </c>
      <c r="C320" s="0" t="s">
        <v>637</v>
      </c>
      <c r="D320" s="0" t="n">
        <f aca="false">SUMIFS(Articles!$F:$F,Articles!$A:$A,A320,Articles!$E:$E,C320)</f>
        <v>1</v>
      </c>
      <c r="E320" s="0" t="n">
        <f aca="false">IF(ABS(D320-ROUND(D320,0))&lt;0.0001,1,0)</f>
        <v>1</v>
      </c>
    </row>
    <row r="321" customFormat="false" ht="15" hidden="false" customHeight="false" outlineLevel="0" collapsed="false">
      <c r="A321" s="0" t="s">
        <v>213</v>
      </c>
      <c r="B321" s="0" t="s">
        <v>214</v>
      </c>
      <c r="C321" s="0" t="s">
        <v>638</v>
      </c>
      <c r="D321" s="0" t="n">
        <f aca="false">SUMIFS(Articles!$F:$F,Articles!$A:$A,A321,Articles!$E:$E,C321)</f>
        <v>1</v>
      </c>
      <c r="E321" s="0" t="n">
        <f aca="false">IF(ABS(D321-ROUND(D321,0))&lt;0.0001,1,0)</f>
        <v>1</v>
      </c>
    </row>
    <row r="322" customFormat="false" ht="15" hidden="false" customHeight="false" outlineLevel="0" collapsed="false">
      <c r="A322" s="0" t="s">
        <v>213</v>
      </c>
      <c r="B322" s="0" t="s">
        <v>214</v>
      </c>
      <c r="C322" s="0" t="s">
        <v>358</v>
      </c>
      <c r="D322" s="0" t="n">
        <f aca="false">SUMIFS(Articles!$F:$F,Articles!$A:$A,A322,Articles!$E:$E,C322)</f>
        <v>2</v>
      </c>
      <c r="E322" s="0" t="n">
        <f aca="false">IF(ABS(D322-ROUND(D322,0))&lt;0.0001,1,0)</f>
        <v>1</v>
      </c>
    </row>
    <row r="323" customFormat="false" ht="15" hidden="false" customHeight="false" outlineLevel="0" collapsed="false">
      <c r="A323" s="0" t="s">
        <v>213</v>
      </c>
      <c r="B323" s="0" t="s">
        <v>214</v>
      </c>
      <c r="C323" s="0" t="s">
        <v>429</v>
      </c>
      <c r="D323" s="0" t="n">
        <f aca="false">SUMIFS(Articles!$F:$F,Articles!$A:$A,A323,Articles!$E:$E,C323)</f>
        <v>1</v>
      </c>
      <c r="E323" s="0" t="n">
        <f aca="false">IF(ABS(D323-ROUND(D323,0))&lt;0.0001,1,0)</f>
        <v>1</v>
      </c>
    </row>
    <row r="324" customFormat="false" ht="15" hidden="false" customHeight="false" outlineLevel="0" collapsed="false">
      <c r="A324" s="0" t="s">
        <v>213</v>
      </c>
      <c r="B324" s="0" t="s">
        <v>214</v>
      </c>
      <c r="C324" s="0" t="s">
        <v>658</v>
      </c>
      <c r="D324" s="0" t="n">
        <f aca="false">SUMIFS(Articles!$F:$F,Articles!$A:$A,A324,Articles!$E:$E,C324)</f>
        <v>2</v>
      </c>
      <c r="E324" s="0" t="n">
        <f aca="false">IF(ABS(D324-ROUND(D324,0))&lt;0.0001,1,0)</f>
        <v>1</v>
      </c>
    </row>
    <row r="325" customFormat="false" ht="15" hidden="false" customHeight="false" outlineLevel="0" collapsed="false">
      <c r="A325" s="0" t="s">
        <v>213</v>
      </c>
      <c r="B325" s="0" t="s">
        <v>214</v>
      </c>
      <c r="C325" s="0" t="s">
        <v>682</v>
      </c>
      <c r="D325" s="0" t="n">
        <f aca="false">SUMIFS(Articles!$F:$F,Articles!$A:$A,A325,Articles!$E:$E,C325)</f>
        <v>2</v>
      </c>
      <c r="E325" s="0" t="n">
        <f aca="false">IF(ABS(D325-ROUND(D325,0))&lt;0.0001,1,0)</f>
        <v>1</v>
      </c>
    </row>
    <row r="326" customFormat="false" ht="15" hidden="false" customHeight="false" outlineLevel="0" collapsed="false">
      <c r="A326" s="0" t="s">
        <v>216</v>
      </c>
      <c r="B326" s="0" t="s">
        <v>217</v>
      </c>
      <c r="C326" s="0" t="s">
        <v>587</v>
      </c>
      <c r="D326" s="0" t="n">
        <f aca="false">SUMIFS(Articles!$F:$F,Articles!$A:$A,A326,Articles!$E:$E,C326)</f>
        <v>1</v>
      </c>
      <c r="E326" s="0" t="n">
        <f aca="false">IF(ABS(D326-ROUND(D326,0))&lt;0.0001,1,0)</f>
        <v>1</v>
      </c>
    </row>
    <row r="327" customFormat="false" ht="15" hidden="false" customHeight="false" outlineLevel="0" collapsed="false">
      <c r="A327" s="0" t="s">
        <v>216</v>
      </c>
      <c r="B327" s="0" t="s">
        <v>217</v>
      </c>
      <c r="C327" s="0" t="s">
        <v>364</v>
      </c>
      <c r="D327" s="0" t="n">
        <f aca="false">SUMIFS(Articles!$F:$F,Articles!$A:$A,A327,Articles!$E:$E,C327)</f>
        <v>1</v>
      </c>
      <c r="E327" s="0" t="n">
        <f aca="false">IF(ABS(D327-ROUND(D327,0))&lt;0.0001,1,0)</f>
        <v>1</v>
      </c>
    </row>
    <row r="328" customFormat="false" ht="15" hidden="false" customHeight="false" outlineLevel="0" collapsed="false">
      <c r="A328" s="0" t="s">
        <v>216</v>
      </c>
      <c r="B328" s="0" t="s">
        <v>217</v>
      </c>
      <c r="C328" s="0" t="s">
        <v>444</v>
      </c>
      <c r="D328" s="0" t="n">
        <f aca="false">SUMIFS(Articles!$F:$F,Articles!$A:$A,A328,Articles!$E:$E,C328)</f>
        <v>1</v>
      </c>
      <c r="E328" s="0" t="n">
        <f aca="false">IF(ABS(D328-ROUND(D328,0))&lt;0.0001,1,0)</f>
        <v>1</v>
      </c>
    </row>
    <row r="329" customFormat="false" ht="15" hidden="false" customHeight="false" outlineLevel="0" collapsed="false">
      <c r="A329" s="0" t="s">
        <v>216</v>
      </c>
      <c r="B329" s="0" t="s">
        <v>217</v>
      </c>
      <c r="C329" s="0" t="s">
        <v>406</v>
      </c>
      <c r="D329" s="0" t="n">
        <f aca="false">SUMIFS(Articles!$F:$F,Articles!$A:$A,A329,Articles!$E:$E,C329)</f>
        <v>1</v>
      </c>
      <c r="E329" s="0" t="n">
        <f aca="false">IF(ABS(D329-ROUND(D329,0))&lt;0.0001,1,0)</f>
        <v>1</v>
      </c>
    </row>
    <row r="330" customFormat="false" ht="15" hidden="false" customHeight="false" outlineLevel="0" collapsed="false">
      <c r="A330" s="0" t="s">
        <v>216</v>
      </c>
      <c r="B330" s="0" t="s">
        <v>217</v>
      </c>
      <c r="C330" s="0" t="s">
        <v>425</v>
      </c>
      <c r="D330" s="0" t="n">
        <f aca="false">SUMIFS(Articles!$F:$F,Articles!$A:$A,A330,Articles!$E:$E,C330)</f>
        <v>1</v>
      </c>
      <c r="E330" s="0" t="n">
        <f aca="false">IF(ABS(D330-ROUND(D330,0))&lt;0.0001,1,0)</f>
        <v>1</v>
      </c>
    </row>
    <row r="331" customFormat="false" ht="15" hidden="false" customHeight="false" outlineLevel="0" collapsed="false">
      <c r="A331" s="0" t="s">
        <v>216</v>
      </c>
      <c r="B331" s="0" t="s">
        <v>217</v>
      </c>
      <c r="C331" s="0" t="s">
        <v>445</v>
      </c>
      <c r="D331" s="0" t="n">
        <f aca="false">SUMIFS(Articles!$F:$F,Articles!$A:$A,A331,Articles!$E:$E,C331)</f>
        <v>1</v>
      </c>
      <c r="E331" s="0" t="n">
        <f aca="false">IF(ABS(D331-ROUND(D331,0))&lt;0.0001,1,0)</f>
        <v>1</v>
      </c>
    </row>
    <row r="332" customFormat="false" ht="15" hidden="false" customHeight="false" outlineLevel="0" collapsed="false">
      <c r="A332" s="0" t="s">
        <v>216</v>
      </c>
      <c r="B332" s="0" t="s">
        <v>217</v>
      </c>
      <c r="C332" s="0" t="s">
        <v>637</v>
      </c>
      <c r="D332" s="0" t="n">
        <f aca="false">SUMIFS(Articles!$F:$F,Articles!$A:$A,A332,Articles!$E:$E,C332)</f>
        <v>2</v>
      </c>
      <c r="E332" s="0" t="n">
        <f aca="false">IF(ABS(D332-ROUND(D332,0))&lt;0.0001,1,0)</f>
        <v>1</v>
      </c>
    </row>
    <row r="333" customFormat="false" ht="15" hidden="false" customHeight="false" outlineLevel="0" collapsed="false">
      <c r="A333" s="0" t="s">
        <v>216</v>
      </c>
      <c r="B333" s="0" t="s">
        <v>217</v>
      </c>
      <c r="C333" s="0" t="s">
        <v>654</v>
      </c>
      <c r="D333" s="0" t="n">
        <f aca="false">SUMIFS(Articles!$F:$F,Articles!$A:$A,A333,Articles!$E:$E,C333)</f>
        <v>1</v>
      </c>
      <c r="E333" s="0" t="n">
        <f aca="false">IF(ABS(D333-ROUND(D333,0))&lt;0.0001,1,0)</f>
        <v>1</v>
      </c>
    </row>
    <row r="334" customFormat="false" ht="15" hidden="false" customHeight="false" outlineLevel="0" collapsed="false">
      <c r="A334" s="0" t="s">
        <v>219</v>
      </c>
      <c r="B334" s="0" t="s">
        <v>220</v>
      </c>
      <c r="C334" s="0" t="s">
        <v>405</v>
      </c>
      <c r="D334" s="0" t="n">
        <f aca="false">SUMIFS(Articles!$F:$F,Articles!$A:$A,A334,Articles!$E:$E,C334)</f>
        <v>1</v>
      </c>
      <c r="E334" s="0" t="n">
        <f aca="false">IF(ABS(D334-ROUND(D334,0))&lt;0.0001,1,0)</f>
        <v>1</v>
      </c>
    </row>
    <row r="335" customFormat="false" ht="15" hidden="false" customHeight="false" outlineLevel="0" collapsed="false">
      <c r="A335" s="0" t="s">
        <v>219</v>
      </c>
      <c r="B335" s="0" t="s">
        <v>220</v>
      </c>
      <c r="C335" s="0" t="s">
        <v>607</v>
      </c>
      <c r="D335" s="0" t="n">
        <f aca="false">SUMIFS(Articles!$F:$F,Articles!$A:$A,A335,Articles!$E:$E,C335)</f>
        <v>1</v>
      </c>
      <c r="E335" s="0" t="n">
        <f aca="false">IF(ABS(D335-ROUND(D335,0))&lt;0.0001,1,0)</f>
        <v>1</v>
      </c>
    </row>
    <row r="336" customFormat="false" ht="15" hidden="false" customHeight="false" outlineLevel="0" collapsed="false">
      <c r="A336" s="0" t="s">
        <v>219</v>
      </c>
      <c r="B336" s="0" t="s">
        <v>220</v>
      </c>
      <c r="C336" s="0" t="s">
        <v>683</v>
      </c>
      <c r="D336" s="0" t="n">
        <f aca="false">SUMIFS(Articles!$F:$F,Articles!$A:$A,A336,Articles!$E:$E,C336)</f>
        <v>1</v>
      </c>
      <c r="E336" s="0" t="n">
        <f aca="false">IF(ABS(D336-ROUND(D336,0))&lt;0.0001,1,0)</f>
        <v>1</v>
      </c>
    </row>
    <row r="337" customFormat="false" ht="15" hidden="false" customHeight="false" outlineLevel="0" collapsed="false">
      <c r="A337" s="0" t="s">
        <v>219</v>
      </c>
      <c r="B337" s="0" t="s">
        <v>220</v>
      </c>
      <c r="C337" s="0" t="s">
        <v>395</v>
      </c>
      <c r="D337" s="0" t="n">
        <f aca="false">SUMIFS(Articles!$F:$F,Articles!$A:$A,A337,Articles!$E:$E,C337)</f>
        <v>1</v>
      </c>
      <c r="E337" s="0" t="n">
        <f aca="false">IF(ABS(D337-ROUND(D337,0))&lt;0.0001,1,0)</f>
        <v>1</v>
      </c>
    </row>
    <row r="338" customFormat="false" ht="15" hidden="false" customHeight="false" outlineLevel="0" collapsed="false">
      <c r="A338" s="0" t="s">
        <v>219</v>
      </c>
      <c r="B338" s="0" t="s">
        <v>220</v>
      </c>
      <c r="C338" s="0" t="s">
        <v>684</v>
      </c>
      <c r="D338" s="0" t="n">
        <f aca="false">SUMIFS(Articles!$F:$F,Articles!$A:$A,A338,Articles!$E:$E,C338)</f>
        <v>1</v>
      </c>
      <c r="E338" s="0" t="n">
        <f aca="false">IF(ABS(D338-ROUND(D338,0))&lt;0.0001,1,0)</f>
        <v>1</v>
      </c>
    </row>
    <row r="339" customFormat="false" ht="15" hidden="false" customHeight="false" outlineLevel="0" collapsed="false">
      <c r="A339" s="0" t="s">
        <v>219</v>
      </c>
      <c r="B339" s="0" t="s">
        <v>220</v>
      </c>
      <c r="C339" s="0" t="s">
        <v>685</v>
      </c>
      <c r="D339" s="0" t="n">
        <f aca="false">SUMIFS(Articles!$F:$F,Articles!$A:$A,A339,Articles!$E:$E,C339)</f>
        <v>9</v>
      </c>
      <c r="E339" s="0" t="n">
        <f aca="false">IF(ABS(D339-ROUND(D339,0))&lt;0.0001,1,0)</f>
        <v>1</v>
      </c>
    </row>
    <row r="340" customFormat="false" ht="15" hidden="false" customHeight="false" outlineLevel="0" collapsed="false">
      <c r="A340" s="0" t="s">
        <v>219</v>
      </c>
      <c r="B340" s="0" t="s">
        <v>220</v>
      </c>
      <c r="C340" s="0" t="s">
        <v>350</v>
      </c>
      <c r="D340" s="0" t="n">
        <f aca="false">SUMIFS(Articles!$F:$F,Articles!$A:$A,A340,Articles!$E:$E,C340)</f>
        <v>1</v>
      </c>
      <c r="E340" s="0" t="n">
        <f aca="false">IF(ABS(D340-ROUND(D340,0))&lt;0.0001,1,0)</f>
        <v>1</v>
      </c>
    </row>
    <row r="341" customFormat="false" ht="15" hidden="false" customHeight="false" outlineLevel="0" collapsed="false">
      <c r="A341" s="0" t="s">
        <v>219</v>
      </c>
      <c r="B341" s="0" t="s">
        <v>220</v>
      </c>
      <c r="C341" s="0" t="s">
        <v>631</v>
      </c>
      <c r="D341" s="0" t="n">
        <f aca="false">SUMIFS(Articles!$F:$F,Articles!$A:$A,A341,Articles!$E:$E,C341)</f>
        <v>1</v>
      </c>
      <c r="E341" s="0" t="n">
        <f aca="false">IF(ABS(D341-ROUND(D341,0))&lt;0.0001,1,0)</f>
        <v>1</v>
      </c>
    </row>
    <row r="342" customFormat="false" ht="15" hidden="false" customHeight="false" outlineLevel="0" collapsed="false">
      <c r="A342" s="0" t="s">
        <v>219</v>
      </c>
      <c r="B342" s="0" t="s">
        <v>220</v>
      </c>
      <c r="C342" s="0" t="s">
        <v>425</v>
      </c>
      <c r="D342" s="0" t="n">
        <f aca="false">SUMIFS(Articles!$F:$F,Articles!$A:$A,A342,Articles!$E:$E,C342)</f>
        <v>2</v>
      </c>
      <c r="E342" s="0" t="n">
        <f aca="false">IF(ABS(D342-ROUND(D342,0))&lt;0.0001,1,0)</f>
        <v>1</v>
      </c>
    </row>
    <row r="343" customFormat="false" ht="15" hidden="false" customHeight="false" outlineLevel="0" collapsed="false">
      <c r="A343" s="0" t="s">
        <v>219</v>
      </c>
      <c r="B343" s="0" t="s">
        <v>220</v>
      </c>
      <c r="C343" s="0" t="s">
        <v>686</v>
      </c>
      <c r="D343" s="0" t="n">
        <f aca="false">SUMIFS(Articles!$F:$F,Articles!$A:$A,A343,Articles!$E:$E,C343)</f>
        <v>1</v>
      </c>
      <c r="E343" s="0" t="n">
        <f aca="false">IF(ABS(D343-ROUND(D343,0))&lt;0.0001,1,0)</f>
        <v>1</v>
      </c>
    </row>
    <row r="344" customFormat="false" ht="15" hidden="false" customHeight="false" outlineLevel="0" collapsed="false">
      <c r="A344" s="0" t="s">
        <v>219</v>
      </c>
      <c r="B344" s="0" t="s">
        <v>220</v>
      </c>
      <c r="C344" s="0" t="s">
        <v>447</v>
      </c>
      <c r="D344" s="0" t="n">
        <f aca="false">SUMIFS(Articles!$F:$F,Articles!$A:$A,A344,Articles!$E:$E,C344)</f>
        <v>1</v>
      </c>
      <c r="E344" s="0" t="n">
        <f aca="false">IF(ABS(D344-ROUND(D344,0))&lt;0.0001,1,0)</f>
        <v>1</v>
      </c>
    </row>
    <row r="345" customFormat="false" ht="15" hidden="false" customHeight="false" outlineLevel="0" collapsed="false">
      <c r="A345" s="0" t="s">
        <v>219</v>
      </c>
      <c r="B345" s="0" t="s">
        <v>220</v>
      </c>
      <c r="C345" s="0" t="s">
        <v>441</v>
      </c>
      <c r="D345" s="0" t="n">
        <f aca="false">SUMIFS(Articles!$F:$F,Articles!$A:$A,A345,Articles!$E:$E,C345)</f>
        <v>1</v>
      </c>
      <c r="E345" s="0" t="n">
        <f aca="false">IF(ABS(D345-ROUND(D345,0))&lt;0.0001,1,0)</f>
        <v>1</v>
      </c>
    </row>
    <row r="346" customFormat="false" ht="15" hidden="false" customHeight="false" outlineLevel="0" collapsed="false">
      <c r="A346" s="0" t="s">
        <v>219</v>
      </c>
      <c r="B346" s="0" t="s">
        <v>220</v>
      </c>
      <c r="C346" s="0" t="s">
        <v>366</v>
      </c>
      <c r="D346" s="0" t="n">
        <f aca="false">SUMIFS(Articles!$F:$F,Articles!$A:$A,A346,Articles!$E:$E,C346)</f>
        <v>7</v>
      </c>
      <c r="E346" s="0" t="n">
        <f aca="false">IF(ABS(D346-ROUND(D346,0))&lt;0.0001,1,0)</f>
        <v>1</v>
      </c>
    </row>
    <row r="347" customFormat="false" ht="15" hidden="false" customHeight="false" outlineLevel="0" collapsed="false">
      <c r="A347" s="0" t="s">
        <v>219</v>
      </c>
      <c r="B347" s="0" t="s">
        <v>220</v>
      </c>
      <c r="C347" s="0" t="s">
        <v>368</v>
      </c>
      <c r="D347" s="0" t="n">
        <f aca="false">SUMIFS(Articles!$F:$F,Articles!$A:$A,A347,Articles!$E:$E,C347)</f>
        <v>1</v>
      </c>
      <c r="E347" s="0" t="n">
        <f aca="false">IF(ABS(D347-ROUND(D347,0))&lt;0.0001,1,0)</f>
        <v>1</v>
      </c>
    </row>
    <row r="348" customFormat="false" ht="15" hidden="false" customHeight="false" outlineLevel="0" collapsed="false">
      <c r="A348" s="0" t="s">
        <v>219</v>
      </c>
      <c r="B348" s="0" t="s">
        <v>220</v>
      </c>
      <c r="C348" s="0" t="s">
        <v>382</v>
      </c>
      <c r="D348" s="0" t="n">
        <f aca="false">SUMIFS(Articles!$F:$F,Articles!$A:$A,A348,Articles!$E:$E,C348)</f>
        <v>1</v>
      </c>
      <c r="E348" s="0" t="n">
        <f aca="false">IF(ABS(D348-ROUND(D348,0))&lt;0.0001,1,0)</f>
        <v>1</v>
      </c>
    </row>
    <row r="349" customFormat="false" ht="15" hidden="false" customHeight="false" outlineLevel="0" collapsed="false">
      <c r="A349" s="0" t="s">
        <v>219</v>
      </c>
      <c r="B349" s="0" t="s">
        <v>220</v>
      </c>
      <c r="C349" s="0" t="s">
        <v>450</v>
      </c>
      <c r="D349" s="0" t="n">
        <f aca="false">SUMIFS(Articles!$F:$F,Articles!$A:$A,A349,Articles!$E:$E,C349)</f>
        <v>1</v>
      </c>
      <c r="E349" s="0" t="n">
        <f aca="false">IF(ABS(D349-ROUND(D349,0))&lt;0.0001,1,0)</f>
        <v>1</v>
      </c>
    </row>
    <row r="350" customFormat="false" ht="15" hidden="false" customHeight="false" outlineLevel="0" collapsed="false">
      <c r="A350" s="0" t="s">
        <v>219</v>
      </c>
      <c r="B350" s="0" t="s">
        <v>220</v>
      </c>
      <c r="C350" s="0" t="s">
        <v>392</v>
      </c>
      <c r="D350" s="0" t="n">
        <f aca="false">SUMIFS(Articles!$F:$F,Articles!$A:$A,A350,Articles!$E:$E,C350)</f>
        <v>1</v>
      </c>
      <c r="E350" s="0" t="n">
        <f aca="false">IF(ABS(D350-ROUND(D350,0))&lt;0.0001,1,0)</f>
        <v>1</v>
      </c>
    </row>
    <row r="351" customFormat="false" ht="15" hidden="false" customHeight="false" outlineLevel="0" collapsed="false">
      <c r="A351" s="0" t="s">
        <v>219</v>
      </c>
      <c r="B351" s="0" t="s">
        <v>220</v>
      </c>
      <c r="C351" s="0" t="s">
        <v>687</v>
      </c>
      <c r="D351" s="0" t="n">
        <f aca="false">SUMIFS(Articles!$F:$F,Articles!$A:$A,A351,Articles!$E:$E,C351)</f>
        <v>1</v>
      </c>
      <c r="E351" s="0" t="n">
        <f aca="false">IF(ABS(D351-ROUND(D351,0))&lt;0.0001,1,0)</f>
        <v>1</v>
      </c>
    </row>
    <row r="352" customFormat="false" ht="15" hidden="false" customHeight="false" outlineLevel="0" collapsed="false">
      <c r="A352" s="0" t="s">
        <v>219</v>
      </c>
      <c r="B352" s="0" t="s">
        <v>220</v>
      </c>
      <c r="C352" s="0" t="s">
        <v>661</v>
      </c>
      <c r="D352" s="0" t="n">
        <f aca="false">SUMIFS(Articles!$F:$F,Articles!$A:$A,A352,Articles!$E:$E,C352)</f>
        <v>1</v>
      </c>
      <c r="E352" s="0" t="n">
        <f aca="false">IF(ABS(D352-ROUND(D352,0))&lt;0.0001,1,0)</f>
        <v>1</v>
      </c>
    </row>
    <row r="353" customFormat="false" ht="15" hidden="false" customHeight="false" outlineLevel="0" collapsed="false">
      <c r="A353" s="0" t="s">
        <v>219</v>
      </c>
      <c r="B353" s="0" t="s">
        <v>220</v>
      </c>
      <c r="C353" s="0" t="s">
        <v>676</v>
      </c>
      <c r="D353" s="0" t="n">
        <f aca="false">SUMIFS(Articles!$F:$F,Articles!$A:$A,A353,Articles!$E:$E,C353)</f>
        <v>1</v>
      </c>
      <c r="E353" s="0" t="n">
        <f aca="false">IF(ABS(D353-ROUND(D353,0))&lt;0.0001,1,0)</f>
        <v>1</v>
      </c>
    </row>
    <row r="354" customFormat="false" ht="15" hidden="false" customHeight="false" outlineLevel="0" collapsed="false">
      <c r="A354" s="0" t="s">
        <v>219</v>
      </c>
      <c r="B354" s="0" t="s">
        <v>220</v>
      </c>
      <c r="C354" s="0" t="s">
        <v>579</v>
      </c>
      <c r="D354" s="0" t="n">
        <f aca="false">SUMIFS(Articles!$F:$F,Articles!$A:$A,A354,Articles!$E:$E,C354)</f>
        <v>1</v>
      </c>
      <c r="E354" s="0" t="n">
        <f aca="false">IF(ABS(D354-ROUND(D354,0))&lt;0.0001,1,0)</f>
        <v>1</v>
      </c>
    </row>
    <row r="355" customFormat="false" ht="15" hidden="false" customHeight="false" outlineLevel="0" collapsed="false">
      <c r="A355" s="0" t="s">
        <v>219</v>
      </c>
      <c r="B355" s="0" t="s">
        <v>220</v>
      </c>
      <c r="C355" s="0" t="s">
        <v>605</v>
      </c>
      <c r="D355" s="0" t="n">
        <f aca="false">SUMIFS(Articles!$F:$F,Articles!$A:$A,A355,Articles!$E:$E,C355)</f>
        <v>1</v>
      </c>
      <c r="E355" s="0" t="n">
        <f aca="false">IF(ABS(D355-ROUND(D355,0))&lt;0.0001,1,0)</f>
        <v>1</v>
      </c>
    </row>
    <row r="356" customFormat="false" ht="15" hidden="false" customHeight="false" outlineLevel="0" collapsed="false">
      <c r="A356" s="0" t="s">
        <v>219</v>
      </c>
      <c r="B356" s="0" t="s">
        <v>220</v>
      </c>
      <c r="C356" s="0" t="s">
        <v>650</v>
      </c>
      <c r="D356" s="0" t="n">
        <f aca="false">SUMIFS(Articles!$F:$F,Articles!$A:$A,A356,Articles!$E:$E,C356)</f>
        <v>1</v>
      </c>
      <c r="E356" s="0" t="n">
        <f aca="false">IF(ABS(D356-ROUND(D356,0))&lt;0.0001,1,0)</f>
        <v>1</v>
      </c>
    </row>
    <row r="357" customFormat="false" ht="15" hidden="false" customHeight="false" outlineLevel="0" collapsed="false">
      <c r="A357" s="0" t="s">
        <v>219</v>
      </c>
      <c r="B357" s="0" t="s">
        <v>220</v>
      </c>
      <c r="C357" s="0" t="s">
        <v>428</v>
      </c>
      <c r="D357" s="0" t="n">
        <f aca="false">SUMIFS(Articles!$F:$F,Articles!$A:$A,A357,Articles!$E:$E,C357)</f>
        <v>2</v>
      </c>
      <c r="E357" s="0" t="n">
        <f aca="false">IF(ABS(D357-ROUND(D357,0))&lt;0.0001,1,0)</f>
        <v>1</v>
      </c>
    </row>
    <row r="358" customFormat="false" ht="15" hidden="false" customHeight="false" outlineLevel="0" collapsed="false">
      <c r="A358" s="0" t="s">
        <v>219</v>
      </c>
      <c r="B358" s="0" t="s">
        <v>220</v>
      </c>
      <c r="C358" s="0" t="s">
        <v>364</v>
      </c>
      <c r="D358" s="0" t="n">
        <f aca="false">SUMIFS(Articles!$F:$F,Articles!$A:$A,A358,Articles!$E:$E,C358)</f>
        <v>2</v>
      </c>
      <c r="E358" s="0" t="n">
        <f aca="false">IF(ABS(D358-ROUND(D358,0))&lt;0.0001,1,0)</f>
        <v>1</v>
      </c>
    </row>
    <row r="359" customFormat="false" ht="15" hidden="false" customHeight="false" outlineLevel="0" collapsed="false">
      <c r="A359" s="0" t="s">
        <v>222</v>
      </c>
      <c r="B359" s="0" t="s">
        <v>223</v>
      </c>
      <c r="C359" s="0" t="s">
        <v>452</v>
      </c>
      <c r="D359" s="0" t="n">
        <f aca="false">SUMIFS(Articles!$F:$F,Articles!$A:$A,A359,Articles!$E:$E,C359)</f>
        <v>1</v>
      </c>
      <c r="E359" s="0" t="n">
        <f aca="false">IF(ABS(D359-ROUND(D359,0))&lt;0.0001,1,0)</f>
        <v>1</v>
      </c>
    </row>
    <row r="360" customFormat="false" ht="15" hidden="false" customHeight="false" outlineLevel="0" collapsed="false">
      <c r="A360" s="0" t="s">
        <v>222</v>
      </c>
      <c r="B360" s="0" t="s">
        <v>223</v>
      </c>
      <c r="C360" s="0" t="s">
        <v>579</v>
      </c>
      <c r="D360" s="0" t="n">
        <f aca="false">SUMIFS(Articles!$F:$F,Articles!$A:$A,A360,Articles!$E:$E,C360)</f>
        <v>1</v>
      </c>
      <c r="E360" s="0" t="n">
        <f aca="false">IF(ABS(D360-ROUND(D360,0))&lt;0.0001,1,0)</f>
        <v>1</v>
      </c>
    </row>
    <row r="361" customFormat="false" ht="15" hidden="false" customHeight="false" outlineLevel="0" collapsed="false">
      <c r="A361" s="0" t="s">
        <v>222</v>
      </c>
      <c r="B361" s="0" t="s">
        <v>223</v>
      </c>
      <c r="C361" s="0" t="s">
        <v>409</v>
      </c>
      <c r="D361" s="0" t="n">
        <f aca="false">SUMIFS(Articles!$F:$F,Articles!$A:$A,A361,Articles!$E:$E,C361)</f>
        <v>1</v>
      </c>
      <c r="E361" s="0" t="n">
        <f aca="false">IF(ABS(D361-ROUND(D361,0))&lt;0.0001,1,0)</f>
        <v>1</v>
      </c>
    </row>
    <row r="362" customFormat="false" ht="15" hidden="false" customHeight="false" outlineLevel="0" collapsed="false">
      <c r="A362" s="0" t="s">
        <v>222</v>
      </c>
      <c r="B362" s="0" t="s">
        <v>223</v>
      </c>
      <c r="C362" s="0" t="s">
        <v>391</v>
      </c>
      <c r="D362" s="0" t="n">
        <f aca="false">SUMIFS(Articles!$F:$F,Articles!$A:$A,A362,Articles!$E:$E,C362)</f>
        <v>1</v>
      </c>
      <c r="E362" s="0" t="n">
        <f aca="false">IF(ABS(D362-ROUND(D362,0))&lt;0.0001,1,0)</f>
        <v>1</v>
      </c>
    </row>
    <row r="363" customFormat="false" ht="15" hidden="false" customHeight="false" outlineLevel="0" collapsed="false">
      <c r="A363" s="0" t="s">
        <v>222</v>
      </c>
      <c r="B363" s="0" t="s">
        <v>223</v>
      </c>
      <c r="C363" s="0" t="s">
        <v>582</v>
      </c>
      <c r="D363" s="0" t="n">
        <f aca="false">SUMIFS(Articles!$F:$F,Articles!$A:$A,A363,Articles!$E:$E,C363)</f>
        <v>1</v>
      </c>
      <c r="E363" s="0" t="n">
        <f aca="false">IF(ABS(D363-ROUND(D363,0))&lt;0.0001,1,0)</f>
        <v>1</v>
      </c>
    </row>
    <row r="364" customFormat="false" ht="15" hidden="false" customHeight="false" outlineLevel="0" collapsed="false">
      <c r="A364" s="0" t="s">
        <v>222</v>
      </c>
      <c r="B364" s="0" t="s">
        <v>223</v>
      </c>
      <c r="C364" s="0" t="s">
        <v>636</v>
      </c>
      <c r="D364" s="0" t="n">
        <f aca="false">SUMIFS(Articles!$F:$F,Articles!$A:$A,A364,Articles!$E:$E,C364)</f>
        <v>1</v>
      </c>
      <c r="E364" s="0" t="n">
        <f aca="false">IF(ABS(D364-ROUND(D364,0))&lt;0.0001,1,0)</f>
        <v>1</v>
      </c>
    </row>
    <row r="365" customFormat="false" ht="15" hidden="false" customHeight="false" outlineLevel="0" collapsed="false">
      <c r="A365" s="0" t="s">
        <v>222</v>
      </c>
      <c r="B365" s="0" t="s">
        <v>223</v>
      </c>
      <c r="C365" s="0" t="s">
        <v>406</v>
      </c>
      <c r="D365" s="0" t="n">
        <f aca="false">SUMIFS(Articles!$F:$F,Articles!$A:$A,A365,Articles!$E:$E,C365)</f>
        <v>1</v>
      </c>
      <c r="E365" s="0" t="n">
        <f aca="false">IF(ABS(D365-ROUND(D365,0))&lt;0.0001,1,0)</f>
        <v>1</v>
      </c>
    </row>
    <row r="366" customFormat="false" ht="15" hidden="false" customHeight="false" outlineLevel="0" collapsed="false">
      <c r="A366" s="0" t="s">
        <v>222</v>
      </c>
      <c r="B366" s="0" t="s">
        <v>223</v>
      </c>
      <c r="C366" s="0" t="s">
        <v>614</v>
      </c>
      <c r="D366" s="0" t="n">
        <f aca="false">SUMIFS(Articles!$F:$F,Articles!$A:$A,A366,Articles!$E:$E,C366)</f>
        <v>2</v>
      </c>
      <c r="E366" s="0" t="n">
        <f aca="false">IF(ABS(D366-ROUND(D366,0))&lt;0.0001,1,0)</f>
        <v>1</v>
      </c>
    </row>
    <row r="367" customFormat="false" ht="15" hidden="false" customHeight="false" outlineLevel="0" collapsed="false">
      <c r="A367" s="0" t="s">
        <v>222</v>
      </c>
      <c r="B367" s="0" t="s">
        <v>223</v>
      </c>
      <c r="C367" s="0" t="s">
        <v>355</v>
      </c>
      <c r="D367" s="0" t="n">
        <f aca="false">SUMIFS(Articles!$F:$F,Articles!$A:$A,A367,Articles!$E:$E,C367)</f>
        <v>1</v>
      </c>
      <c r="E367" s="0" t="n">
        <f aca="false">IF(ABS(D367-ROUND(D367,0))&lt;0.0001,1,0)</f>
        <v>1</v>
      </c>
    </row>
    <row r="368" customFormat="false" ht="15" hidden="false" customHeight="false" outlineLevel="0" collapsed="false">
      <c r="A368" s="0" t="s">
        <v>222</v>
      </c>
      <c r="B368" s="0" t="s">
        <v>223</v>
      </c>
      <c r="C368" s="0" t="s">
        <v>688</v>
      </c>
      <c r="D368" s="0" t="n">
        <f aca="false">SUMIFS(Articles!$F:$F,Articles!$A:$A,A368,Articles!$E:$E,C368)</f>
        <v>1</v>
      </c>
      <c r="E368" s="0" t="n">
        <f aca="false">IF(ABS(D368-ROUND(D368,0))&lt;0.0001,1,0)</f>
        <v>1</v>
      </c>
    </row>
    <row r="369" customFormat="false" ht="15" hidden="false" customHeight="false" outlineLevel="0" collapsed="false">
      <c r="A369" s="0" t="s">
        <v>222</v>
      </c>
      <c r="B369" s="0" t="s">
        <v>223</v>
      </c>
      <c r="C369" s="0" t="s">
        <v>642</v>
      </c>
      <c r="D369" s="0" t="n">
        <f aca="false">SUMIFS(Articles!$F:$F,Articles!$A:$A,A369,Articles!$E:$E,C369)</f>
        <v>3</v>
      </c>
      <c r="E369" s="0" t="n">
        <f aca="false">IF(ABS(D369-ROUND(D369,0))&lt;0.0001,1,0)</f>
        <v>1</v>
      </c>
    </row>
    <row r="370" customFormat="false" ht="15" hidden="false" customHeight="false" outlineLevel="0" collapsed="false">
      <c r="A370" s="0" t="s">
        <v>222</v>
      </c>
      <c r="B370" s="0" t="s">
        <v>223</v>
      </c>
      <c r="C370" s="0" t="s">
        <v>689</v>
      </c>
      <c r="D370" s="0" t="n">
        <f aca="false">SUMIFS(Articles!$F:$F,Articles!$A:$A,A370,Articles!$E:$E,C370)</f>
        <v>1</v>
      </c>
      <c r="E370" s="0" t="n">
        <f aca="false">IF(ABS(D370-ROUND(D370,0))&lt;0.0001,1,0)</f>
        <v>1</v>
      </c>
    </row>
    <row r="371" customFormat="false" ht="15" hidden="false" customHeight="false" outlineLevel="0" collapsed="false">
      <c r="A371" s="0" t="s">
        <v>222</v>
      </c>
      <c r="B371" s="0" t="s">
        <v>223</v>
      </c>
      <c r="C371" s="0" t="s">
        <v>682</v>
      </c>
      <c r="D371" s="0" t="n">
        <f aca="false">SUMIFS(Articles!$F:$F,Articles!$A:$A,A371,Articles!$E:$E,C371)</f>
        <v>1</v>
      </c>
      <c r="E371" s="0" t="n">
        <f aca="false">IF(ABS(D371-ROUND(D371,0))&lt;0.0001,1,0)</f>
        <v>1</v>
      </c>
    </row>
    <row r="372" customFormat="false" ht="15" hidden="false" customHeight="false" outlineLevel="0" collapsed="false">
      <c r="A372" s="0" t="s">
        <v>222</v>
      </c>
      <c r="B372" s="0" t="s">
        <v>223</v>
      </c>
      <c r="C372" s="0" t="s">
        <v>672</v>
      </c>
      <c r="D372" s="0" t="n">
        <f aca="false">SUMIFS(Articles!$F:$F,Articles!$A:$A,A372,Articles!$E:$E,C372)</f>
        <v>1</v>
      </c>
      <c r="E372" s="0" t="n">
        <f aca="false">IF(ABS(D372-ROUND(D372,0))&lt;0.0001,1,0)</f>
        <v>1</v>
      </c>
    </row>
    <row r="373" customFormat="false" ht="15" hidden="false" customHeight="false" outlineLevel="0" collapsed="false">
      <c r="A373" s="0" t="s">
        <v>225</v>
      </c>
      <c r="B373" s="0" t="s">
        <v>226</v>
      </c>
      <c r="C373" s="0" t="s">
        <v>454</v>
      </c>
      <c r="D373" s="0" t="n">
        <f aca="false">SUMIFS(Articles!$F:$F,Articles!$A:$A,A373,Articles!$E:$E,C373)</f>
        <v>1</v>
      </c>
      <c r="E373" s="0" t="n">
        <f aca="false">IF(ABS(D373-ROUND(D373,0))&lt;0.0001,1,0)</f>
        <v>1</v>
      </c>
    </row>
    <row r="374" customFormat="false" ht="15" hidden="false" customHeight="false" outlineLevel="0" collapsed="false">
      <c r="A374" s="0" t="s">
        <v>225</v>
      </c>
      <c r="B374" s="0" t="s">
        <v>226</v>
      </c>
      <c r="C374" s="0" t="s">
        <v>586</v>
      </c>
      <c r="D374" s="0" t="n">
        <f aca="false">SUMIFS(Articles!$F:$F,Articles!$A:$A,A374,Articles!$E:$E,C374)</f>
        <v>1</v>
      </c>
      <c r="E374" s="0" t="n">
        <f aca="false">IF(ABS(D374-ROUND(D374,0))&lt;0.0001,1,0)</f>
        <v>1</v>
      </c>
    </row>
    <row r="375" customFormat="false" ht="15" hidden="false" customHeight="false" outlineLevel="0" collapsed="false">
      <c r="A375" s="0" t="s">
        <v>225</v>
      </c>
      <c r="B375" s="0" t="s">
        <v>226</v>
      </c>
      <c r="C375" s="0" t="s">
        <v>690</v>
      </c>
      <c r="D375" s="0" t="n">
        <f aca="false">SUMIFS(Articles!$F:$F,Articles!$A:$A,A375,Articles!$E:$E,C375)</f>
        <v>1</v>
      </c>
      <c r="E375" s="0" t="n">
        <f aca="false">IF(ABS(D375-ROUND(D375,0))&lt;0.0001,1,0)</f>
        <v>1</v>
      </c>
    </row>
    <row r="376" customFormat="false" ht="15" hidden="false" customHeight="false" outlineLevel="0" collapsed="false">
      <c r="A376" s="0" t="s">
        <v>225</v>
      </c>
      <c r="B376" s="0" t="s">
        <v>226</v>
      </c>
      <c r="C376" s="0" t="s">
        <v>680</v>
      </c>
      <c r="D376" s="0" t="n">
        <f aca="false">SUMIFS(Articles!$F:$F,Articles!$A:$A,A376,Articles!$E:$E,C376)</f>
        <v>1</v>
      </c>
      <c r="E376" s="0" t="n">
        <f aca="false">IF(ABS(D376-ROUND(D376,0))&lt;0.0001,1,0)</f>
        <v>1</v>
      </c>
    </row>
    <row r="377" customFormat="false" ht="15" hidden="false" customHeight="false" outlineLevel="0" collapsed="false">
      <c r="A377" s="0" t="s">
        <v>225</v>
      </c>
      <c r="B377" s="0" t="s">
        <v>226</v>
      </c>
      <c r="C377" s="0" t="s">
        <v>691</v>
      </c>
      <c r="D377" s="0" t="n">
        <f aca="false">SUMIFS(Articles!$F:$F,Articles!$A:$A,A377,Articles!$E:$E,C377)</f>
        <v>1</v>
      </c>
      <c r="E377" s="0" t="n">
        <f aca="false">IF(ABS(D377-ROUND(D377,0))&lt;0.0001,1,0)</f>
        <v>1</v>
      </c>
    </row>
    <row r="378" customFormat="false" ht="15" hidden="false" customHeight="false" outlineLevel="0" collapsed="false">
      <c r="A378" s="0" t="s">
        <v>225</v>
      </c>
      <c r="B378" s="0" t="s">
        <v>226</v>
      </c>
      <c r="C378" s="0" t="s">
        <v>377</v>
      </c>
      <c r="D378" s="0" t="n">
        <f aca="false">SUMIFS(Articles!$F:$F,Articles!$A:$A,A378,Articles!$E:$E,C378)</f>
        <v>1</v>
      </c>
      <c r="E378" s="0" t="n">
        <f aca="false">IF(ABS(D378-ROUND(D378,0))&lt;0.0001,1,0)</f>
        <v>1</v>
      </c>
    </row>
    <row r="379" customFormat="false" ht="15" hidden="false" customHeight="false" outlineLevel="0" collapsed="false">
      <c r="A379" s="0" t="s">
        <v>225</v>
      </c>
      <c r="B379" s="0" t="s">
        <v>226</v>
      </c>
      <c r="C379" s="0" t="s">
        <v>358</v>
      </c>
      <c r="D379" s="0" t="n">
        <f aca="false">SUMIFS(Articles!$F:$F,Articles!$A:$A,A379,Articles!$E:$E,C379)</f>
        <v>1</v>
      </c>
      <c r="E379" s="0" t="n">
        <f aca="false">IF(ABS(D379-ROUND(D379,0))&lt;0.0001,1,0)</f>
        <v>1</v>
      </c>
    </row>
    <row r="380" customFormat="false" ht="15" hidden="false" customHeight="false" outlineLevel="0" collapsed="false">
      <c r="A380" s="0" t="s">
        <v>228</v>
      </c>
      <c r="B380" s="0" t="s">
        <v>130</v>
      </c>
      <c r="C380" s="0" t="s">
        <v>593</v>
      </c>
      <c r="D380" s="0" t="n">
        <f aca="false">SUMIFS(Articles!$F:$F,Articles!$A:$A,A380,Articles!$E:$E,C380)</f>
        <v>1</v>
      </c>
      <c r="E380" s="0" t="n">
        <f aca="false">IF(ABS(D380-ROUND(D380,0))&lt;0.0001,1,0)</f>
        <v>1</v>
      </c>
    </row>
    <row r="381" customFormat="false" ht="15" hidden="false" customHeight="false" outlineLevel="0" collapsed="false">
      <c r="A381" s="0" t="s">
        <v>228</v>
      </c>
      <c r="B381" s="0" t="s">
        <v>130</v>
      </c>
      <c r="C381" s="0" t="s">
        <v>641</v>
      </c>
      <c r="D381" s="0" t="n">
        <f aca="false">SUMIFS(Articles!$F:$F,Articles!$A:$A,A381,Articles!$E:$E,C381)</f>
        <v>1</v>
      </c>
      <c r="E381" s="0" t="n">
        <f aca="false">IF(ABS(D381-ROUND(D381,0))&lt;0.0001,1,0)</f>
        <v>1</v>
      </c>
    </row>
    <row r="382" customFormat="false" ht="15" hidden="false" customHeight="false" outlineLevel="0" collapsed="false">
      <c r="A382" s="0" t="s">
        <v>228</v>
      </c>
      <c r="B382" s="0" t="s">
        <v>130</v>
      </c>
      <c r="C382" s="0" t="s">
        <v>594</v>
      </c>
      <c r="D382" s="0" t="n">
        <f aca="false">SUMIFS(Articles!$F:$F,Articles!$A:$A,A382,Articles!$E:$E,C382)</f>
        <v>1</v>
      </c>
      <c r="E382" s="0" t="n">
        <f aca="false">IF(ABS(D382-ROUND(D382,0))&lt;0.0001,1,0)</f>
        <v>1</v>
      </c>
    </row>
    <row r="383" customFormat="false" ht="15" hidden="false" customHeight="false" outlineLevel="0" collapsed="false">
      <c r="A383" s="0" t="s">
        <v>228</v>
      </c>
      <c r="B383" s="0" t="s">
        <v>130</v>
      </c>
      <c r="C383" s="0" t="s">
        <v>368</v>
      </c>
      <c r="D383" s="0" t="n">
        <f aca="false">SUMIFS(Articles!$F:$F,Articles!$A:$A,A383,Articles!$E:$E,C383)</f>
        <v>1</v>
      </c>
      <c r="E383" s="0" t="n">
        <f aca="false">IF(ABS(D383-ROUND(D383,0))&lt;0.0001,1,0)</f>
        <v>1</v>
      </c>
    </row>
    <row r="384" customFormat="false" ht="15" hidden="false" customHeight="false" outlineLevel="0" collapsed="false">
      <c r="A384" s="0" t="s">
        <v>228</v>
      </c>
      <c r="B384" s="0" t="s">
        <v>130</v>
      </c>
      <c r="C384" s="0" t="s">
        <v>668</v>
      </c>
      <c r="D384" s="0" t="n">
        <f aca="false">SUMIFS(Articles!$F:$F,Articles!$A:$A,A384,Articles!$E:$E,C384)</f>
        <v>1</v>
      </c>
      <c r="E384" s="0" t="n">
        <f aca="false">IF(ABS(D384-ROUND(D384,0))&lt;0.0001,1,0)</f>
        <v>1</v>
      </c>
    </row>
    <row r="385" customFormat="false" ht="15" hidden="false" customHeight="false" outlineLevel="0" collapsed="false">
      <c r="A385" s="0" t="s">
        <v>228</v>
      </c>
      <c r="B385" s="0" t="s">
        <v>130</v>
      </c>
      <c r="C385" s="0" t="s">
        <v>577</v>
      </c>
      <c r="D385" s="0" t="n">
        <f aca="false">SUMIFS(Articles!$F:$F,Articles!$A:$A,A385,Articles!$E:$E,C385)</f>
        <v>1</v>
      </c>
      <c r="E385" s="0" t="n">
        <f aca="false">IF(ABS(D385-ROUND(D385,0))&lt;0.0001,1,0)</f>
        <v>1</v>
      </c>
    </row>
    <row r="386" customFormat="false" ht="15" hidden="false" customHeight="false" outlineLevel="0" collapsed="false">
      <c r="A386" s="0" t="s">
        <v>228</v>
      </c>
      <c r="B386" s="0" t="s">
        <v>130</v>
      </c>
      <c r="C386" s="0" t="s">
        <v>580</v>
      </c>
      <c r="D386" s="0" t="n">
        <f aca="false">SUMIFS(Articles!$F:$F,Articles!$A:$A,A386,Articles!$E:$E,C386)</f>
        <v>1</v>
      </c>
      <c r="E386" s="0" t="n">
        <f aca="false">IF(ABS(D386-ROUND(D386,0))&lt;0.0001,1,0)</f>
        <v>1</v>
      </c>
    </row>
    <row r="387" customFormat="false" ht="15" hidden="false" customHeight="false" outlineLevel="0" collapsed="false">
      <c r="A387" s="0" t="s">
        <v>228</v>
      </c>
      <c r="B387" s="0" t="s">
        <v>130</v>
      </c>
      <c r="C387" s="0" t="s">
        <v>636</v>
      </c>
      <c r="D387" s="0" t="n">
        <f aca="false">SUMIFS(Articles!$F:$F,Articles!$A:$A,A387,Articles!$E:$E,C387)</f>
        <v>1</v>
      </c>
      <c r="E387" s="0" t="n">
        <f aca="false">IF(ABS(D387-ROUND(D387,0))&lt;0.0001,1,0)</f>
        <v>1</v>
      </c>
    </row>
    <row r="388" customFormat="false" ht="15" hidden="false" customHeight="false" outlineLevel="0" collapsed="false">
      <c r="A388" s="0" t="s">
        <v>228</v>
      </c>
      <c r="B388" s="0" t="s">
        <v>130</v>
      </c>
      <c r="C388" s="0" t="s">
        <v>406</v>
      </c>
      <c r="D388" s="0" t="n">
        <f aca="false">SUMIFS(Articles!$F:$F,Articles!$A:$A,A388,Articles!$E:$E,C388)</f>
        <v>2</v>
      </c>
      <c r="E388" s="0" t="n">
        <f aca="false">IF(ABS(D388-ROUND(D388,0))&lt;0.0001,1,0)</f>
        <v>1</v>
      </c>
    </row>
    <row r="389" customFormat="false" ht="15" hidden="false" customHeight="false" outlineLevel="0" collapsed="false">
      <c r="A389" s="0" t="s">
        <v>228</v>
      </c>
      <c r="B389" s="0" t="s">
        <v>130</v>
      </c>
      <c r="C389" s="0" t="s">
        <v>427</v>
      </c>
      <c r="D389" s="0" t="n">
        <f aca="false">SUMIFS(Articles!$F:$F,Articles!$A:$A,A389,Articles!$E:$E,C389)</f>
        <v>1</v>
      </c>
      <c r="E389" s="0" t="n">
        <f aca="false">IF(ABS(D389-ROUND(D389,0))&lt;0.0001,1,0)</f>
        <v>1</v>
      </c>
    </row>
    <row r="390" customFormat="false" ht="15" hidden="false" customHeight="false" outlineLevel="0" collapsed="false">
      <c r="A390" s="0" t="s">
        <v>228</v>
      </c>
      <c r="B390" s="0" t="s">
        <v>130</v>
      </c>
      <c r="C390" s="0" t="s">
        <v>671</v>
      </c>
      <c r="D390" s="0" t="n">
        <f aca="false">SUMIFS(Articles!$F:$F,Articles!$A:$A,A390,Articles!$E:$E,C390)</f>
        <v>1</v>
      </c>
      <c r="E390" s="0" t="n">
        <f aca="false">IF(ABS(D390-ROUND(D390,0))&lt;0.0001,1,0)</f>
        <v>1</v>
      </c>
    </row>
    <row r="391" customFormat="false" ht="15" hidden="false" customHeight="false" outlineLevel="0" collapsed="false">
      <c r="A391" s="0" t="s">
        <v>228</v>
      </c>
      <c r="B391" s="0" t="s">
        <v>130</v>
      </c>
      <c r="C391" s="0" t="s">
        <v>343</v>
      </c>
      <c r="D391" s="0" t="n">
        <f aca="false">SUMIFS(Articles!$F:$F,Articles!$A:$A,A391,Articles!$E:$E,C391)</f>
        <v>1</v>
      </c>
      <c r="E391" s="0" t="n">
        <f aca="false">IF(ABS(D391-ROUND(D391,0))&lt;0.0001,1,0)</f>
        <v>1</v>
      </c>
    </row>
    <row r="392" customFormat="false" ht="15" hidden="false" customHeight="false" outlineLevel="0" collapsed="false">
      <c r="A392" s="0" t="s">
        <v>228</v>
      </c>
      <c r="B392" s="0" t="s">
        <v>130</v>
      </c>
      <c r="C392" s="0" t="s">
        <v>345</v>
      </c>
      <c r="D392" s="0" t="n">
        <f aca="false">SUMIFS(Articles!$F:$F,Articles!$A:$A,A392,Articles!$E:$E,C392)</f>
        <v>1</v>
      </c>
      <c r="E392" s="0" t="n">
        <f aca="false">IF(ABS(D392-ROUND(D392,0))&lt;0.0001,1,0)</f>
        <v>1</v>
      </c>
    </row>
    <row r="393" customFormat="false" ht="15" hidden="false" customHeight="false" outlineLevel="0" collapsed="false">
      <c r="A393" s="0" t="s">
        <v>230</v>
      </c>
      <c r="B393" s="0" t="s">
        <v>231</v>
      </c>
      <c r="C393" s="0" t="s">
        <v>607</v>
      </c>
      <c r="D393" s="0" t="n">
        <f aca="false">SUMIFS(Articles!$F:$F,Articles!$A:$A,A393,Articles!$E:$E,C393)</f>
        <v>2</v>
      </c>
      <c r="E393" s="0" t="n">
        <f aca="false">IF(ABS(D393-ROUND(D393,0))&lt;0.0001,1,0)</f>
        <v>1</v>
      </c>
    </row>
    <row r="394" customFormat="false" ht="15" hidden="false" customHeight="false" outlineLevel="0" collapsed="false">
      <c r="A394" s="0" t="s">
        <v>230</v>
      </c>
      <c r="B394" s="0" t="s">
        <v>231</v>
      </c>
      <c r="C394" s="0" t="s">
        <v>382</v>
      </c>
      <c r="D394" s="0" t="n">
        <f aca="false">SUMIFS(Articles!$F:$F,Articles!$A:$A,A394,Articles!$E:$E,C394)</f>
        <v>1</v>
      </c>
      <c r="E394" s="0" t="n">
        <f aca="false">IF(ABS(D394-ROUND(D394,0))&lt;0.0001,1,0)</f>
        <v>1</v>
      </c>
    </row>
    <row r="395" customFormat="false" ht="15" hidden="false" customHeight="false" outlineLevel="0" collapsed="false">
      <c r="A395" s="0" t="s">
        <v>230</v>
      </c>
      <c r="B395" s="0" t="s">
        <v>231</v>
      </c>
      <c r="C395" s="0" t="s">
        <v>454</v>
      </c>
      <c r="D395" s="0" t="n">
        <f aca="false">SUMIFS(Articles!$F:$F,Articles!$A:$A,A395,Articles!$E:$E,C395)</f>
        <v>1</v>
      </c>
      <c r="E395" s="0" t="n">
        <f aca="false">IF(ABS(D395-ROUND(D395,0))&lt;0.0001,1,0)</f>
        <v>1</v>
      </c>
    </row>
    <row r="396" customFormat="false" ht="15" hidden="false" customHeight="false" outlineLevel="0" collapsed="false">
      <c r="A396" s="0" t="s">
        <v>230</v>
      </c>
      <c r="B396" s="0" t="s">
        <v>231</v>
      </c>
      <c r="C396" s="0" t="s">
        <v>362</v>
      </c>
      <c r="D396" s="0" t="n">
        <f aca="false">SUMIFS(Articles!$F:$F,Articles!$A:$A,A396,Articles!$E:$E,C396)</f>
        <v>1</v>
      </c>
      <c r="E396" s="0" t="n">
        <f aca="false">IF(ABS(D396-ROUND(D396,0))&lt;0.0001,1,0)</f>
        <v>1</v>
      </c>
    </row>
    <row r="397" customFormat="false" ht="15" hidden="false" customHeight="false" outlineLevel="0" collapsed="false">
      <c r="A397" s="0" t="s">
        <v>230</v>
      </c>
      <c r="B397" s="0" t="s">
        <v>231</v>
      </c>
      <c r="C397" s="0" t="s">
        <v>692</v>
      </c>
      <c r="D397" s="0" t="n">
        <f aca="false">SUMIFS(Articles!$F:$F,Articles!$A:$A,A397,Articles!$E:$E,C397)</f>
        <v>1</v>
      </c>
      <c r="E397" s="0" t="n">
        <f aca="false">IF(ABS(D397-ROUND(D397,0))&lt;0.0001,1,0)</f>
        <v>1</v>
      </c>
    </row>
    <row r="398" customFormat="false" ht="15" hidden="false" customHeight="false" outlineLevel="0" collapsed="false">
      <c r="A398" s="0" t="s">
        <v>230</v>
      </c>
      <c r="B398" s="0" t="s">
        <v>231</v>
      </c>
      <c r="C398" s="0" t="s">
        <v>634</v>
      </c>
      <c r="D398" s="0" t="n">
        <f aca="false">SUMIFS(Articles!$F:$F,Articles!$A:$A,A398,Articles!$E:$E,C398)</f>
        <v>1</v>
      </c>
      <c r="E398" s="0" t="n">
        <f aca="false">IF(ABS(D398-ROUND(D398,0))&lt;0.0001,1,0)</f>
        <v>1</v>
      </c>
    </row>
    <row r="399" customFormat="false" ht="15" hidden="false" customHeight="false" outlineLevel="0" collapsed="false">
      <c r="A399" s="0" t="s">
        <v>230</v>
      </c>
      <c r="B399" s="0" t="s">
        <v>231</v>
      </c>
      <c r="C399" s="0" t="s">
        <v>613</v>
      </c>
      <c r="D399" s="0" t="n">
        <f aca="false">SUMIFS(Articles!$F:$F,Articles!$A:$A,A399,Articles!$E:$E,C399)</f>
        <v>2</v>
      </c>
      <c r="E399" s="0" t="n">
        <f aca="false">IF(ABS(D399-ROUND(D399,0))&lt;0.0001,1,0)</f>
        <v>1</v>
      </c>
    </row>
    <row r="400" customFormat="false" ht="15" hidden="false" customHeight="false" outlineLevel="0" collapsed="false">
      <c r="A400" s="0" t="s">
        <v>230</v>
      </c>
      <c r="B400" s="0" t="s">
        <v>231</v>
      </c>
      <c r="C400" s="0" t="s">
        <v>387</v>
      </c>
      <c r="D400" s="0" t="n">
        <f aca="false">SUMIFS(Articles!$F:$F,Articles!$A:$A,A400,Articles!$E:$E,C400)</f>
        <v>1</v>
      </c>
      <c r="E400" s="0" t="n">
        <f aca="false">IF(ABS(D400-ROUND(D400,0))&lt;0.0001,1,0)</f>
        <v>1</v>
      </c>
    </row>
    <row r="401" customFormat="false" ht="15" hidden="false" customHeight="false" outlineLevel="0" collapsed="false">
      <c r="A401" s="0" t="s">
        <v>230</v>
      </c>
      <c r="B401" s="0" t="s">
        <v>231</v>
      </c>
      <c r="C401" s="0" t="s">
        <v>615</v>
      </c>
      <c r="D401" s="0" t="n">
        <f aca="false">SUMIFS(Articles!$F:$F,Articles!$A:$A,A401,Articles!$E:$E,C401)</f>
        <v>1</v>
      </c>
      <c r="E401" s="0" t="n">
        <f aca="false">IF(ABS(D401-ROUND(D401,0))&lt;0.0001,1,0)</f>
        <v>1</v>
      </c>
    </row>
    <row r="402" customFormat="false" ht="15" hidden="false" customHeight="false" outlineLevel="0" collapsed="false">
      <c r="A402" s="0" t="s">
        <v>230</v>
      </c>
      <c r="B402" s="0" t="s">
        <v>231</v>
      </c>
      <c r="C402" s="0" t="s">
        <v>406</v>
      </c>
      <c r="D402" s="0" t="n">
        <f aca="false">SUMIFS(Articles!$F:$F,Articles!$A:$A,A402,Articles!$E:$E,C402)</f>
        <v>1</v>
      </c>
      <c r="E402" s="0" t="n">
        <f aca="false">IF(ABS(D402-ROUND(D402,0))&lt;0.0001,1,0)</f>
        <v>1</v>
      </c>
    </row>
    <row r="403" customFormat="false" ht="15" hidden="false" customHeight="false" outlineLevel="0" collapsed="false">
      <c r="A403" s="0" t="s">
        <v>230</v>
      </c>
      <c r="B403" s="0" t="s">
        <v>231</v>
      </c>
      <c r="C403" s="0" t="s">
        <v>427</v>
      </c>
      <c r="D403" s="0" t="n">
        <f aca="false">SUMIFS(Articles!$F:$F,Articles!$A:$A,A403,Articles!$E:$E,C403)</f>
        <v>1</v>
      </c>
      <c r="E403" s="0" t="n">
        <f aca="false">IF(ABS(D403-ROUND(D403,0))&lt;0.0001,1,0)</f>
        <v>1</v>
      </c>
    </row>
    <row r="404" customFormat="false" ht="15" hidden="false" customHeight="false" outlineLevel="0" collapsed="false">
      <c r="A404" s="0" t="s">
        <v>230</v>
      </c>
      <c r="B404" s="0" t="s">
        <v>231</v>
      </c>
      <c r="C404" s="0" t="s">
        <v>366</v>
      </c>
      <c r="D404" s="0" t="n">
        <f aca="false">SUMIFS(Articles!$F:$F,Articles!$A:$A,A404,Articles!$E:$E,C404)</f>
        <v>4</v>
      </c>
      <c r="E404" s="0" t="n">
        <f aca="false">IF(ABS(D404-ROUND(D404,0))&lt;0.0001,1,0)</f>
        <v>1</v>
      </c>
    </row>
    <row r="405" customFormat="false" ht="15" hidden="false" customHeight="false" outlineLevel="0" collapsed="false">
      <c r="A405" s="0" t="s">
        <v>233</v>
      </c>
      <c r="B405" s="0" t="s">
        <v>133</v>
      </c>
      <c r="C405" s="0" t="s">
        <v>344</v>
      </c>
      <c r="D405" s="0" t="n">
        <f aca="false">SUMIFS(Articles!$F:$F,Articles!$A:$A,A405,Articles!$E:$E,C405)</f>
        <v>1</v>
      </c>
      <c r="E405" s="0" t="n">
        <f aca="false">IF(ABS(D405-ROUND(D405,0))&lt;0.0001,1,0)</f>
        <v>1</v>
      </c>
    </row>
    <row r="406" customFormat="false" ht="15" hidden="false" customHeight="false" outlineLevel="0" collapsed="false">
      <c r="A406" s="0" t="s">
        <v>233</v>
      </c>
      <c r="B406" s="0" t="s">
        <v>133</v>
      </c>
      <c r="C406" s="0" t="s">
        <v>464</v>
      </c>
      <c r="D406" s="0" t="n">
        <f aca="false">SUMIFS(Articles!$F:$F,Articles!$A:$A,A406,Articles!$E:$E,C406)</f>
        <v>1</v>
      </c>
      <c r="E406" s="0" t="n">
        <f aca="false">IF(ABS(D406-ROUND(D406,0))&lt;0.0001,1,0)</f>
        <v>1</v>
      </c>
    </row>
    <row r="407" customFormat="false" ht="15" hidden="false" customHeight="false" outlineLevel="0" collapsed="false">
      <c r="A407" s="0" t="s">
        <v>233</v>
      </c>
      <c r="B407" s="0" t="s">
        <v>133</v>
      </c>
      <c r="C407" s="0" t="s">
        <v>444</v>
      </c>
      <c r="D407" s="0" t="n">
        <f aca="false">SUMIFS(Articles!$F:$F,Articles!$A:$A,A407,Articles!$E:$E,C407)</f>
        <v>1</v>
      </c>
      <c r="E407" s="0" t="n">
        <f aca="false">IF(ABS(D407-ROUND(D407,0))&lt;0.0001,1,0)</f>
        <v>1</v>
      </c>
    </row>
    <row r="408" customFormat="false" ht="15" hidden="false" customHeight="false" outlineLevel="0" collapsed="false">
      <c r="A408" s="0" t="s">
        <v>233</v>
      </c>
      <c r="B408" s="0" t="s">
        <v>133</v>
      </c>
      <c r="C408" s="0" t="s">
        <v>660</v>
      </c>
      <c r="D408" s="0" t="n">
        <f aca="false">SUMIFS(Articles!$F:$F,Articles!$A:$A,A408,Articles!$E:$E,C408)</f>
        <v>1</v>
      </c>
      <c r="E408" s="0" t="n">
        <f aca="false">IF(ABS(D408-ROUND(D408,0))&lt;0.0001,1,0)</f>
        <v>1</v>
      </c>
    </row>
    <row r="409" customFormat="false" ht="15" hidden="false" customHeight="false" outlineLevel="0" collapsed="false">
      <c r="A409" s="0" t="s">
        <v>233</v>
      </c>
      <c r="B409" s="0" t="s">
        <v>133</v>
      </c>
      <c r="C409" s="0" t="s">
        <v>419</v>
      </c>
      <c r="D409" s="0" t="n">
        <f aca="false">SUMIFS(Articles!$F:$F,Articles!$A:$A,A409,Articles!$E:$E,C409)</f>
        <v>1</v>
      </c>
      <c r="E409" s="0" t="n">
        <f aca="false">IF(ABS(D409-ROUND(D409,0))&lt;0.0001,1,0)</f>
        <v>1</v>
      </c>
    </row>
    <row r="410" customFormat="false" ht="15" hidden="false" customHeight="false" outlineLevel="0" collapsed="false">
      <c r="A410" s="0" t="s">
        <v>233</v>
      </c>
      <c r="B410" s="0" t="s">
        <v>133</v>
      </c>
      <c r="C410" s="0" t="s">
        <v>693</v>
      </c>
      <c r="D410" s="0" t="n">
        <f aca="false">SUMIFS(Articles!$F:$F,Articles!$A:$A,A410,Articles!$E:$E,C410)</f>
        <v>1</v>
      </c>
      <c r="E410" s="0" t="n">
        <f aca="false">IF(ABS(D410-ROUND(D410,0))&lt;0.0001,1,0)</f>
        <v>1</v>
      </c>
    </row>
    <row r="411" customFormat="false" ht="15" hidden="false" customHeight="false" outlineLevel="0" collapsed="false">
      <c r="A411" s="0" t="s">
        <v>233</v>
      </c>
      <c r="B411" s="0" t="s">
        <v>133</v>
      </c>
      <c r="C411" s="0" t="s">
        <v>656</v>
      </c>
      <c r="D411" s="0" t="n">
        <f aca="false">SUMIFS(Articles!$F:$F,Articles!$A:$A,A411,Articles!$E:$E,C411)</f>
        <v>1</v>
      </c>
      <c r="E411" s="0" t="n">
        <f aca="false">IF(ABS(D411-ROUND(D411,0))&lt;0.0001,1,0)</f>
        <v>1</v>
      </c>
    </row>
    <row r="412" customFormat="false" ht="15" hidden="false" customHeight="false" outlineLevel="0" collapsed="false">
      <c r="A412" s="0" t="s">
        <v>233</v>
      </c>
      <c r="B412" s="0" t="s">
        <v>133</v>
      </c>
      <c r="C412" s="0" t="s">
        <v>589</v>
      </c>
      <c r="D412" s="0" t="n">
        <f aca="false">SUMIFS(Articles!$F:$F,Articles!$A:$A,A412,Articles!$E:$E,C412)</f>
        <v>1</v>
      </c>
      <c r="E412" s="0" t="n">
        <f aca="false">IF(ABS(D412-ROUND(D412,0))&lt;0.0001,1,0)</f>
        <v>1</v>
      </c>
    </row>
    <row r="413" customFormat="false" ht="15" hidden="false" customHeight="false" outlineLevel="0" collapsed="false">
      <c r="A413" s="0" t="s">
        <v>233</v>
      </c>
      <c r="B413" s="0" t="s">
        <v>133</v>
      </c>
      <c r="C413" s="0" t="s">
        <v>591</v>
      </c>
      <c r="D413" s="0" t="n">
        <f aca="false">SUMIFS(Articles!$F:$F,Articles!$A:$A,A413,Articles!$E:$E,C413)</f>
        <v>2</v>
      </c>
      <c r="E413" s="0" t="n">
        <f aca="false">IF(ABS(D413-ROUND(D413,0))&lt;0.0001,1,0)</f>
        <v>1</v>
      </c>
    </row>
    <row r="414" customFormat="false" ht="15" hidden="false" customHeight="false" outlineLevel="0" collapsed="false">
      <c r="A414" s="0" t="s">
        <v>233</v>
      </c>
      <c r="B414" s="0" t="s">
        <v>133</v>
      </c>
      <c r="C414" s="0" t="s">
        <v>463</v>
      </c>
      <c r="D414" s="0" t="n">
        <f aca="false">SUMIFS(Articles!$F:$F,Articles!$A:$A,A414,Articles!$E:$E,C414)</f>
        <v>1</v>
      </c>
      <c r="E414" s="0" t="n">
        <f aca="false">IF(ABS(D414-ROUND(D414,0))&lt;0.0001,1,0)</f>
        <v>1</v>
      </c>
    </row>
    <row r="415" customFormat="false" ht="15" hidden="false" customHeight="false" outlineLevel="0" collapsed="false">
      <c r="A415" s="0" t="s">
        <v>233</v>
      </c>
      <c r="B415" s="0" t="s">
        <v>133</v>
      </c>
      <c r="C415" s="0" t="s">
        <v>669</v>
      </c>
      <c r="D415" s="0" t="n">
        <f aca="false">SUMIFS(Articles!$F:$F,Articles!$A:$A,A415,Articles!$E:$E,C415)</f>
        <v>1</v>
      </c>
      <c r="E415" s="0" t="n">
        <f aca="false">IF(ABS(D415-ROUND(D415,0))&lt;0.0001,1,0)</f>
        <v>1</v>
      </c>
    </row>
    <row r="416" customFormat="false" ht="15" hidden="false" customHeight="false" outlineLevel="0" collapsed="false">
      <c r="A416" s="0" t="s">
        <v>233</v>
      </c>
      <c r="B416" s="0" t="s">
        <v>133</v>
      </c>
      <c r="C416" s="0" t="s">
        <v>627</v>
      </c>
      <c r="D416" s="0" t="n">
        <f aca="false">SUMIFS(Articles!$F:$F,Articles!$A:$A,A416,Articles!$E:$E,C416)</f>
        <v>1</v>
      </c>
      <c r="E416" s="0" t="n">
        <f aca="false">IF(ABS(D416-ROUND(D416,0))&lt;0.0001,1,0)</f>
        <v>1</v>
      </c>
    </row>
    <row r="417" customFormat="false" ht="15" hidden="false" customHeight="false" outlineLevel="0" collapsed="false">
      <c r="A417" s="0" t="s">
        <v>233</v>
      </c>
      <c r="B417" s="0" t="s">
        <v>133</v>
      </c>
      <c r="C417" s="0" t="s">
        <v>694</v>
      </c>
      <c r="D417" s="0" t="n">
        <f aca="false">SUMIFS(Articles!$F:$F,Articles!$A:$A,A417,Articles!$E:$E,C417)</f>
        <v>1</v>
      </c>
      <c r="E417" s="0" t="n">
        <f aca="false">IF(ABS(D417-ROUND(D417,0))&lt;0.0001,1,0)</f>
        <v>1</v>
      </c>
    </row>
    <row r="418" customFormat="false" ht="15" hidden="false" customHeight="false" outlineLevel="0" collapsed="false">
      <c r="A418" s="0" t="s">
        <v>233</v>
      </c>
      <c r="B418" s="0" t="s">
        <v>133</v>
      </c>
      <c r="C418" s="0" t="s">
        <v>672</v>
      </c>
      <c r="D418" s="0" t="n">
        <f aca="false">SUMIFS(Articles!$F:$F,Articles!$A:$A,A418,Articles!$E:$E,C418)</f>
        <v>1</v>
      </c>
      <c r="E418" s="0" t="n">
        <f aca="false">IF(ABS(D418-ROUND(D418,0))&lt;0.0001,1,0)</f>
        <v>1</v>
      </c>
    </row>
    <row r="419" customFormat="false" ht="15" hidden="false" customHeight="false" outlineLevel="0" collapsed="false">
      <c r="A419" s="0" t="s">
        <v>233</v>
      </c>
      <c r="B419" s="0" t="s">
        <v>133</v>
      </c>
      <c r="C419" s="0" t="s">
        <v>642</v>
      </c>
      <c r="D419" s="0" t="n">
        <f aca="false">SUMIFS(Articles!$F:$F,Articles!$A:$A,A419,Articles!$E:$E,C419)</f>
        <v>1</v>
      </c>
      <c r="E419" s="0" t="n">
        <f aca="false">IF(ABS(D419-ROUND(D419,0))&lt;0.0001,1,0)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2026-10-27T08:11:08Z</dcterms:created>
  <dc:creator>openpyxl</dc:creator>
  <dc:description/>
  <dc:language>en-US</dc:language>
  <cp:lastModifiedBy/>
  <dcterms:modified xsi:type="dcterms:W3CDTF">2026-10-27T08:11:08Z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