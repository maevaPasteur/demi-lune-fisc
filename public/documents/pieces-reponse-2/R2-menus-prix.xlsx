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éthode" sheetId="1" state="visible" r:id="rId1"/>
    <sheet xmlns:r="http://schemas.openxmlformats.org/officeDocument/2006/relationships" name="Src-E1-DEL-0909" sheetId="2" state="visible" r:id="rId2"/>
    <sheet xmlns:r="http://schemas.openxmlformats.org/officeDocument/2006/relationships" name="Src-C1-notes-0909" sheetId="3" state="visible" r:id="rId3"/>
    <sheet xmlns:r="http://schemas.openxmlformats.org/officeDocument/2006/relationships" name="Calc-0909" sheetId="4" state="visible" r:id="rId4"/>
    <sheet xmlns:r="http://schemas.openxmlformats.org/officeDocument/2006/relationships" name="Src-E1-DEL-conv" sheetId="5" state="visible" r:id="rId5"/>
    <sheet xmlns:r="http://schemas.openxmlformats.org/officeDocument/2006/relationships" name="Src-C1-notes-conv" sheetId="6" state="visible" r:id="rId6"/>
    <sheet xmlns:r="http://schemas.openxmlformats.org/officeDocument/2006/relationships" name="Calc-conv-2022-2023" sheetId="7" state="visible" r:id="rId7"/>
    <sheet xmlns:r="http://schemas.openxmlformats.org/officeDocument/2006/relationships" name="Src-B1-DemiLune" sheetId="8" state="visible" r:id="rId8"/>
    <sheet xmlns:r="http://schemas.openxmlformats.org/officeDocument/2006/relationships" name="Calc-prix-DemiLun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 ##0.00\ &quot;€&quot;;[RED]-# ##0.00\ &quot;€&quot;"/>
    <numFmt numFmtId="165" formatCode="0.0%"/>
    <numFmt numFmtId="166" formatCode="0.0"/>
  </numFmts>
  <fonts count="5">
    <font>
      <name val="Calibri"/>
      <family val="2"/>
      <color theme="1"/>
      <sz val="11"/>
      <scheme val="minor"/>
    </font>
    <font>
      <b val="1"/>
      <color rgb="001F3A5F"/>
      <sz val="13"/>
    </font>
    <font>
      <i val="1"/>
      <color rgb="00555555"/>
      <sz val="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EF2F7"/>
      </patternFill>
    </fill>
    <fill>
      <patternFill patternType="solid">
        <fgColor rgb="00D4EDDA"/>
      </patternFill>
    </fill>
    <fill>
      <patternFill patternType="solid">
        <fgColor rgb="00FFE8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4" fontId="3" fillId="3" borderId="0" pivotButton="0" quotePrefix="0" xfId="0"/>
    <xf numFmtId="0" fontId="0" fillId="4" borderId="1" pivotButton="0" quotePrefix="0" xfId="0"/>
    <xf numFmtId="0" fontId="0" fillId="4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3" fillId="3" borderId="0" applyAlignment="1" pivotButton="0" quotePrefix="0" xfId="0">
      <alignment horizontal="right"/>
    </xf>
    <xf numFmtId="164" fontId="3" fillId="3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4" fontId="3" fillId="4" borderId="0" applyAlignment="1" pivotButton="0" quotePrefix="0" xfId="0">
      <alignment horizontal="right"/>
    </xf>
    <xf numFmtId="165" fontId="3" fillId="5" borderId="0" applyAlignment="1" pivotButton="0" quotePrefix="0" xfId="0">
      <alignment horizontal="right"/>
    </xf>
    <xf numFmtId="164" fontId="0" fillId="5" borderId="0" applyAlignment="1" pivotButton="0" quotePrefix="0" xfId="0">
      <alignment horizontal="right"/>
    </xf>
    <xf numFmtId="0" fontId="2" fillId="0" borderId="0" applyAlignment="1" pivotButton="0" quotePrefix="0" xfId="0">
      <alignment vertical="top" wrapText="1"/>
    </xf>
    <xf numFmtId="166" fontId="3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" fontId="3" fillId="3" borderId="0" applyAlignment="1" pivotButton="0" quotePrefix="0" xfId="0">
      <alignment horizontal="right"/>
    </xf>
    <xf numFmtId="165" fontId="3" fillId="3" borderId="0" applyAlignment="1" pivotButton="0" quotePrefix="0" xfId="0">
      <alignment horizontal="right"/>
    </xf>
    <xf numFmtId="1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R2 — Menu « Demi Lune » : prix, conversions au forfait et test du 09/09/2022</t>
        </is>
      </c>
    </row>
    <row r="2">
      <c r="A2" s="2" t="inlineStr">
        <is>
          <t>Pièce de la réponse n° 2 (grief J « Instabilité des prix du menu Demi Lune »). Toutes les valeurs de résultat</t>
        </is>
      </c>
    </row>
    <row r="3">
      <c r="A3" s="2" t="inlineStr">
        <is>
          <t>sont obtenues PAR FORMULE à partir des lignes brutes copiées dans les onglets « Src- ». Aucun résultat en dur.</t>
        </is>
      </c>
    </row>
    <row r="4"/>
    <row r="5">
      <c r="A5" s="3" t="inlineStr">
        <is>
          <t>Sources primaires (exercice 2022-2023 UNIQUEMENT — seules annexes remises) :</t>
        </is>
      </c>
    </row>
    <row r="6">
      <c r="A6" t="inlineStr">
        <is>
          <t xml:space="preserve">  • ANNEXE-E1_tpvevenement_2022-2023.xls — fichier des évènements (lignes DEL = suppressions).</t>
        </is>
      </c>
    </row>
    <row r="7">
      <c r="A7" t="inlineStr">
        <is>
          <t xml:space="preserve">  • ANNEXE-C1_detail-tickets_2022-2023.xls — détail des tickets encaissés (lignes de note).</t>
        </is>
      </c>
    </row>
    <row r="8">
      <c r="A8" t="inlineStr">
        <is>
          <t xml:space="preserve">  • ANNEXE-B1_prix-vente-quantite_2022-2023.xls — prix de vente et quantités, ligne à ligne.</t>
        </is>
      </c>
    </row>
    <row r="9"/>
    <row r="10">
      <c r="A10" s="3" t="inlineStr">
        <is>
          <t>Onglet « Calc-0909 » — test du jour choisi par le service (09/09/2022) :</t>
        </is>
      </c>
    </row>
    <row r="11">
      <c r="A11" t="inlineStr">
        <is>
          <t xml:space="preserve">  Les 67 lignes DEL du jour (onglet Src-E1-DEL-0909) sont regroupées en 14 rafales par SUMIF/COUNTIF sur l'heure.</t>
        </is>
      </c>
    </row>
    <row r="12">
      <c r="A12" t="inlineStr">
        <is>
          <t xml:space="preserve">  Pour chaque rafale, la colonne « Montant rattaché » vaut la somme SI une note Demi Lune re-saisie du même</t>
        </is>
      </c>
    </row>
    <row r="13">
      <c r="A13" t="inlineStr">
        <is>
          <t xml:space="preserve">  horaire porte exactement ce total (onglet Src-C1-notes-0909), 0 sinon. Le taux de rattachement = rattaché / total DEL.</t>
        </is>
      </c>
    </row>
    <row r="14">
      <c r="A14" t="inlineStr">
        <is>
          <t xml:space="preserve">  Résultat : 2 rafales sur 14 (283,90 € / 933,80 €, soit ~30 %) correspondent à une note Demi Lune ; 12 rafales</t>
        </is>
      </c>
    </row>
    <row r="15">
      <c r="A15" t="inlineStr">
        <is>
          <t xml:space="preserve">  (649,90 €) sont des corrections de caisse sans note-forfait rapprochée. C'est le constat honnête, pas l'inverse.</t>
        </is>
      </c>
    </row>
    <row r="16"/>
    <row r="17">
      <c r="A17" s="3" t="inlineStr">
        <is>
          <t>Onglet « Calc-conv-2022-2023 » — conversions au forfait aboutissant à un Menu Demi Lune, exercice 2022-2023 :</t>
        </is>
      </c>
    </row>
    <row r="18">
      <c r="A18" t="inlineStr">
        <is>
          <t xml:space="preserve">  Pour chacune des 16 rafales retenues, la « Somme DEL » = SUMIFS(montant ; date ; heure) sur Src-E1-DEL-conv ;</t>
        </is>
      </c>
    </row>
    <row r="19">
      <c r="A19" t="inlineStr">
        <is>
          <t xml:space="preserve">  le « Total note » = SUMIFS(total ligne ; date ; n° note) sur Src-C1-notes-conv ; l'écart = total note − somme DEL.</t>
        </is>
      </c>
    </row>
    <row r="20">
      <c r="A20" t="inlineStr">
        <is>
          <t xml:space="preserve">  Les 16 notes re-saisies sont composées exclusivement de lignes « Menu Demi Lune » (39 unités Demi Lune, 38 couverts, note</t>
        </is>
      </c>
    </row>
    <row r="21">
      <c r="A21" t="inlineStr">
        <is>
          <t xml:space="preserve">  du 22/03/2023 portant deux prix unitaires 64,00/64,00/66,30). Somme vérifiée : 1 492,80 € = 1 492,80 €, écart 0,00 €.</t>
        </is>
      </c>
    </row>
    <row r="22"/>
    <row r="23">
      <c r="A23" s="3" t="inlineStr">
        <is>
          <t>Onglet « Calc-prix-DemiLune » — dispersion des prix, exercice 2022-2023 :</t>
        </is>
      </c>
    </row>
    <row r="24">
      <c r="A24" t="inlineStr">
        <is>
          <t xml:space="preserve">  Sur les 95 lignes de vente du Menu Demi Lune (Réf. 0196) de l'onglet Src-B1-DemiLune, la quantité vendue au</t>
        </is>
      </c>
    </row>
    <row r="25">
      <c r="A25" t="inlineStr">
        <is>
          <t xml:space="preserve">  prix catalogue 45,00 € = SUMIF(PU;45) et le nombre de lignes = COUNTIF ; les ventes hors catalogue par solde ;</t>
        </is>
      </c>
    </row>
    <row r="26">
      <c r="A26" t="inlineStr">
        <is>
          <t xml:space="preserve">  la plage des prix hors catalogue par MINIFS/MAXIFS. Le prix catalogue est unique : 45,00 € sur tout l'exercice.</t>
        </is>
      </c>
    </row>
    <row r="27"/>
    <row r="28">
      <c r="A28" s="3" t="inlineStr">
        <is>
          <t>Limite de périmètre :</t>
        </is>
      </c>
    </row>
    <row r="29">
      <c r="A29" t="inlineStr">
        <is>
          <t xml:space="preserve">  Les annexes B/C/E des exercices 2023-2024 et 2024-2025 n'ayant pas été remises, la démonstration primaire porte</t>
        </is>
      </c>
    </row>
    <row r="30">
      <c r="A30" t="inlineStr">
        <is>
          <t xml:space="preserve">  sur 2022-2023. Les 45 autres conversions et les agrégats 3 exercices figurent dans la pièce R1</t>
        </is>
      </c>
    </row>
    <row r="31">
      <c r="A31" t="inlineStr">
        <is>
          <t xml:space="preserve">  (R1-menu-demi-lune-conversions.xlsx) et appellent la production des annexes B2/B3, C2/C3, E2/E3 pour re-dérivation.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8" customWidth="1" min="3" max="3"/>
    <col width="14" customWidth="1" min="4" max="4"/>
    <col width="10" customWidth="1" min="5" max="5"/>
  </cols>
  <sheetData>
    <row r="1">
      <c r="A1" s="3" t="inlineStr">
        <is>
          <t>ANNEXE-E1 — lignes DEL (suppressions) de la journée 2022-09-09 (brut, triées par id)</t>
        </is>
      </c>
    </row>
    <row r="2">
      <c r="A2" s="4" t="inlineStr">
        <is>
          <t>Date</t>
        </is>
      </c>
      <c r="B2" s="4" t="inlineStr">
        <is>
          <t>Heure</t>
        </is>
      </c>
      <c r="C2" s="4" t="inlineStr">
        <is>
          <t>Type</t>
        </is>
      </c>
      <c r="D2" s="4" t="inlineStr">
        <is>
          <t>Montant (€)</t>
        </is>
      </c>
      <c r="E2" s="4" t="inlineStr">
        <is>
          <t>id</t>
        </is>
      </c>
    </row>
    <row r="3">
      <c r="A3" s="5" t="inlineStr">
        <is>
          <t>2022-09-09</t>
        </is>
      </c>
      <c r="B3" s="5" t="inlineStr">
        <is>
          <t>11:09</t>
        </is>
      </c>
      <c r="C3" s="5" t="inlineStr">
        <is>
          <t>DEL</t>
        </is>
      </c>
      <c r="D3" s="6" t="n">
        <v>6.4</v>
      </c>
      <c r="E3" s="7" t="n">
        <v>42062</v>
      </c>
    </row>
    <row r="4">
      <c r="A4" s="5" t="inlineStr">
        <is>
          <t>2022-09-09</t>
        </is>
      </c>
      <c r="B4" s="5" t="inlineStr">
        <is>
          <t>11:09</t>
        </is>
      </c>
      <c r="C4" s="5" t="inlineStr">
        <is>
          <t>DEL</t>
        </is>
      </c>
      <c r="D4" s="6" t="n">
        <v>7.2</v>
      </c>
      <c r="E4" s="7" t="n">
        <v>42063</v>
      </c>
    </row>
    <row r="5">
      <c r="A5" s="5" t="inlineStr">
        <is>
          <t>2022-09-09</t>
        </is>
      </c>
      <c r="B5" s="5" t="inlineStr">
        <is>
          <t>11:09</t>
        </is>
      </c>
      <c r="C5" s="5" t="inlineStr">
        <is>
          <t>DEL</t>
        </is>
      </c>
      <c r="D5" s="6" t="n">
        <v>15.9</v>
      </c>
      <c r="E5" s="7" t="n">
        <v>42064</v>
      </c>
    </row>
    <row r="6">
      <c r="A6" s="5" t="inlineStr">
        <is>
          <t>2022-09-09</t>
        </is>
      </c>
      <c r="B6" s="5" t="inlineStr">
        <is>
          <t>11:09</t>
        </is>
      </c>
      <c r="C6" s="5" t="inlineStr">
        <is>
          <t>DEL</t>
        </is>
      </c>
      <c r="D6" s="6" t="n">
        <v>16.9</v>
      </c>
      <c r="E6" s="7" t="n">
        <v>42065</v>
      </c>
    </row>
    <row r="7">
      <c r="A7" s="5" t="inlineStr">
        <is>
          <t>2022-09-09</t>
        </is>
      </c>
      <c r="B7" s="5" t="inlineStr">
        <is>
          <t>11:28</t>
        </is>
      </c>
      <c r="C7" s="5" t="inlineStr">
        <is>
          <t>DEL</t>
        </is>
      </c>
      <c r="D7" s="6" t="n">
        <v>17.6</v>
      </c>
      <c r="E7" s="7" t="n">
        <v>42066</v>
      </c>
    </row>
    <row r="8">
      <c r="A8" s="5" t="inlineStr">
        <is>
          <t>2022-09-09</t>
        </is>
      </c>
      <c r="B8" s="5" t="inlineStr">
        <is>
          <t>11:28</t>
        </is>
      </c>
      <c r="C8" s="5" t="inlineStr">
        <is>
          <t>DEL</t>
        </is>
      </c>
      <c r="D8" s="6" t="n">
        <v>4</v>
      </c>
      <c r="E8" s="7" t="n">
        <v>42067</v>
      </c>
    </row>
    <row r="9">
      <c r="A9" s="5" t="inlineStr">
        <is>
          <t>2022-09-09</t>
        </is>
      </c>
      <c r="B9" s="5" t="inlineStr">
        <is>
          <t>11:29</t>
        </is>
      </c>
      <c r="C9" s="5" t="inlineStr">
        <is>
          <t>DEL</t>
        </is>
      </c>
      <c r="D9" s="6" t="n">
        <v>7.8</v>
      </c>
      <c r="E9" s="7" t="n">
        <v>42068</v>
      </c>
    </row>
    <row r="10">
      <c r="A10" s="5" t="inlineStr">
        <is>
          <t>2022-09-09</t>
        </is>
      </c>
      <c r="B10" s="5" t="inlineStr">
        <is>
          <t>11:30</t>
        </is>
      </c>
      <c r="C10" s="5" t="inlineStr">
        <is>
          <t>DEL</t>
        </is>
      </c>
      <c r="D10" s="6" t="n">
        <v>4.4</v>
      </c>
      <c r="E10" s="7" t="n">
        <v>42069</v>
      </c>
    </row>
    <row r="11">
      <c r="A11" s="5" t="inlineStr">
        <is>
          <t>2022-09-09</t>
        </is>
      </c>
      <c r="B11" s="5" t="inlineStr">
        <is>
          <t>11:30</t>
        </is>
      </c>
      <c r="C11" s="5" t="inlineStr">
        <is>
          <t>DEL</t>
        </is>
      </c>
      <c r="D11" s="6" t="n">
        <v>3.9</v>
      </c>
      <c r="E11" s="7" t="n">
        <v>42070</v>
      </c>
    </row>
    <row r="12">
      <c r="A12" s="5" t="inlineStr">
        <is>
          <t>2022-09-09</t>
        </is>
      </c>
      <c r="B12" s="5" t="inlineStr">
        <is>
          <t>11:30</t>
        </is>
      </c>
      <c r="C12" s="5" t="inlineStr">
        <is>
          <t>DEL</t>
        </is>
      </c>
      <c r="D12" s="6" t="n">
        <v>6.5</v>
      </c>
      <c r="E12" s="7" t="n">
        <v>42071</v>
      </c>
    </row>
    <row r="13">
      <c r="A13" s="5" t="inlineStr">
        <is>
          <t>2022-09-09</t>
        </is>
      </c>
      <c r="B13" s="5" t="inlineStr">
        <is>
          <t>11:30</t>
        </is>
      </c>
      <c r="C13" s="5" t="inlineStr">
        <is>
          <t>DEL</t>
        </is>
      </c>
      <c r="D13" s="6" t="n">
        <v>30</v>
      </c>
      <c r="E13" s="7" t="n">
        <v>42072</v>
      </c>
    </row>
    <row r="14">
      <c r="A14" s="5" t="inlineStr">
        <is>
          <t>2022-09-09</t>
        </is>
      </c>
      <c r="B14" s="5" t="inlineStr">
        <is>
          <t>11:42</t>
        </is>
      </c>
      <c r="C14" s="5" t="inlineStr">
        <is>
          <t>DEL</t>
        </is>
      </c>
      <c r="D14" s="6" t="n">
        <v>2.2</v>
      </c>
      <c r="E14" s="7" t="n">
        <v>42073</v>
      </c>
    </row>
    <row r="15">
      <c r="A15" s="5" t="inlineStr">
        <is>
          <t>2022-09-09</t>
        </is>
      </c>
      <c r="B15" s="5" t="inlineStr">
        <is>
          <t>11:42</t>
        </is>
      </c>
      <c r="C15" s="5" t="inlineStr">
        <is>
          <t>DEL</t>
        </is>
      </c>
      <c r="D15" s="6" t="n">
        <v>22</v>
      </c>
      <c r="E15" s="7" t="n">
        <v>42074</v>
      </c>
    </row>
    <row r="16">
      <c r="A16" s="5" t="inlineStr">
        <is>
          <t>2022-09-09</t>
        </is>
      </c>
      <c r="B16" s="5" t="inlineStr">
        <is>
          <t>11:42</t>
        </is>
      </c>
      <c r="C16" s="5" t="inlineStr">
        <is>
          <t>DEL</t>
        </is>
      </c>
      <c r="D16" s="6" t="n">
        <v>3.9</v>
      </c>
      <c r="E16" s="7" t="n">
        <v>42075</v>
      </c>
    </row>
    <row r="17">
      <c r="A17" s="5" t="inlineStr">
        <is>
          <t>2022-09-09</t>
        </is>
      </c>
      <c r="B17" s="5" t="inlineStr">
        <is>
          <t>11:42</t>
        </is>
      </c>
      <c r="C17" s="5" t="inlineStr">
        <is>
          <t>DEL</t>
        </is>
      </c>
      <c r="D17" s="6" t="n">
        <v>7.8</v>
      </c>
      <c r="E17" s="7" t="n">
        <v>42076</v>
      </c>
    </row>
    <row r="18">
      <c r="A18" s="5" t="inlineStr">
        <is>
          <t>2022-09-09</t>
        </is>
      </c>
      <c r="B18" s="5" t="inlineStr">
        <is>
          <t>11:58</t>
        </is>
      </c>
      <c r="C18" s="5" t="inlineStr">
        <is>
          <t>DEL</t>
        </is>
      </c>
      <c r="D18" s="6" t="n">
        <v>4.4</v>
      </c>
      <c r="E18" s="7" t="n">
        <v>42077</v>
      </c>
    </row>
    <row r="19">
      <c r="A19" s="5" t="inlineStr">
        <is>
          <t>2022-09-09</t>
        </is>
      </c>
      <c r="B19" s="5" t="inlineStr">
        <is>
          <t>11:58</t>
        </is>
      </c>
      <c r="C19" s="5" t="inlineStr">
        <is>
          <t>DEL</t>
        </is>
      </c>
      <c r="D19" s="6" t="n">
        <v>14</v>
      </c>
      <c r="E19" s="7" t="n">
        <v>42078</v>
      </c>
    </row>
    <row r="20">
      <c r="A20" s="5" t="inlineStr">
        <is>
          <t>2022-09-09</t>
        </is>
      </c>
      <c r="B20" s="5" t="inlineStr">
        <is>
          <t>11:58</t>
        </is>
      </c>
      <c r="C20" s="5" t="inlineStr">
        <is>
          <t>DEL</t>
        </is>
      </c>
      <c r="D20" s="6" t="n">
        <v>31.8</v>
      </c>
      <c r="E20" s="7" t="n">
        <v>42079</v>
      </c>
    </row>
    <row r="21">
      <c r="A21" s="5" t="inlineStr">
        <is>
          <t>2022-09-09</t>
        </is>
      </c>
      <c r="B21" s="5" t="inlineStr">
        <is>
          <t>12:07</t>
        </is>
      </c>
      <c r="C21" s="5" t="inlineStr">
        <is>
          <t>DEL</t>
        </is>
      </c>
      <c r="D21" s="6" t="n">
        <v>6.9</v>
      </c>
      <c r="E21" s="7" t="n">
        <v>42080</v>
      </c>
    </row>
    <row r="22">
      <c r="A22" s="5" t="inlineStr">
        <is>
          <t>2022-09-09</t>
        </is>
      </c>
      <c r="B22" s="5" t="inlineStr">
        <is>
          <t>12:07</t>
        </is>
      </c>
      <c r="C22" s="5" t="inlineStr">
        <is>
          <t>DEL</t>
        </is>
      </c>
      <c r="D22" s="6" t="n">
        <v>3.9</v>
      </c>
      <c r="E22" s="7" t="n">
        <v>42081</v>
      </c>
    </row>
    <row r="23">
      <c r="A23" s="5" t="inlineStr">
        <is>
          <t>2022-09-09</t>
        </is>
      </c>
      <c r="B23" s="5" t="inlineStr">
        <is>
          <t>12:07</t>
        </is>
      </c>
      <c r="C23" s="5" t="inlineStr">
        <is>
          <t>DEL</t>
        </is>
      </c>
      <c r="D23" s="6" t="n">
        <v>7.2</v>
      </c>
      <c r="E23" s="7" t="n">
        <v>42082</v>
      </c>
    </row>
    <row r="24">
      <c r="A24" s="5" t="inlineStr">
        <is>
          <t>2022-09-09</t>
        </is>
      </c>
      <c r="B24" s="5" t="inlineStr">
        <is>
          <t>12:07</t>
        </is>
      </c>
      <c r="C24" s="5" t="inlineStr">
        <is>
          <t>DEL</t>
        </is>
      </c>
      <c r="D24" s="6" t="n">
        <v>4.9</v>
      </c>
      <c r="E24" s="7" t="n">
        <v>42083</v>
      </c>
    </row>
    <row r="25">
      <c r="A25" s="5" t="inlineStr">
        <is>
          <t>2022-09-09</t>
        </is>
      </c>
      <c r="B25" s="5" t="inlineStr">
        <is>
          <t>12:07</t>
        </is>
      </c>
      <c r="C25" s="5" t="inlineStr">
        <is>
          <t>DEL</t>
        </is>
      </c>
      <c r="D25" s="6" t="n">
        <v>19</v>
      </c>
      <c r="E25" s="7" t="n">
        <v>42084</v>
      </c>
    </row>
    <row r="26">
      <c r="A26" s="5" t="inlineStr">
        <is>
          <t>2022-09-09</t>
        </is>
      </c>
      <c r="B26" s="5" t="inlineStr">
        <is>
          <t>12:07</t>
        </is>
      </c>
      <c r="C26" s="5" t="inlineStr">
        <is>
          <t>DEL</t>
        </is>
      </c>
      <c r="D26" s="6" t="n">
        <v>27.8</v>
      </c>
      <c r="E26" s="7" t="n">
        <v>42085</v>
      </c>
    </row>
    <row r="27">
      <c r="A27" s="5" t="inlineStr">
        <is>
          <t>2022-09-09</t>
        </is>
      </c>
      <c r="B27" s="5" t="inlineStr">
        <is>
          <t>12:07</t>
        </is>
      </c>
      <c r="C27" s="5" t="inlineStr">
        <is>
          <t>DEL</t>
        </is>
      </c>
      <c r="D27" s="6" t="n">
        <v>7.2</v>
      </c>
      <c r="E27" s="7" t="n">
        <v>42086</v>
      </c>
    </row>
    <row r="28">
      <c r="A28" s="5" t="inlineStr">
        <is>
          <t>2022-09-09</t>
        </is>
      </c>
      <c r="B28" s="5" t="inlineStr">
        <is>
          <t>12:23</t>
        </is>
      </c>
      <c r="C28" s="5" t="inlineStr">
        <is>
          <t>DEL</t>
        </is>
      </c>
      <c r="D28" s="6" t="n">
        <v>15.6</v>
      </c>
      <c r="E28" s="7" t="n">
        <v>42087</v>
      </c>
    </row>
    <row r="29">
      <c r="A29" s="5" t="inlineStr">
        <is>
          <t>2022-09-09</t>
        </is>
      </c>
      <c r="B29" s="5" t="inlineStr">
        <is>
          <t>12:23</t>
        </is>
      </c>
      <c r="C29" s="5" t="inlineStr">
        <is>
          <t>DEL</t>
        </is>
      </c>
      <c r="D29" s="6" t="n">
        <v>6.5</v>
      </c>
      <c r="E29" s="7" t="n">
        <v>42088</v>
      </c>
    </row>
    <row r="30">
      <c r="A30" s="5" t="inlineStr">
        <is>
          <t>2022-09-09</t>
        </is>
      </c>
      <c r="B30" s="5" t="inlineStr">
        <is>
          <t>12:23</t>
        </is>
      </c>
      <c r="C30" s="5" t="inlineStr">
        <is>
          <t>DEL</t>
        </is>
      </c>
      <c r="D30" s="6" t="n">
        <v>20.8</v>
      </c>
      <c r="E30" s="7" t="n">
        <v>42089</v>
      </c>
    </row>
    <row r="31">
      <c r="A31" s="5" t="inlineStr">
        <is>
          <t>2022-09-09</t>
        </is>
      </c>
      <c r="B31" s="5" t="inlineStr">
        <is>
          <t>12:23</t>
        </is>
      </c>
      <c r="C31" s="5" t="inlineStr">
        <is>
          <t>DEL</t>
        </is>
      </c>
      <c r="D31" s="6" t="n">
        <v>7</v>
      </c>
      <c r="E31" s="7" t="n">
        <v>42090</v>
      </c>
    </row>
    <row r="32">
      <c r="A32" s="5" t="inlineStr">
        <is>
          <t>2022-09-09</t>
        </is>
      </c>
      <c r="B32" s="5" t="inlineStr">
        <is>
          <t>12:23</t>
        </is>
      </c>
      <c r="C32" s="5" t="inlineStr">
        <is>
          <t>DEL</t>
        </is>
      </c>
      <c r="D32" s="6" t="n">
        <v>2.2</v>
      </c>
      <c r="E32" s="7" t="n">
        <v>42091</v>
      </c>
    </row>
    <row r="33">
      <c r="A33" s="5" t="inlineStr">
        <is>
          <t>2022-09-09</t>
        </is>
      </c>
      <c r="B33" s="5" t="inlineStr">
        <is>
          <t>12:23</t>
        </is>
      </c>
      <c r="C33" s="5" t="inlineStr">
        <is>
          <t>DEL</t>
        </is>
      </c>
      <c r="D33" s="6" t="n">
        <v>29.9</v>
      </c>
      <c r="E33" s="7" t="n">
        <v>42092</v>
      </c>
    </row>
    <row r="34">
      <c r="A34" s="5" t="inlineStr">
        <is>
          <t>2022-09-09</t>
        </is>
      </c>
      <c r="B34" s="5" t="inlineStr">
        <is>
          <t>12:23</t>
        </is>
      </c>
      <c r="C34" s="5" t="inlineStr">
        <is>
          <t>DEL</t>
        </is>
      </c>
      <c r="D34" s="6" t="n">
        <v>35.2</v>
      </c>
      <c r="E34" s="7" t="n">
        <v>42093</v>
      </c>
    </row>
    <row r="35">
      <c r="A35" s="5" t="inlineStr">
        <is>
          <t>2022-09-09</t>
        </is>
      </c>
      <c r="B35" s="5" t="inlineStr">
        <is>
          <t>12:23</t>
        </is>
      </c>
      <c r="C35" s="5" t="inlineStr">
        <is>
          <t>DEL</t>
        </is>
      </c>
      <c r="D35" s="6" t="n">
        <v>59.8</v>
      </c>
      <c r="E35" s="7" t="n">
        <v>42094</v>
      </c>
    </row>
    <row r="36">
      <c r="A36" s="5" t="inlineStr">
        <is>
          <t>2022-09-09</t>
        </is>
      </c>
      <c r="B36" s="5" t="inlineStr">
        <is>
          <t>12:23</t>
        </is>
      </c>
      <c r="C36" s="5" t="inlineStr">
        <is>
          <t>DEL</t>
        </is>
      </c>
      <c r="D36" s="6" t="n">
        <v>30</v>
      </c>
      <c r="E36" s="7" t="n">
        <v>42095</v>
      </c>
    </row>
    <row r="37">
      <c r="A37" s="5" t="inlineStr">
        <is>
          <t>2022-09-09</t>
        </is>
      </c>
      <c r="B37" s="5" t="inlineStr">
        <is>
          <t>12:35</t>
        </is>
      </c>
      <c r="C37" s="5" t="inlineStr">
        <is>
          <t>DEL</t>
        </is>
      </c>
      <c r="D37" s="6" t="n">
        <v>3.4</v>
      </c>
      <c r="E37" s="7" t="n">
        <v>42096</v>
      </c>
    </row>
    <row r="38">
      <c r="A38" s="5" t="inlineStr">
        <is>
          <t>2022-09-09</t>
        </is>
      </c>
      <c r="B38" s="5" t="inlineStr">
        <is>
          <t>12:36</t>
        </is>
      </c>
      <c r="C38" s="5" t="inlineStr">
        <is>
          <t>DEL</t>
        </is>
      </c>
      <c r="D38" s="6" t="n">
        <v>2.2</v>
      </c>
      <c r="E38" s="7" t="n">
        <v>42097</v>
      </c>
    </row>
    <row r="39">
      <c r="A39" s="5" t="inlineStr">
        <is>
          <t>2022-09-09</t>
        </is>
      </c>
      <c r="B39" s="5" t="inlineStr">
        <is>
          <t>18:52</t>
        </is>
      </c>
      <c r="C39" s="5" t="inlineStr">
        <is>
          <t>DEL</t>
        </is>
      </c>
      <c r="D39" s="6" t="n">
        <v>2.2</v>
      </c>
      <c r="E39" s="7" t="n">
        <v>42099</v>
      </c>
    </row>
    <row r="40">
      <c r="A40" s="5" t="inlineStr">
        <is>
          <t>2022-09-09</t>
        </is>
      </c>
      <c r="B40" s="5" t="inlineStr">
        <is>
          <t>18:52</t>
        </is>
      </c>
      <c r="C40" s="5" t="inlineStr">
        <is>
          <t>DEL</t>
        </is>
      </c>
      <c r="D40" s="6" t="n">
        <v>4</v>
      </c>
      <c r="E40" s="7" t="n">
        <v>42100</v>
      </c>
    </row>
    <row r="41">
      <c r="A41" s="5" t="inlineStr">
        <is>
          <t>2022-09-09</t>
        </is>
      </c>
      <c r="B41" s="5" t="inlineStr">
        <is>
          <t>18:52</t>
        </is>
      </c>
      <c r="C41" s="5" t="inlineStr">
        <is>
          <t>DEL</t>
        </is>
      </c>
      <c r="D41" s="6" t="n">
        <v>1.8</v>
      </c>
      <c r="E41" s="7" t="n">
        <v>42101</v>
      </c>
    </row>
    <row r="42">
      <c r="A42" s="5" t="inlineStr">
        <is>
          <t>2022-09-09</t>
        </is>
      </c>
      <c r="B42" s="5" t="inlineStr">
        <is>
          <t>18:52</t>
        </is>
      </c>
      <c r="C42" s="5" t="inlineStr">
        <is>
          <t>DEL</t>
        </is>
      </c>
      <c r="D42" s="6" t="n">
        <v>4</v>
      </c>
      <c r="E42" s="7" t="n">
        <v>42102</v>
      </c>
    </row>
    <row r="43">
      <c r="A43" s="5" t="inlineStr">
        <is>
          <t>2022-09-09</t>
        </is>
      </c>
      <c r="B43" s="5" t="inlineStr">
        <is>
          <t>18:52</t>
        </is>
      </c>
      <c r="C43" s="5" t="inlineStr">
        <is>
          <t>DEL</t>
        </is>
      </c>
      <c r="D43" s="6" t="n">
        <v>13.8</v>
      </c>
      <c r="E43" s="7" t="n">
        <v>42103</v>
      </c>
    </row>
    <row r="44">
      <c r="A44" s="5" t="inlineStr">
        <is>
          <t>2022-09-09</t>
        </is>
      </c>
      <c r="B44" s="5" t="inlineStr">
        <is>
          <t>18:52</t>
        </is>
      </c>
      <c r="C44" s="5" t="inlineStr">
        <is>
          <t>DEL</t>
        </is>
      </c>
      <c r="D44" s="6" t="n">
        <v>39.5</v>
      </c>
      <c r="E44" s="7" t="n">
        <v>42104</v>
      </c>
    </row>
    <row r="45">
      <c r="A45" s="5" t="inlineStr">
        <is>
          <t>2022-09-09</t>
        </is>
      </c>
      <c r="B45" s="5" t="inlineStr">
        <is>
          <t>18:52</t>
        </is>
      </c>
      <c r="C45" s="5" t="inlineStr">
        <is>
          <t>DEL</t>
        </is>
      </c>
      <c r="D45" s="6" t="n">
        <v>27.8</v>
      </c>
      <c r="E45" s="7" t="n">
        <v>42105</v>
      </c>
    </row>
    <row r="46">
      <c r="A46" s="5" t="inlineStr">
        <is>
          <t>2022-09-09</t>
        </is>
      </c>
      <c r="B46" s="5" t="inlineStr">
        <is>
          <t>18:52</t>
        </is>
      </c>
      <c r="C46" s="5" t="inlineStr">
        <is>
          <t>DEL</t>
        </is>
      </c>
      <c r="D46" s="6" t="n">
        <v>39.8</v>
      </c>
      <c r="E46" s="7" t="n">
        <v>42106</v>
      </c>
    </row>
    <row r="47">
      <c r="A47" s="5" t="inlineStr">
        <is>
          <t>2022-09-09</t>
        </is>
      </c>
      <c r="B47" s="5" t="inlineStr">
        <is>
          <t>18:52</t>
        </is>
      </c>
      <c r="C47" s="5" t="inlineStr">
        <is>
          <t>DEL</t>
        </is>
      </c>
      <c r="D47" s="6" t="n">
        <v>17.6</v>
      </c>
      <c r="E47" s="7" t="n">
        <v>42107</v>
      </c>
    </row>
    <row r="48">
      <c r="A48" s="5" t="inlineStr">
        <is>
          <t>2022-09-09</t>
        </is>
      </c>
      <c r="B48" s="5" t="inlineStr">
        <is>
          <t>18:52</t>
        </is>
      </c>
      <c r="C48" s="5" t="inlineStr">
        <is>
          <t>DEL</t>
        </is>
      </c>
      <c r="D48" s="6" t="n">
        <v>28.6</v>
      </c>
      <c r="E48" s="7" t="n">
        <v>42108</v>
      </c>
    </row>
    <row r="49">
      <c r="A49" s="5" t="inlineStr">
        <is>
          <t>2022-09-09</t>
        </is>
      </c>
      <c r="B49" s="5" t="inlineStr">
        <is>
          <t>18:52</t>
        </is>
      </c>
      <c r="C49" s="5" t="inlineStr">
        <is>
          <t>DEL</t>
        </is>
      </c>
      <c r="D49" s="6" t="n">
        <v>17.6</v>
      </c>
      <c r="E49" s="7" t="n">
        <v>42109</v>
      </c>
    </row>
    <row r="50">
      <c r="A50" s="5" t="inlineStr">
        <is>
          <t>2022-09-09</t>
        </is>
      </c>
      <c r="B50" s="5" t="inlineStr">
        <is>
          <t>18:52</t>
        </is>
      </c>
      <c r="C50" s="5" t="inlineStr">
        <is>
          <t>DEL</t>
        </is>
      </c>
      <c r="D50" s="6" t="n">
        <v>8</v>
      </c>
      <c r="E50" s="7" t="n">
        <v>42110</v>
      </c>
    </row>
    <row r="51">
      <c r="A51" s="5" t="inlineStr">
        <is>
          <t>2022-09-09</t>
        </is>
      </c>
      <c r="B51" s="5" t="inlineStr">
        <is>
          <t>18:52</t>
        </is>
      </c>
      <c r="C51" s="5" t="inlineStr">
        <is>
          <t>DEL</t>
        </is>
      </c>
      <c r="D51" s="6" t="n">
        <v>5.9</v>
      </c>
      <c r="E51" s="7" t="n">
        <v>42111</v>
      </c>
    </row>
    <row r="52">
      <c r="A52" s="5" t="inlineStr">
        <is>
          <t>2022-09-09</t>
        </is>
      </c>
      <c r="B52" s="5" t="inlineStr">
        <is>
          <t>18:52</t>
        </is>
      </c>
      <c r="C52" s="5" t="inlineStr">
        <is>
          <t>DEL</t>
        </is>
      </c>
      <c r="D52" s="6" t="n">
        <v>15.6</v>
      </c>
      <c r="E52" s="7" t="n">
        <v>42112</v>
      </c>
    </row>
    <row r="53">
      <c r="A53" s="5" t="inlineStr">
        <is>
          <t>2022-09-09</t>
        </is>
      </c>
      <c r="B53" s="5" t="inlineStr">
        <is>
          <t>18:52</t>
        </is>
      </c>
      <c r="C53" s="5" t="inlineStr">
        <is>
          <t>DEL</t>
        </is>
      </c>
      <c r="D53" s="6" t="n">
        <v>10.4</v>
      </c>
      <c r="E53" s="7" t="n">
        <v>42113</v>
      </c>
    </row>
    <row r="54">
      <c r="A54" s="5" t="inlineStr">
        <is>
          <t>2022-09-09</t>
        </is>
      </c>
      <c r="B54" s="5" t="inlineStr">
        <is>
          <t>20:09</t>
        </is>
      </c>
      <c r="C54" s="5" t="inlineStr">
        <is>
          <t>DEL</t>
        </is>
      </c>
      <c r="D54" s="6" t="n">
        <v>4.4</v>
      </c>
      <c r="E54" s="7" t="n">
        <v>42114</v>
      </c>
    </row>
    <row r="55">
      <c r="A55" s="5" t="inlineStr">
        <is>
          <t>2022-09-09</t>
        </is>
      </c>
      <c r="B55" s="5" t="inlineStr">
        <is>
          <t>20:16</t>
        </is>
      </c>
      <c r="C55" s="5" t="inlineStr">
        <is>
          <t>DEL</t>
        </is>
      </c>
      <c r="D55" s="6" t="n">
        <v>6.6</v>
      </c>
      <c r="E55" s="7" t="n">
        <v>42115</v>
      </c>
    </row>
    <row r="56">
      <c r="A56" s="5" t="inlineStr">
        <is>
          <t>2022-09-09</t>
        </is>
      </c>
      <c r="B56" s="5" t="inlineStr">
        <is>
          <t>20:16</t>
        </is>
      </c>
      <c r="C56" s="5" t="inlineStr">
        <is>
          <t>DEL</t>
        </is>
      </c>
      <c r="D56" s="6" t="n">
        <v>6.9</v>
      </c>
      <c r="E56" s="7" t="n">
        <v>42116</v>
      </c>
    </row>
    <row r="57">
      <c r="A57" s="5" t="inlineStr">
        <is>
          <t>2022-09-09</t>
        </is>
      </c>
      <c r="B57" s="5" t="inlineStr">
        <is>
          <t>20:16</t>
        </is>
      </c>
      <c r="C57" s="5" t="inlineStr">
        <is>
          <t>DEL</t>
        </is>
      </c>
      <c r="D57" s="6" t="n">
        <v>8.5</v>
      </c>
      <c r="E57" s="7" t="n">
        <v>42117</v>
      </c>
    </row>
    <row r="58">
      <c r="A58" s="5" t="inlineStr">
        <is>
          <t>2022-09-09</t>
        </is>
      </c>
      <c r="B58" s="5" t="inlineStr">
        <is>
          <t>20:16</t>
        </is>
      </c>
      <c r="C58" s="5" t="inlineStr">
        <is>
          <t>DEL</t>
        </is>
      </c>
      <c r="D58" s="6" t="n">
        <v>24.9</v>
      </c>
      <c r="E58" s="7" t="n">
        <v>42118</v>
      </c>
    </row>
    <row r="59">
      <c r="A59" s="5" t="inlineStr">
        <is>
          <t>2022-09-09</t>
        </is>
      </c>
      <c r="B59" s="5" t="inlineStr">
        <is>
          <t>20:16</t>
        </is>
      </c>
      <c r="C59" s="5" t="inlineStr">
        <is>
          <t>DEL</t>
        </is>
      </c>
      <c r="D59" s="6" t="n">
        <v>35.2</v>
      </c>
      <c r="E59" s="7" t="n">
        <v>42119</v>
      </c>
    </row>
    <row r="60">
      <c r="A60" s="5" t="inlineStr">
        <is>
          <t>2022-09-09</t>
        </is>
      </c>
      <c r="B60" s="5" t="inlineStr">
        <is>
          <t>20:16</t>
        </is>
      </c>
      <c r="C60" s="5" t="inlineStr">
        <is>
          <t>DEL</t>
        </is>
      </c>
      <c r="D60" s="6" t="n">
        <v>17.6</v>
      </c>
      <c r="E60" s="7" t="n">
        <v>42120</v>
      </c>
    </row>
    <row r="61">
      <c r="A61" s="5" t="inlineStr">
        <is>
          <t>2022-09-09</t>
        </is>
      </c>
      <c r="B61" s="5" t="inlineStr">
        <is>
          <t>20:16</t>
        </is>
      </c>
      <c r="C61" s="5" t="inlineStr">
        <is>
          <t>DEL</t>
        </is>
      </c>
      <c r="D61" s="6" t="n">
        <v>8</v>
      </c>
      <c r="E61" s="7" t="n">
        <v>42121</v>
      </c>
    </row>
    <row r="62">
      <c r="A62" s="5" t="inlineStr">
        <is>
          <t>2022-09-09</t>
        </is>
      </c>
      <c r="B62" s="5" t="inlineStr">
        <is>
          <t>20:16</t>
        </is>
      </c>
      <c r="C62" s="5" t="inlineStr">
        <is>
          <t>DEL</t>
        </is>
      </c>
      <c r="D62" s="6" t="n">
        <v>7.2</v>
      </c>
      <c r="E62" s="7" t="n">
        <v>42122</v>
      </c>
    </row>
    <row r="63">
      <c r="A63" s="5" t="inlineStr">
        <is>
          <t>2022-09-09</t>
        </is>
      </c>
      <c r="B63" s="5" t="inlineStr">
        <is>
          <t>20:17</t>
        </is>
      </c>
      <c r="C63" s="5" t="inlineStr">
        <is>
          <t>DEL</t>
        </is>
      </c>
      <c r="D63" s="6" t="n">
        <v>9.800000000000001</v>
      </c>
      <c r="E63" s="7" t="n">
        <v>42124</v>
      </c>
    </row>
    <row r="64">
      <c r="A64" s="5" t="inlineStr">
        <is>
          <t>2022-09-09</t>
        </is>
      </c>
      <c r="B64" s="5" t="inlineStr">
        <is>
          <t>20:17</t>
        </is>
      </c>
      <c r="C64" s="5" t="inlineStr">
        <is>
          <t>DEL</t>
        </is>
      </c>
      <c r="D64" s="6" t="n">
        <v>6.5</v>
      </c>
      <c r="E64" s="7" t="n">
        <v>42125</v>
      </c>
    </row>
    <row r="65">
      <c r="A65" s="5" t="inlineStr">
        <is>
          <t>2022-09-09</t>
        </is>
      </c>
      <c r="B65" s="5" t="inlineStr">
        <is>
          <t>20:17</t>
        </is>
      </c>
      <c r="C65" s="5" t="inlineStr">
        <is>
          <t>DEL</t>
        </is>
      </c>
      <c r="D65" s="6" t="n">
        <v>6.5</v>
      </c>
      <c r="E65" s="7" t="n">
        <v>42126</v>
      </c>
    </row>
    <row r="66">
      <c r="A66" s="5" t="inlineStr">
        <is>
          <t>2022-09-09</t>
        </is>
      </c>
      <c r="B66" s="5" t="inlineStr">
        <is>
          <t>20:17</t>
        </is>
      </c>
      <c r="C66" s="5" t="inlineStr">
        <is>
          <t>DEL</t>
        </is>
      </c>
      <c r="D66" s="6" t="n">
        <v>8</v>
      </c>
      <c r="E66" s="7" t="n">
        <v>42127</v>
      </c>
    </row>
    <row r="67">
      <c r="A67" s="5" t="inlineStr">
        <is>
          <t>2022-09-09</t>
        </is>
      </c>
      <c r="B67" s="5" t="inlineStr">
        <is>
          <t>20:17</t>
        </is>
      </c>
      <c r="C67" s="5" t="inlineStr">
        <is>
          <t>DEL</t>
        </is>
      </c>
      <c r="D67" s="6" t="n">
        <v>19.9</v>
      </c>
      <c r="E67" s="7" t="n">
        <v>42128</v>
      </c>
    </row>
    <row r="68">
      <c r="A68" s="5" t="inlineStr">
        <is>
          <t>2022-09-09</t>
        </is>
      </c>
      <c r="B68" s="5" t="inlineStr">
        <is>
          <t>20:17</t>
        </is>
      </c>
      <c r="C68" s="5" t="inlineStr">
        <is>
          <t>DEL</t>
        </is>
      </c>
      <c r="D68" s="6" t="n">
        <v>17.6</v>
      </c>
      <c r="E68" s="7" t="n">
        <v>42129</v>
      </c>
    </row>
    <row r="69">
      <c r="A69" s="5" t="inlineStr">
        <is>
          <t>2022-09-09</t>
        </is>
      </c>
      <c r="B69" s="5" t="inlineStr">
        <is>
          <t>20:17</t>
        </is>
      </c>
      <c r="C69" s="5" t="inlineStr">
        <is>
          <t>DEL</t>
        </is>
      </c>
      <c r="D69" s="6" t="n">
        <v>13.4</v>
      </c>
      <c r="E69" s="7" t="n">
        <v>42130</v>
      </c>
    </row>
    <row r="70">
      <c r="C70" s="3" t="inlineStr">
        <is>
          <t>TOTAL DEL</t>
        </is>
      </c>
      <c r="D70" s="8">
        <f>SUM(D3:D69)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10" customWidth="1" min="3" max="3"/>
    <col width="15" customWidth="1" min="4" max="4"/>
    <col width="13" customWidth="1" min="5" max="5"/>
    <col width="15" customWidth="1" min="6" max="6"/>
  </cols>
  <sheetData>
    <row r="1">
      <c r="A1" s="3" t="inlineStr">
        <is>
          <t>ANNEXE-C1 — notes encaissées de la journée 2022-09-09 (total par note ; qté/PU Menu Demi Lune si présent)</t>
        </is>
      </c>
    </row>
    <row r="2">
      <c r="A2" s="4" t="inlineStr">
        <is>
          <t>N° note</t>
        </is>
      </c>
      <c r="B2" s="4" t="inlineStr">
        <is>
          <t>Heure</t>
        </is>
      </c>
      <c r="C2" s="4" t="inlineStr">
        <is>
          <t>Nb lignes</t>
        </is>
      </c>
      <c r="D2" s="4" t="inlineStr">
        <is>
          <t>Total note (€)</t>
        </is>
      </c>
      <c r="E2" s="4" t="inlineStr">
        <is>
          <t>Qté Demi Lune</t>
        </is>
      </c>
      <c r="F2" s="4" t="inlineStr">
        <is>
          <t>PU Demi Lune (€)</t>
        </is>
      </c>
    </row>
    <row r="3">
      <c r="A3" s="5" t="n">
        <v>1</v>
      </c>
      <c r="B3" s="5" t="inlineStr">
        <is>
          <t>11:40</t>
        </is>
      </c>
      <c r="C3" s="7" t="n">
        <v>8</v>
      </c>
      <c r="D3" s="6" t="n">
        <v>41.85</v>
      </c>
      <c r="E3" s="7" t="n"/>
      <c r="F3" s="5" t="n"/>
    </row>
    <row r="4">
      <c r="A4" s="5" t="n">
        <v>2</v>
      </c>
      <c r="B4" s="5" t="inlineStr">
        <is>
          <t>11:41</t>
        </is>
      </c>
      <c r="C4" s="7" t="n">
        <v>8</v>
      </c>
      <c r="D4" s="6" t="n">
        <v>41.85</v>
      </c>
      <c r="E4" s="7" t="n"/>
      <c r="F4" s="5" t="n"/>
    </row>
    <row r="5">
      <c r="A5" s="9" t="n">
        <v>3</v>
      </c>
      <c r="B5" s="9" t="inlineStr">
        <is>
          <t>12:08</t>
        </is>
      </c>
      <c r="C5" s="10" t="n">
        <v>1</v>
      </c>
      <c r="D5" s="11" t="n">
        <v>76.90000000000001</v>
      </c>
      <c r="E5" s="10" t="n">
        <v>2</v>
      </c>
      <c r="F5" s="11" t="n">
        <v>38.45</v>
      </c>
    </row>
    <row r="6">
      <c r="A6" s="5" t="n">
        <v>4</v>
      </c>
      <c r="B6" s="5" t="inlineStr">
        <is>
          <t>12:11</t>
        </is>
      </c>
      <c r="C6" s="7" t="n">
        <v>7</v>
      </c>
      <c r="D6" s="6" t="n">
        <v>45.2</v>
      </c>
      <c r="E6" s="7" t="n"/>
      <c r="F6" s="5" t="n"/>
    </row>
    <row r="7">
      <c r="A7" s="5" t="n">
        <v>5</v>
      </c>
      <c r="B7" s="5" t="inlineStr">
        <is>
          <t>12:14</t>
        </is>
      </c>
      <c r="C7" s="7" t="n">
        <v>7</v>
      </c>
      <c r="D7" s="6" t="n">
        <v>82.40000000000001</v>
      </c>
      <c r="E7" s="7" t="n"/>
      <c r="F7" s="5" t="n"/>
    </row>
    <row r="8">
      <c r="A8" s="5" t="n">
        <v>6</v>
      </c>
      <c r="B8" s="5" t="inlineStr">
        <is>
          <t>12:17</t>
        </is>
      </c>
      <c r="C8" s="7" t="n">
        <v>4</v>
      </c>
      <c r="D8" s="6" t="n">
        <v>27.4</v>
      </c>
      <c r="E8" s="7" t="n"/>
      <c r="F8" s="5" t="n"/>
    </row>
    <row r="9">
      <c r="A9" s="5" t="n">
        <v>7</v>
      </c>
      <c r="B9" s="5" t="inlineStr">
        <is>
          <t>12:20</t>
        </is>
      </c>
      <c r="C9" s="7" t="n">
        <v>7</v>
      </c>
      <c r="D9" s="6" t="n">
        <v>81.8</v>
      </c>
      <c r="E9" s="7" t="n"/>
      <c r="F9" s="5" t="n"/>
    </row>
    <row r="10">
      <c r="A10" s="9" t="n">
        <v>8</v>
      </c>
      <c r="B10" s="9" t="inlineStr">
        <is>
          <t>12:23</t>
        </is>
      </c>
      <c r="C10" s="10" t="n">
        <v>1</v>
      </c>
      <c r="D10" s="11" t="n">
        <v>207</v>
      </c>
      <c r="E10" s="10" t="n">
        <v>4</v>
      </c>
      <c r="F10" s="11" t="n">
        <v>51.75</v>
      </c>
    </row>
    <row r="11">
      <c r="A11" s="5" t="n">
        <v>9</v>
      </c>
      <c r="B11" s="5" t="inlineStr">
        <is>
          <t>12:36</t>
        </is>
      </c>
      <c r="C11" s="7" t="n">
        <v>6</v>
      </c>
      <c r="D11" s="6" t="n">
        <v>70.59999999999999</v>
      </c>
      <c r="E11" s="7" t="n"/>
      <c r="F11" s="5" t="n"/>
    </row>
    <row r="12">
      <c r="A12" s="5" t="n">
        <v>10</v>
      </c>
      <c r="B12" s="5" t="inlineStr">
        <is>
          <t>12:38</t>
        </is>
      </c>
      <c r="C12" s="7" t="n">
        <v>6</v>
      </c>
      <c r="D12" s="6" t="n">
        <v>75.7</v>
      </c>
      <c r="E12" s="7" t="n"/>
      <c r="F12" s="5" t="n"/>
    </row>
    <row r="13">
      <c r="A13" s="5" t="n">
        <v>11</v>
      </c>
      <c r="B13" s="5" t="inlineStr">
        <is>
          <t>12:50</t>
        </is>
      </c>
      <c r="C13" s="7" t="n">
        <v>4</v>
      </c>
      <c r="D13" s="6" t="n">
        <v>38.3</v>
      </c>
      <c r="E13" s="7" t="n"/>
      <c r="F13" s="5" t="n"/>
    </row>
    <row r="14">
      <c r="A14" s="5" t="n">
        <v>12</v>
      </c>
      <c r="B14" s="5" t="inlineStr">
        <is>
          <t>12:51</t>
        </is>
      </c>
      <c r="C14" s="7" t="n">
        <v>4</v>
      </c>
      <c r="D14" s="6" t="n">
        <v>38.3</v>
      </c>
      <c r="E14" s="7" t="n"/>
      <c r="F14" s="5" t="n"/>
    </row>
    <row r="15">
      <c r="A15" s="5" t="n">
        <v>13</v>
      </c>
      <c r="B15" s="5" t="inlineStr">
        <is>
          <t>12:53</t>
        </is>
      </c>
      <c r="C15" s="7" t="n">
        <v>8</v>
      </c>
      <c r="D15" s="6" t="n">
        <v>63.1</v>
      </c>
      <c r="E15" s="7" t="n"/>
      <c r="F15" s="5" t="n"/>
    </row>
    <row r="16">
      <c r="A16" s="5" t="n">
        <v>14</v>
      </c>
      <c r="B16" s="5" t="inlineStr">
        <is>
          <t>13:07</t>
        </is>
      </c>
      <c r="C16" s="7" t="n">
        <v>4</v>
      </c>
      <c r="D16" s="6" t="n">
        <v>89.09999999999999</v>
      </c>
      <c r="E16" s="7" t="n"/>
      <c r="F16" s="5" t="n"/>
    </row>
    <row r="17">
      <c r="A17" s="5" t="n">
        <v>15</v>
      </c>
      <c r="B17" s="5" t="inlineStr">
        <is>
          <t>18:57</t>
        </is>
      </c>
      <c r="C17" s="7" t="n">
        <v>7</v>
      </c>
      <c r="D17" s="6" t="n">
        <v>58.3</v>
      </c>
      <c r="E17" s="7" t="n"/>
      <c r="F17" s="5" t="n"/>
    </row>
    <row r="18">
      <c r="A18" s="5" t="n">
        <v>16</v>
      </c>
      <c r="B18" s="5" t="inlineStr">
        <is>
          <t>19:05</t>
        </is>
      </c>
      <c r="C18" s="7" t="n">
        <v>5</v>
      </c>
      <c r="D18" s="6" t="n">
        <v>82.59999999999999</v>
      </c>
      <c r="E18" s="7" t="n"/>
      <c r="F18" s="5" t="n"/>
    </row>
    <row r="19">
      <c r="A19" s="5" t="n">
        <v>17</v>
      </c>
      <c r="B19" s="5" t="inlineStr">
        <is>
          <t>19:11</t>
        </is>
      </c>
      <c r="C19" s="7" t="n">
        <v>2</v>
      </c>
      <c r="D19" s="6" t="n">
        <v>88.90000000000001</v>
      </c>
      <c r="E19" s="7" t="n"/>
      <c r="F19" s="5" t="n"/>
    </row>
    <row r="20">
      <c r="A20" s="5" t="n">
        <v>18</v>
      </c>
      <c r="B20" s="5" t="inlineStr">
        <is>
          <t>19:30</t>
        </is>
      </c>
      <c r="C20" s="7" t="n">
        <v>10</v>
      </c>
      <c r="D20" s="6" t="n">
        <v>139.1</v>
      </c>
      <c r="E20" s="7" t="n"/>
      <c r="F20" s="5" t="n"/>
    </row>
    <row r="21">
      <c r="A21" s="5" t="n">
        <v>19</v>
      </c>
      <c r="B21" s="5" t="inlineStr">
        <is>
          <t>19:33</t>
        </is>
      </c>
      <c r="C21" s="7" t="n">
        <v>3</v>
      </c>
      <c r="D21" s="6" t="n">
        <v>102.4</v>
      </c>
      <c r="E21" s="7" t="n"/>
      <c r="F21" s="5" t="n"/>
    </row>
    <row r="22">
      <c r="A22" s="5" t="n">
        <v>20</v>
      </c>
      <c r="B22" s="5" t="inlineStr">
        <is>
          <t>19:34</t>
        </is>
      </c>
      <c r="C22" s="7" t="n">
        <v>9</v>
      </c>
      <c r="D22" s="6" t="n">
        <v>66.40000000000001</v>
      </c>
      <c r="E22" s="7" t="n"/>
      <c r="F22" s="5" t="n"/>
    </row>
    <row r="23">
      <c r="A23" s="5" t="n">
        <v>21</v>
      </c>
      <c r="B23" s="5" t="inlineStr">
        <is>
          <t>19:34</t>
        </is>
      </c>
      <c r="C23" s="7" t="n">
        <v>9</v>
      </c>
      <c r="D23" s="6" t="n">
        <v>66.40000000000001</v>
      </c>
      <c r="E23" s="7" t="n"/>
      <c r="F23" s="5" t="n"/>
    </row>
    <row r="24">
      <c r="A24" s="5" t="n">
        <v>22</v>
      </c>
      <c r="B24" s="5" t="inlineStr">
        <is>
          <t>19:39</t>
        </is>
      </c>
      <c r="C24" s="7" t="n">
        <v>6</v>
      </c>
      <c r="D24" s="6" t="n">
        <v>70</v>
      </c>
      <c r="E24" s="7" t="n"/>
      <c r="F24" s="5" t="n"/>
    </row>
    <row r="25">
      <c r="A25" s="5" t="n">
        <v>23</v>
      </c>
      <c r="B25" s="5" t="inlineStr">
        <is>
          <t>19:50</t>
        </is>
      </c>
      <c r="C25" s="7" t="n">
        <v>6</v>
      </c>
      <c r="D25" s="6" t="n">
        <v>66.5</v>
      </c>
      <c r="E25" s="7" t="n"/>
      <c r="F25" s="5" t="n"/>
    </row>
    <row r="26">
      <c r="A26" s="5" t="n">
        <v>24</v>
      </c>
      <c r="B26" s="5" t="inlineStr">
        <is>
          <t>20:03</t>
        </is>
      </c>
      <c r="C26" s="7" t="n">
        <v>5</v>
      </c>
      <c r="D26" s="6" t="n">
        <v>81.5</v>
      </c>
      <c r="E26" s="7" t="n"/>
      <c r="F26" s="5" t="n"/>
    </row>
    <row r="27">
      <c r="A27" s="5" t="n">
        <v>25</v>
      </c>
      <c r="B27" s="5" t="inlineStr">
        <is>
          <t>20:09</t>
        </is>
      </c>
      <c r="C27" s="7" t="n">
        <v>7</v>
      </c>
      <c r="D27" s="6" t="n">
        <v>126.6</v>
      </c>
      <c r="E27" s="7" t="n"/>
      <c r="F27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30" customWidth="1" min="4" max="4"/>
    <col width="18" customWidth="1" min="5" max="5"/>
  </cols>
  <sheetData>
    <row r="1">
      <c r="A1" s="1" t="inlineStr">
        <is>
          <t>Test du 09/09/2022 (jour choisi par le service) : 14 rafales DEL, rattachement aux notes Demi Lune re-saisies</t>
        </is>
      </c>
    </row>
    <row r="2">
      <c r="A2" s="2" t="inlineStr">
        <is>
          <t>Nb et Somme obtenus par COUNTIF/SUMIF sur Src-E1-DEL-0909 ; Montant rattaché = somme si une note Demi Lune du même horaire porte ce total, sinon 0.</t>
        </is>
      </c>
    </row>
    <row r="3">
      <c r="A3" s="4" t="inlineStr">
        <is>
          <t>Rafale (heure)</t>
        </is>
      </c>
      <c r="B3" s="4" t="inlineStr">
        <is>
          <t>Nb lignes DEL</t>
        </is>
      </c>
      <c r="C3" s="4" t="inlineStr">
        <is>
          <t>Somme DEL (€)</t>
        </is>
      </c>
      <c r="D3" s="4" t="inlineStr">
        <is>
          <t>Note Demi Lune rapprochée</t>
        </is>
      </c>
      <c r="E3" s="4" t="inlineStr">
        <is>
          <t>Montant rattaché (€)</t>
        </is>
      </c>
    </row>
    <row r="4">
      <c r="A4" s="5" t="inlineStr">
        <is>
          <t>11:09</t>
        </is>
      </c>
      <c r="B4" s="7">
        <f>COUNTIF('Src-E1-DEL-0909'!$B$3:$B$69,A4)</f>
        <v/>
      </c>
      <c r="C4" s="6">
        <f>SUMIF('Src-E1-DEL-0909'!$B$3:$B$69,A4,'Src-E1-DEL-0909'!$D$3:$D$69)</f>
        <v/>
      </c>
      <c r="D4" s="12" t="inlineStr">
        <is>
          <t>—</t>
        </is>
      </c>
      <c r="E4" s="6" t="n">
        <v>0</v>
      </c>
    </row>
    <row r="5">
      <c r="A5" s="5" t="inlineStr">
        <is>
          <t>11:28</t>
        </is>
      </c>
      <c r="B5" s="7">
        <f>COUNTIF('Src-E1-DEL-0909'!$B$3:$B$69,A5)</f>
        <v/>
      </c>
      <c r="C5" s="6">
        <f>SUMIF('Src-E1-DEL-0909'!$B$3:$B$69,A5,'Src-E1-DEL-0909'!$D$3:$D$69)</f>
        <v/>
      </c>
      <c r="D5" s="12" t="inlineStr">
        <is>
          <t>—</t>
        </is>
      </c>
      <c r="E5" s="6" t="n">
        <v>0</v>
      </c>
    </row>
    <row r="6">
      <c r="A6" s="5" t="inlineStr">
        <is>
          <t>11:29</t>
        </is>
      </c>
      <c r="B6" s="7">
        <f>COUNTIF('Src-E1-DEL-0909'!$B$3:$B$69,A6)</f>
        <v/>
      </c>
      <c r="C6" s="6">
        <f>SUMIF('Src-E1-DEL-0909'!$B$3:$B$69,A6,'Src-E1-DEL-0909'!$D$3:$D$69)</f>
        <v/>
      </c>
      <c r="D6" s="12" t="inlineStr">
        <is>
          <t>—</t>
        </is>
      </c>
      <c r="E6" s="6" t="n">
        <v>0</v>
      </c>
    </row>
    <row r="7">
      <c r="A7" s="5" t="inlineStr">
        <is>
          <t>11:30</t>
        </is>
      </c>
      <c r="B7" s="7">
        <f>COUNTIF('Src-E1-DEL-0909'!$B$3:$B$69,A7)</f>
        <v/>
      </c>
      <c r="C7" s="6">
        <f>SUMIF('Src-E1-DEL-0909'!$B$3:$B$69,A7,'Src-E1-DEL-0909'!$D$3:$D$69)</f>
        <v/>
      </c>
      <c r="D7" s="12" t="inlineStr">
        <is>
          <t>—</t>
        </is>
      </c>
      <c r="E7" s="6" t="n">
        <v>0</v>
      </c>
    </row>
    <row r="8">
      <c r="A8" s="5" t="inlineStr">
        <is>
          <t>11:42</t>
        </is>
      </c>
      <c r="B8" s="7">
        <f>COUNTIF('Src-E1-DEL-0909'!$B$3:$B$69,A8)</f>
        <v/>
      </c>
      <c r="C8" s="6">
        <f>SUMIF('Src-E1-DEL-0909'!$B$3:$B$69,A8,'Src-E1-DEL-0909'!$D$3:$D$69)</f>
        <v/>
      </c>
      <c r="D8" s="12" t="inlineStr">
        <is>
          <t>—</t>
        </is>
      </c>
      <c r="E8" s="6" t="n">
        <v>0</v>
      </c>
    </row>
    <row r="9">
      <c r="A9" s="5" t="inlineStr">
        <is>
          <t>11:58</t>
        </is>
      </c>
      <c r="B9" s="7">
        <f>COUNTIF('Src-E1-DEL-0909'!$B$3:$B$69,A9)</f>
        <v/>
      </c>
      <c r="C9" s="6">
        <f>SUMIF('Src-E1-DEL-0909'!$B$3:$B$69,A9,'Src-E1-DEL-0909'!$D$3:$D$69)</f>
        <v/>
      </c>
      <c r="D9" s="12" t="inlineStr">
        <is>
          <t>—</t>
        </is>
      </c>
      <c r="E9" s="6" t="n">
        <v>0</v>
      </c>
    </row>
    <row r="10">
      <c r="A10" s="9" t="inlineStr">
        <is>
          <t>12:07</t>
        </is>
      </c>
      <c r="B10" s="10">
        <f>COUNTIF('Src-E1-DEL-0909'!$B$3:$B$69,A10)</f>
        <v/>
      </c>
      <c r="C10" s="11">
        <f>SUMIF('Src-E1-DEL-0909'!$B$3:$B$69,A10,'Src-E1-DEL-0909'!$D$3:$D$69)</f>
        <v/>
      </c>
      <c r="D10" s="13" t="inlineStr">
        <is>
          <t>Note 3 (12:08) : 2×Menu Demi Lune 38,45 €</t>
        </is>
      </c>
      <c r="E10" s="11">
        <f>C10</f>
        <v/>
      </c>
    </row>
    <row r="11">
      <c r="A11" s="9" t="inlineStr">
        <is>
          <t>12:23</t>
        </is>
      </c>
      <c r="B11" s="10">
        <f>COUNTIF('Src-E1-DEL-0909'!$B$3:$B$69,A11)</f>
        <v/>
      </c>
      <c r="C11" s="11">
        <f>SUMIF('Src-E1-DEL-0909'!$B$3:$B$69,A11,'Src-E1-DEL-0909'!$D$3:$D$69)</f>
        <v/>
      </c>
      <c r="D11" s="13" t="inlineStr">
        <is>
          <t>Note 8 (12:23) : 4×Menu Demi Lune 51,75 €</t>
        </is>
      </c>
      <c r="E11" s="11">
        <f>C11</f>
        <v/>
      </c>
    </row>
    <row r="12">
      <c r="A12" s="5" t="inlineStr">
        <is>
          <t>12:35</t>
        </is>
      </c>
      <c r="B12" s="7">
        <f>COUNTIF('Src-E1-DEL-0909'!$B$3:$B$69,A12)</f>
        <v/>
      </c>
      <c r="C12" s="6">
        <f>SUMIF('Src-E1-DEL-0909'!$B$3:$B$69,A12,'Src-E1-DEL-0909'!$D$3:$D$69)</f>
        <v/>
      </c>
      <c r="D12" s="12" t="inlineStr">
        <is>
          <t>—</t>
        </is>
      </c>
      <c r="E12" s="6" t="n">
        <v>0</v>
      </c>
    </row>
    <row r="13">
      <c r="A13" s="5" t="inlineStr">
        <is>
          <t>12:36</t>
        </is>
      </c>
      <c r="B13" s="7">
        <f>COUNTIF('Src-E1-DEL-0909'!$B$3:$B$69,A13)</f>
        <v/>
      </c>
      <c r="C13" s="6">
        <f>SUMIF('Src-E1-DEL-0909'!$B$3:$B$69,A13,'Src-E1-DEL-0909'!$D$3:$D$69)</f>
        <v/>
      </c>
      <c r="D13" s="12" t="inlineStr">
        <is>
          <t>—</t>
        </is>
      </c>
      <c r="E13" s="6" t="n">
        <v>0</v>
      </c>
    </row>
    <row r="14">
      <c r="A14" s="5" t="inlineStr">
        <is>
          <t>18:52</t>
        </is>
      </c>
      <c r="B14" s="7">
        <f>COUNTIF('Src-E1-DEL-0909'!$B$3:$B$69,A14)</f>
        <v/>
      </c>
      <c r="C14" s="6">
        <f>SUMIF('Src-E1-DEL-0909'!$B$3:$B$69,A14,'Src-E1-DEL-0909'!$D$3:$D$69)</f>
        <v/>
      </c>
      <c r="D14" s="12" t="inlineStr">
        <is>
          <t>—</t>
        </is>
      </c>
      <c r="E14" s="6" t="n">
        <v>0</v>
      </c>
    </row>
    <row r="15">
      <c r="A15" s="5" t="inlineStr">
        <is>
          <t>20:09</t>
        </is>
      </c>
      <c r="B15" s="7">
        <f>COUNTIF('Src-E1-DEL-0909'!$B$3:$B$69,A15)</f>
        <v/>
      </c>
      <c r="C15" s="6">
        <f>SUMIF('Src-E1-DEL-0909'!$B$3:$B$69,A15,'Src-E1-DEL-0909'!$D$3:$D$69)</f>
        <v/>
      </c>
      <c r="D15" s="12" t="inlineStr">
        <is>
          <t>—</t>
        </is>
      </c>
      <c r="E15" s="6" t="n">
        <v>0</v>
      </c>
    </row>
    <row r="16">
      <c r="A16" s="5" t="inlineStr">
        <is>
          <t>20:16</t>
        </is>
      </c>
      <c r="B16" s="7">
        <f>COUNTIF('Src-E1-DEL-0909'!$B$3:$B$69,A16)</f>
        <v/>
      </c>
      <c r="C16" s="6">
        <f>SUMIF('Src-E1-DEL-0909'!$B$3:$B$69,A16,'Src-E1-DEL-0909'!$D$3:$D$69)</f>
        <v/>
      </c>
      <c r="D16" s="12" t="inlineStr">
        <is>
          <t>—</t>
        </is>
      </c>
      <c r="E16" s="6" t="n">
        <v>0</v>
      </c>
    </row>
    <row r="17">
      <c r="A17" s="5" t="inlineStr">
        <is>
          <t>20:17</t>
        </is>
      </c>
      <c r="B17" s="7">
        <f>COUNTIF('Src-E1-DEL-0909'!$B$3:$B$69,A17)</f>
        <v/>
      </c>
      <c r="C17" s="6">
        <f>SUMIF('Src-E1-DEL-0909'!$B$3:$B$69,A17,'Src-E1-DEL-0909'!$D$3:$D$69)</f>
        <v/>
      </c>
      <c r="D17" s="12" t="inlineStr">
        <is>
          <t>—</t>
        </is>
      </c>
      <c r="E17" s="6" t="n">
        <v>0</v>
      </c>
    </row>
    <row r="18">
      <c r="A18" s="3" t="inlineStr">
        <is>
          <t>TOTAL</t>
        </is>
      </c>
      <c r="B18" s="14">
        <f>SUM(B4:B17)</f>
        <v/>
      </c>
      <c r="C18" s="15">
        <f>SUM(C4:C17)</f>
        <v/>
      </c>
      <c r="D18" s="16" t="inlineStr">
        <is>
          <t>dont rattaché →</t>
        </is>
      </c>
      <c r="E18" s="17">
        <f>SUM(E4:E17)</f>
        <v/>
      </c>
    </row>
    <row r="20">
      <c r="A20" s="3" t="inlineStr">
        <is>
          <t>Taux de rattachement (montant)</t>
        </is>
      </c>
      <c r="C20" s="18">
        <f>E18/C18</f>
        <v/>
      </c>
    </row>
    <row r="21">
      <c r="A21" t="inlineStr">
        <is>
          <t>Montant DEL non rattaché à une note Demi Lune re-saisie</t>
        </is>
      </c>
      <c r="C21" s="19">
        <f>C18-E18</f>
        <v/>
      </c>
    </row>
    <row r="23">
      <c r="A23" s="20" t="inlineStr">
        <is>
          <t>Note : les deux seuls « trous » dans la numérotation des id DEL du jour (42098 et 42123) correspondent à un évènement RPR et à un évènement CON — non-DEL — relevés sur l'annexe E1, et non à des DEL manquantes.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4" customWidth="1" min="3" max="3"/>
    <col width="10" customWidth="1" min="4" max="4"/>
  </cols>
  <sheetData>
    <row r="1">
      <c r="A1" s="3" t="inlineStr">
        <is>
          <t>ANNEXE-E1 — lignes DEL des 16 rafales converties au forfait (exercice 2022-2023)</t>
        </is>
      </c>
    </row>
    <row r="2">
      <c r="A2" s="4" t="inlineStr">
        <is>
          <t>Date</t>
        </is>
      </c>
      <c r="B2" s="4" t="inlineStr">
        <is>
          <t>Heure</t>
        </is>
      </c>
      <c r="C2" s="4" t="inlineStr">
        <is>
          <t>Montant (€)</t>
        </is>
      </c>
      <c r="D2" s="4" t="inlineStr">
        <is>
          <t>id</t>
        </is>
      </c>
    </row>
    <row r="3">
      <c r="A3" s="5" t="inlineStr">
        <is>
          <t>2022-04-21</t>
        </is>
      </c>
      <c r="B3" s="5" t="inlineStr">
        <is>
          <t>12:58</t>
        </is>
      </c>
      <c r="C3" s="6" t="n">
        <v>4.4</v>
      </c>
      <c r="D3" s="7" t="n">
        <v>37010</v>
      </c>
    </row>
    <row r="4">
      <c r="A4" s="5" t="inlineStr">
        <is>
          <t>2022-04-21</t>
        </is>
      </c>
      <c r="B4" s="5" t="inlineStr">
        <is>
          <t>12:58</t>
        </is>
      </c>
      <c r="C4" s="6" t="n">
        <v>17.6</v>
      </c>
      <c r="D4" s="7" t="n">
        <v>37011</v>
      </c>
    </row>
    <row r="5">
      <c r="A5" s="5" t="inlineStr">
        <is>
          <t>2022-04-21</t>
        </is>
      </c>
      <c r="B5" s="5" t="inlineStr">
        <is>
          <t>12:58</t>
        </is>
      </c>
      <c r="C5" s="6" t="n">
        <v>8.4</v>
      </c>
      <c r="D5" s="7" t="n">
        <v>37012</v>
      </c>
    </row>
    <row r="6">
      <c r="A6" s="5" t="inlineStr">
        <is>
          <t>2022-04-21</t>
        </is>
      </c>
      <c r="B6" s="5" t="inlineStr">
        <is>
          <t>19:19</t>
        </is>
      </c>
      <c r="C6" s="6" t="n">
        <v>45</v>
      </c>
      <c r="D6" s="7" t="n">
        <v>37024</v>
      </c>
    </row>
    <row r="7">
      <c r="A7" s="5" t="inlineStr">
        <is>
          <t>2022-04-21</t>
        </is>
      </c>
      <c r="B7" s="5" t="inlineStr">
        <is>
          <t>19:19</t>
        </is>
      </c>
      <c r="C7" s="6" t="n">
        <v>4.2</v>
      </c>
      <c r="D7" s="7" t="n">
        <v>37025</v>
      </c>
    </row>
    <row r="8">
      <c r="A8" s="5" t="inlineStr">
        <is>
          <t>2022-05-06</t>
        </is>
      </c>
      <c r="B8" s="5" t="inlineStr">
        <is>
          <t>11:51</t>
        </is>
      </c>
      <c r="C8" s="6" t="n">
        <v>2.2</v>
      </c>
      <c r="D8" s="7" t="n">
        <v>37389</v>
      </c>
    </row>
    <row r="9">
      <c r="A9" s="5" t="inlineStr">
        <is>
          <t>2022-05-06</t>
        </is>
      </c>
      <c r="B9" s="5" t="inlineStr">
        <is>
          <t>11:51</t>
        </is>
      </c>
      <c r="C9" s="6" t="n">
        <v>7.8</v>
      </c>
      <c r="D9" s="7" t="n">
        <v>37390</v>
      </c>
    </row>
    <row r="10">
      <c r="A10" s="5" t="inlineStr">
        <is>
          <t>2022-05-06</t>
        </is>
      </c>
      <c r="B10" s="5" t="inlineStr">
        <is>
          <t>11:51</t>
        </is>
      </c>
      <c r="C10" s="6" t="n">
        <v>7.8</v>
      </c>
      <c r="D10" s="7" t="n">
        <v>37391</v>
      </c>
    </row>
    <row r="11">
      <c r="A11" s="5" t="inlineStr">
        <is>
          <t>2022-05-06</t>
        </is>
      </c>
      <c r="B11" s="5" t="inlineStr">
        <is>
          <t>11:51</t>
        </is>
      </c>
      <c r="C11" s="6" t="n">
        <v>17.6</v>
      </c>
      <c r="D11" s="7" t="n">
        <v>37392</v>
      </c>
    </row>
    <row r="12">
      <c r="A12" s="5" t="inlineStr">
        <is>
          <t>2022-05-06</t>
        </is>
      </c>
      <c r="B12" s="5" t="inlineStr">
        <is>
          <t>11:51</t>
        </is>
      </c>
      <c r="C12" s="6" t="n">
        <v>19</v>
      </c>
      <c r="D12" s="7" t="n">
        <v>37393</v>
      </c>
    </row>
    <row r="13">
      <c r="A13" s="5" t="inlineStr">
        <is>
          <t>2022-07-12</t>
        </is>
      </c>
      <c r="B13" s="5" t="inlineStr">
        <is>
          <t>12:01</t>
        </is>
      </c>
      <c r="C13" s="6" t="n">
        <v>4.4</v>
      </c>
      <c r="D13" s="7" t="n">
        <v>39673</v>
      </c>
    </row>
    <row r="14">
      <c r="A14" s="5" t="inlineStr">
        <is>
          <t>2022-07-12</t>
        </is>
      </c>
      <c r="B14" s="5" t="inlineStr">
        <is>
          <t>12:01</t>
        </is>
      </c>
      <c r="C14" s="6" t="n">
        <v>9.699999999999999</v>
      </c>
      <c r="D14" s="7" t="n">
        <v>39674</v>
      </c>
    </row>
    <row r="15">
      <c r="A15" s="5" t="inlineStr">
        <is>
          <t>2022-07-12</t>
        </is>
      </c>
      <c r="B15" s="5" t="inlineStr">
        <is>
          <t>12:01</t>
        </is>
      </c>
      <c r="C15" s="6" t="n">
        <v>25.5</v>
      </c>
      <c r="D15" s="7" t="n">
        <v>39675</v>
      </c>
    </row>
    <row r="16">
      <c r="A16" s="5" t="inlineStr">
        <is>
          <t>2022-07-12</t>
        </is>
      </c>
      <c r="B16" s="5" t="inlineStr">
        <is>
          <t>12:01</t>
        </is>
      </c>
      <c r="C16" s="6" t="n">
        <v>1.8</v>
      </c>
      <c r="D16" s="7" t="n">
        <v>39676</v>
      </c>
    </row>
    <row r="17">
      <c r="A17" s="5" t="inlineStr">
        <is>
          <t>2022-07-12</t>
        </is>
      </c>
      <c r="B17" s="5" t="inlineStr">
        <is>
          <t>12:01</t>
        </is>
      </c>
      <c r="C17" s="6" t="n">
        <v>43.2</v>
      </c>
      <c r="D17" s="7" t="n">
        <v>39677</v>
      </c>
    </row>
    <row r="18">
      <c r="A18" s="5" t="inlineStr">
        <is>
          <t>2022-07-12</t>
        </is>
      </c>
      <c r="B18" s="5" t="inlineStr">
        <is>
          <t>12:01</t>
        </is>
      </c>
      <c r="C18" s="6" t="n">
        <v>19</v>
      </c>
      <c r="D18" s="7" t="n">
        <v>39678</v>
      </c>
    </row>
    <row r="19">
      <c r="A19" s="5" t="inlineStr">
        <is>
          <t>2022-07-12</t>
        </is>
      </c>
      <c r="B19" s="5" t="inlineStr">
        <is>
          <t>12:01</t>
        </is>
      </c>
      <c r="C19" s="6" t="n">
        <v>35.2</v>
      </c>
      <c r="D19" s="7" t="n">
        <v>39679</v>
      </c>
    </row>
    <row r="20">
      <c r="A20" s="5" t="inlineStr">
        <is>
          <t>2022-07-12</t>
        </is>
      </c>
      <c r="B20" s="5" t="inlineStr">
        <is>
          <t>12:01</t>
        </is>
      </c>
      <c r="C20" s="6" t="n">
        <v>15.9</v>
      </c>
      <c r="D20" s="7" t="n">
        <v>39680</v>
      </c>
    </row>
    <row r="21">
      <c r="A21" s="5" t="inlineStr">
        <is>
          <t>2022-07-12</t>
        </is>
      </c>
      <c r="B21" s="5" t="inlineStr">
        <is>
          <t>12:01</t>
        </is>
      </c>
      <c r="C21" s="6" t="n">
        <v>4.9</v>
      </c>
      <c r="D21" s="7" t="n">
        <v>39681</v>
      </c>
    </row>
    <row r="22">
      <c r="A22" s="5" t="inlineStr">
        <is>
          <t>2022-07-12</t>
        </is>
      </c>
      <c r="B22" s="5" t="inlineStr">
        <is>
          <t>12:01</t>
        </is>
      </c>
      <c r="C22" s="6" t="n">
        <v>3.9</v>
      </c>
      <c r="D22" s="7" t="n">
        <v>39682</v>
      </c>
    </row>
    <row r="23">
      <c r="A23" s="5" t="inlineStr">
        <is>
          <t>2022-07-12</t>
        </is>
      </c>
      <c r="B23" s="5" t="inlineStr">
        <is>
          <t>12:01</t>
        </is>
      </c>
      <c r="C23" s="6" t="n">
        <v>3.9</v>
      </c>
      <c r="D23" s="7" t="n">
        <v>39683</v>
      </c>
    </row>
    <row r="24">
      <c r="A24" s="5" t="inlineStr">
        <is>
          <t>2022-07-12</t>
        </is>
      </c>
      <c r="B24" s="5" t="inlineStr">
        <is>
          <t>12:01</t>
        </is>
      </c>
      <c r="C24" s="6" t="n">
        <v>15.8</v>
      </c>
      <c r="D24" s="7" t="n">
        <v>39684</v>
      </c>
    </row>
    <row r="25">
      <c r="A25" s="5" t="inlineStr">
        <is>
          <t>2022-07-12</t>
        </is>
      </c>
      <c r="B25" s="5" t="inlineStr">
        <is>
          <t>12:01</t>
        </is>
      </c>
      <c r="C25" s="6" t="n">
        <v>3.9</v>
      </c>
      <c r="D25" s="7" t="n">
        <v>39685</v>
      </c>
    </row>
    <row r="26">
      <c r="A26" s="5" t="inlineStr">
        <is>
          <t>2022-07-20</t>
        </is>
      </c>
      <c r="B26" s="5" t="inlineStr">
        <is>
          <t>12:38</t>
        </is>
      </c>
      <c r="C26" s="6" t="n">
        <v>7.8</v>
      </c>
      <c r="D26" s="7" t="n">
        <v>40028</v>
      </c>
    </row>
    <row r="27">
      <c r="A27" s="5" t="inlineStr">
        <is>
          <t>2022-07-20</t>
        </is>
      </c>
      <c r="B27" s="5" t="inlineStr">
        <is>
          <t>12:38</t>
        </is>
      </c>
      <c r="C27" s="6" t="n">
        <v>5.9</v>
      </c>
      <c r="D27" s="7" t="n">
        <v>40029</v>
      </c>
    </row>
    <row r="28">
      <c r="A28" s="5" t="inlineStr">
        <is>
          <t>2022-07-20</t>
        </is>
      </c>
      <c r="B28" s="5" t="inlineStr">
        <is>
          <t>12:38</t>
        </is>
      </c>
      <c r="C28" s="6" t="n">
        <v>2.2</v>
      </c>
      <c r="D28" s="7" t="n">
        <v>40030</v>
      </c>
    </row>
    <row r="29">
      <c r="A29" s="5" t="inlineStr">
        <is>
          <t>2022-07-20</t>
        </is>
      </c>
      <c r="B29" s="5" t="inlineStr">
        <is>
          <t>12:38</t>
        </is>
      </c>
      <c r="C29" s="6" t="n">
        <v>19.9</v>
      </c>
      <c r="D29" s="7" t="n">
        <v>40031</v>
      </c>
    </row>
    <row r="30">
      <c r="A30" s="5" t="inlineStr">
        <is>
          <t>2022-07-20</t>
        </is>
      </c>
      <c r="B30" s="5" t="inlineStr">
        <is>
          <t>12:38</t>
        </is>
      </c>
      <c r="C30" s="6" t="n">
        <v>4</v>
      </c>
      <c r="D30" s="7" t="n">
        <v>40032</v>
      </c>
    </row>
    <row r="31">
      <c r="A31" s="5" t="inlineStr">
        <is>
          <t>2022-07-21</t>
        </is>
      </c>
      <c r="B31" s="5" t="inlineStr">
        <is>
          <t>12:03</t>
        </is>
      </c>
      <c r="C31" s="6" t="n">
        <v>8.5</v>
      </c>
      <c r="D31" s="7" t="n">
        <v>40049</v>
      </c>
    </row>
    <row r="32">
      <c r="A32" s="5" t="inlineStr">
        <is>
          <t>2022-07-21</t>
        </is>
      </c>
      <c r="B32" s="5" t="inlineStr">
        <is>
          <t>12:03</t>
        </is>
      </c>
      <c r="C32" s="6" t="n">
        <v>8.1</v>
      </c>
      <c r="D32" s="7" t="n">
        <v>40050</v>
      </c>
    </row>
    <row r="33">
      <c r="A33" s="5" t="inlineStr">
        <is>
          <t>2022-07-21</t>
        </is>
      </c>
      <c r="B33" s="5" t="inlineStr">
        <is>
          <t>12:03</t>
        </is>
      </c>
      <c r="C33" s="6" t="n">
        <v>14.5</v>
      </c>
      <c r="D33" s="7" t="n">
        <v>40051</v>
      </c>
    </row>
    <row r="34">
      <c r="A34" s="5" t="inlineStr">
        <is>
          <t>2022-07-21</t>
        </is>
      </c>
      <c r="B34" s="5" t="inlineStr">
        <is>
          <t>12:03</t>
        </is>
      </c>
      <c r="C34" s="6" t="n">
        <v>19.9</v>
      </c>
      <c r="D34" s="7" t="n">
        <v>40052</v>
      </c>
    </row>
    <row r="35">
      <c r="A35" s="5" t="inlineStr">
        <is>
          <t>2022-07-21</t>
        </is>
      </c>
      <c r="B35" s="5" t="inlineStr">
        <is>
          <t>12:03</t>
        </is>
      </c>
      <c r="C35" s="6" t="n">
        <v>9.9</v>
      </c>
      <c r="D35" s="7" t="n">
        <v>40053</v>
      </c>
    </row>
    <row r="36">
      <c r="A36" s="5" t="inlineStr">
        <is>
          <t>2022-07-21</t>
        </is>
      </c>
      <c r="B36" s="5" t="inlineStr">
        <is>
          <t>12:03</t>
        </is>
      </c>
      <c r="C36" s="6" t="n">
        <v>7.9</v>
      </c>
      <c r="D36" s="7" t="n">
        <v>40054</v>
      </c>
    </row>
    <row r="37">
      <c r="A37" s="5" t="inlineStr">
        <is>
          <t>2022-07-21</t>
        </is>
      </c>
      <c r="B37" s="5" t="inlineStr">
        <is>
          <t>12:03</t>
        </is>
      </c>
      <c r="C37" s="6" t="n">
        <v>7.8</v>
      </c>
      <c r="D37" s="7" t="n">
        <v>40055</v>
      </c>
    </row>
    <row r="38">
      <c r="A38" s="5" t="inlineStr">
        <is>
          <t>2022-07-29</t>
        </is>
      </c>
      <c r="B38" s="5" t="inlineStr">
        <is>
          <t>13:02</t>
        </is>
      </c>
      <c r="C38" s="6" t="n">
        <v>2.2</v>
      </c>
      <c r="D38" s="7" t="n">
        <v>40388</v>
      </c>
    </row>
    <row r="39">
      <c r="A39" s="5" t="inlineStr">
        <is>
          <t>2022-07-29</t>
        </is>
      </c>
      <c r="B39" s="5" t="inlineStr">
        <is>
          <t>13:02</t>
        </is>
      </c>
      <c r="C39" s="6" t="n">
        <v>6.9</v>
      </c>
      <c r="D39" s="7" t="n">
        <v>40389</v>
      </c>
    </row>
    <row r="40">
      <c r="A40" s="5" t="inlineStr">
        <is>
          <t>2022-07-29</t>
        </is>
      </c>
      <c r="B40" s="5" t="inlineStr">
        <is>
          <t>13:02</t>
        </is>
      </c>
      <c r="C40" s="6" t="n">
        <v>30</v>
      </c>
      <c r="D40" s="7" t="n">
        <v>40390</v>
      </c>
    </row>
    <row r="41">
      <c r="A41" s="5" t="inlineStr">
        <is>
          <t>2022-07-29</t>
        </is>
      </c>
      <c r="B41" s="5" t="inlineStr">
        <is>
          <t>13:02</t>
        </is>
      </c>
      <c r="C41" s="6" t="n">
        <v>28.6</v>
      </c>
      <c r="D41" s="7" t="n">
        <v>40391</v>
      </c>
    </row>
    <row r="42">
      <c r="A42" s="5" t="inlineStr">
        <is>
          <t>2022-07-29</t>
        </is>
      </c>
      <c r="B42" s="5" t="inlineStr">
        <is>
          <t>13:02</t>
        </is>
      </c>
      <c r="C42" s="6" t="n">
        <v>27.8</v>
      </c>
      <c r="D42" s="7" t="n">
        <v>40392</v>
      </c>
    </row>
    <row r="43">
      <c r="A43" s="5" t="inlineStr">
        <is>
          <t>2022-07-29</t>
        </is>
      </c>
      <c r="B43" s="5" t="inlineStr">
        <is>
          <t>13:02</t>
        </is>
      </c>
      <c r="C43" s="6" t="n">
        <v>5.2</v>
      </c>
      <c r="D43" s="7" t="n">
        <v>40393</v>
      </c>
    </row>
    <row r="44">
      <c r="A44" s="5" t="inlineStr">
        <is>
          <t>2022-07-29</t>
        </is>
      </c>
      <c r="B44" s="5" t="inlineStr">
        <is>
          <t>13:02</t>
        </is>
      </c>
      <c r="C44" s="6" t="n">
        <v>7.5</v>
      </c>
      <c r="D44" s="7" t="n">
        <v>40394</v>
      </c>
    </row>
    <row r="45">
      <c r="A45" s="5" t="inlineStr">
        <is>
          <t>2022-08-09</t>
        </is>
      </c>
      <c r="B45" s="5" t="inlineStr">
        <is>
          <t>12:13</t>
        </is>
      </c>
      <c r="C45" s="6" t="n">
        <v>17.6</v>
      </c>
      <c r="D45" s="7" t="n">
        <v>40821</v>
      </c>
    </row>
    <row r="46">
      <c r="A46" s="5" t="inlineStr">
        <is>
          <t>2022-08-09</t>
        </is>
      </c>
      <c r="B46" s="5" t="inlineStr">
        <is>
          <t>12:13</t>
        </is>
      </c>
      <c r="C46" s="6" t="n">
        <v>17.6</v>
      </c>
      <c r="D46" s="7" t="n">
        <v>40822</v>
      </c>
    </row>
    <row r="47">
      <c r="A47" s="5" t="inlineStr">
        <is>
          <t>2022-08-09</t>
        </is>
      </c>
      <c r="B47" s="5" t="inlineStr">
        <is>
          <t>12:13</t>
        </is>
      </c>
      <c r="C47" s="6" t="n">
        <v>6.5</v>
      </c>
      <c r="D47" s="7" t="n">
        <v>40823</v>
      </c>
    </row>
    <row r="48">
      <c r="A48" s="5" t="inlineStr">
        <is>
          <t>2022-08-09</t>
        </is>
      </c>
      <c r="B48" s="5" t="inlineStr">
        <is>
          <t>12:13</t>
        </is>
      </c>
      <c r="C48" s="6" t="n">
        <v>3.9</v>
      </c>
      <c r="D48" s="7" t="n">
        <v>40824</v>
      </c>
    </row>
    <row r="49">
      <c r="A49" s="5" t="inlineStr">
        <is>
          <t>2022-08-17</t>
        </is>
      </c>
      <c r="B49" s="5" t="inlineStr">
        <is>
          <t>11:52</t>
        </is>
      </c>
      <c r="C49" s="6" t="n">
        <v>8.699999999999999</v>
      </c>
      <c r="D49" s="7" t="n">
        <v>41191</v>
      </c>
    </row>
    <row r="50">
      <c r="A50" s="5" t="inlineStr">
        <is>
          <t>2022-08-17</t>
        </is>
      </c>
      <c r="B50" s="5" t="inlineStr">
        <is>
          <t>11:52</t>
        </is>
      </c>
      <c r="C50" s="6" t="n">
        <v>19.9</v>
      </c>
      <c r="D50" s="7" t="n">
        <v>41192</v>
      </c>
    </row>
    <row r="51">
      <c r="A51" s="5" t="inlineStr">
        <is>
          <t>2022-08-17</t>
        </is>
      </c>
      <c r="B51" s="5" t="inlineStr">
        <is>
          <t>11:52</t>
        </is>
      </c>
      <c r="C51" s="6" t="n">
        <v>4</v>
      </c>
      <c r="D51" s="7" t="n">
        <v>41193</v>
      </c>
    </row>
    <row r="52">
      <c r="A52" s="5" t="inlineStr">
        <is>
          <t>2022-08-25</t>
        </is>
      </c>
      <c r="B52" s="5" t="inlineStr">
        <is>
          <t>12:02</t>
        </is>
      </c>
      <c r="C52" s="6" t="n">
        <v>2.2</v>
      </c>
      <c r="D52" s="7" t="n">
        <v>41452</v>
      </c>
    </row>
    <row r="53">
      <c r="A53" s="5" t="inlineStr">
        <is>
          <t>2022-08-25</t>
        </is>
      </c>
      <c r="B53" s="5" t="inlineStr">
        <is>
          <t>12:02</t>
        </is>
      </c>
      <c r="C53" s="6" t="n">
        <v>31.8</v>
      </c>
      <c r="D53" s="7" t="n">
        <v>41453</v>
      </c>
    </row>
    <row r="54">
      <c r="A54" s="5" t="inlineStr">
        <is>
          <t>2022-08-25</t>
        </is>
      </c>
      <c r="B54" s="5" t="inlineStr">
        <is>
          <t>12:02</t>
        </is>
      </c>
      <c r="C54" s="6" t="n">
        <v>5.9</v>
      </c>
      <c r="D54" s="7" t="n">
        <v>41454</v>
      </c>
    </row>
    <row r="55">
      <c r="A55" s="5" t="inlineStr">
        <is>
          <t>2022-08-25</t>
        </is>
      </c>
      <c r="B55" s="5" t="inlineStr">
        <is>
          <t>12:02</t>
        </is>
      </c>
      <c r="C55" s="6" t="n">
        <v>3.9</v>
      </c>
      <c r="D55" s="7" t="n">
        <v>41455</v>
      </c>
    </row>
    <row r="56">
      <c r="A56" s="5" t="inlineStr">
        <is>
          <t>2022-09-09</t>
        </is>
      </c>
      <c r="B56" s="5" t="inlineStr">
        <is>
          <t>12:07</t>
        </is>
      </c>
      <c r="C56" s="6" t="n">
        <v>6.9</v>
      </c>
      <c r="D56" s="7" t="n">
        <v>42080</v>
      </c>
    </row>
    <row r="57">
      <c r="A57" s="5" t="inlineStr">
        <is>
          <t>2022-09-09</t>
        </is>
      </c>
      <c r="B57" s="5" t="inlineStr">
        <is>
          <t>12:07</t>
        </is>
      </c>
      <c r="C57" s="6" t="n">
        <v>3.9</v>
      </c>
      <c r="D57" s="7" t="n">
        <v>42081</v>
      </c>
    </row>
    <row r="58">
      <c r="A58" s="5" t="inlineStr">
        <is>
          <t>2022-09-09</t>
        </is>
      </c>
      <c r="B58" s="5" t="inlineStr">
        <is>
          <t>12:07</t>
        </is>
      </c>
      <c r="C58" s="6" t="n">
        <v>7.2</v>
      </c>
      <c r="D58" s="7" t="n">
        <v>42082</v>
      </c>
    </row>
    <row r="59">
      <c r="A59" s="5" t="inlineStr">
        <is>
          <t>2022-09-09</t>
        </is>
      </c>
      <c r="B59" s="5" t="inlineStr">
        <is>
          <t>12:07</t>
        </is>
      </c>
      <c r="C59" s="6" t="n">
        <v>4.9</v>
      </c>
      <c r="D59" s="7" t="n">
        <v>42083</v>
      </c>
    </row>
    <row r="60">
      <c r="A60" s="5" t="inlineStr">
        <is>
          <t>2022-09-09</t>
        </is>
      </c>
      <c r="B60" s="5" t="inlineStr">
        <is>
          <t>12:07</t>
        </is>
      </c>
      <c r="C60" s="6" t="n">
        <v>19</v>
      </c>
      <c r="D60" s="7" t="n">
        <v>42084</v>
      </c>
    </row>
    <row r="61">
      <c r="A61" s="5" t="inlineStr">
        <is>
          <t>2022-09-09</t>
        </is>
      </c>
      <c r="B61" s="5" t="inlineStr">
        <is>
          <t>12:07</t>
        </is>
      </c>
      <c r="C61" s="6" t="n">
        <v>27.8</v>
      </c>
      <c r="D61" s="7" t="n">
        <v>42085</v>
      </c>
    </row>
    <row r="62">
      <c r="A62" s="5" t="inlineStr">
        <is>
          <t>2022-09-09</t>
        </is>
      </c>
      <c r="B62" s="5" t="inlineStr">
        <is>
          <t>12:07</t>
        </is>
      </c>
      <c r="C62" s="6" t="n">
        <v>7.2</v>
      </c>
      <c r="D62" s="7" t="n">
        <v>42086</v>
      </c>
    </row>
    <row r="63">
      <c r="A63" s="5" t="inlineStr">
        <is>
          <t>2022-09-09</t>
        </is>
      </c>
      <c r="B63" s="5" t="inlineStr">
        <is>
          <t>12:23</t>
        </is>
      </c>
      <c r="C63" s="6" t="n">
        <v>15.6</v>
      </c>
      <c r="D63" s="7" t="n">
        <v>42087</v>
      </c>
    </row>
    <row r="64">
      <c r="A64" s="5" t="inlineStr">
        <is>
          <t>2022-09-09</t>
        </is>
      </c>
      <c r="B64" s="5" t="inlineStr">
        <is>
          <t>12:23</t>
        </is>
      </c>
      <c r="C64" s="6" t="n">
        <v>6.5</v>
      </c>
      <c r="D64" s="7" t="n">
        <v>42088</v>
      </c>
    </row>
    <row r="65">
      <c r="A65" s="5" t="inlineStr">
        <is>
          <t>2022-09-09</t>
        </is>
      </c>
      <c r="B65" s="5" t="inlineStr">
        <is>
          <t>12:23</t>
        </is>
      </c>
      <c r="C65" s="6" t="n">
        <v>20.8</v>
      </c>
      <c r="D65" s="7" t="n">
        <v>42089</v>
      </c>
    </row>
    <row r="66">
      <c r="A66" s="5" t="inlineStr">
        <is>
          <t>2022-09-09</t>
        </is>
      </c>
      <c r="B66" s="5" t="inlineStr">
        <is>
          <t>12:23</t>
        </is>
      </c>
      <c r="C66" s="6" t="n">
        <v>7</v>
      </c>
      <c r="D66" s="7" t="n">
        <v>42090</v>
      </c>
    </row>
    <row r="67">
      <c r="A67" s="5" t="inlineStr">
        <is>
          <t>2022-09-09</t>
        </is>
      </c>
      <c r="B67" s="5" t="inlineStr">
        <is>
          <t>12:23</t>
        </is>
      </c>
      <c r="C67" s="6" t="n">
        <v>2.2</v>
      </c>
      <c r="D67" s="7" t="n">
        <v>42091</v>
      </c>
    </row>
    <row r="68">
      <c r="A68" s="5" t="inlineStr">
        <is>
          <t>2022-09-09</t>
        </is>
      </c>
      <c r="B68" s="5" t="inlineStr">
        <is>
          <t>12:23</t>
        </is>
      </c>
      <c r="C68" s="6" t="n">
        <v>29.9</v>
      </c>
      <c r="D68" s="7" t="n">
        <v>42092</v>
      </c>
    </row>
    <row r="69">
      <c r="A69" s="5" t="inlineStr">
        <is>
          <t>2022-09-09</t>
        </is>
      </c>
      <c r="B69" s="5" t="inlineStr">
        <is>
          <t>12:23</t>
        </is>
      </c>
      <c r="C69" s="6" t="n">
        <v>35.2</v>
      </c>
      <c r="D69" s="7" t="n">
        <v>42093</v>
      </c>
    </row>
    <row r="70">
      <c r="A70" s="5" t="inlineStr">
        <is>
          <t>2022-09-09</t>
        </is>
      </c>
      <c r="B70" s="5" t="inlineStr">
        <is>
          <t>12:23</t>
        </is>
      </c>
      <c r="C70" s="6" t="n">
        <v>59.8</v>
      </c>
      <c r="D70" s="7" t="n">
        <v>42094</v>
      </c>
    </row>
    <row r="71">
      <c r="A71" s="5" t="inlineStr">
        <is>
          <t>2022-09-09</t>
        </is>
      </c>
      <c r="B71" s="5" t="inlineStr">
        <is>
          <t>12:23</t>
        </is>
      </c>
      <c r="C71" s="6" t="n">
        <v>30</v>
      </c>
      <c r="D71" s="7" t="n">
        <v>42095</v>
      </c>
    </row>
    <row r="72">
      <c r="A72" s="5" t="inlineStr">
        <is>
          <t>2022-10-13</t>
        </is>
      </c>
      <c r="B72" s="5" t="inlineStr">
        <is>
          <t>12:21</t>
        </is>
      </c>
      <c r="C72" s="6" t="n">
        <v>16.9</v>
      </c>
      <c r="D72" s="7" t="n">
        <v>43076</v>
      </c>
    </row>
    <row r="73">
      <c r="A73" s="5" t="inlineStr">
        <is>
          <t>2022-10-13</t>
        </is>
      </c>
      <c r="B73" s="5" t="inlineStr">
        <is>
          <t>12:21</t>
        </is>
      </c>
      <c r="C73" s="6" t="n">
        <v>27.8</v>
      </c>
      <c r="D73" s="7" t="n">
        <v>43077</v>
      </c>
    </row>
    <row r="74">
      <c r="A74" s="5" t="inlineStr">
        <is>
          <t>2022-10-13</t>
        </is>
      </c>
      <c r="B74" s="5" t="inlineStr">
        <is>
          <t>12:21</t>
        </is>
      </c>
      <c r="C74" s="6" t="n">
        <v>55.8</v>
      </c>
      <c r="D74" s="7" t="n">
        <v>43078</v>
      </c>
    </row>
    <row r="75">
      <c r="A75" s="5" t="inlineStr">
        <is>
          <t>2022-10-13</t>
        </is>
      </c>
      <c r="B75" s="5" t="inlineStr">
        <is>
          <t>12:21</t>
        </is>
      </c>
      <c r="C75" s="6" t="n">
        <v>7.2</v>
      </c>
      <c r="D75" s="7" t="n">
        <v>43079</v>
      </c>
    </row>
    <row r="76">
      <c r="A76" s="5" t="inlineStr">
        <is>
          <t>2022-10-13</t>
        </is>
      </c>
      <c r="B76" s="5" t="inlineStr">
        <is>
          <t>12:21</t>
        </is>
      </c>
      <c r="C76" s="6" t="n">
        <v>9.6</v>
      </c>
      <c r="D76" s="7" t="n">
        <v>43080</v>
      </c>
    </row>
    <row r="77">
      <c r="A77" s="5" t="inlineStr">
        <is>
          <t>2022-10-13</t>
        </is>
      </c>
      <c r="B77" s="5" t="inlineStr">
        <is>
          <t>12:21</t>
        </is>
      </c>
      <c r="C77" s="6" t="n">
        <v>33.8</v>
      </c>
      <c r="D77" s="7" t="n">
        <v>43081</v>
      </c>
    </row>
    <row r="78">
      <c r="A78" s="5" t="inlineStr">
        <is>
          <t>2022-10-13</t>
        </is>
      </c>
      <c r="B78" s="5" t="inlineStr">
        <is>
          <t>12:21</t>
        </is>
      </c>
      <c r="C78" s="6" t="n">
        <v>8.9</v>
      </c>
      <c r="D78" s="7" t="n">
        <v>43082</v>
      </c>
    </row>
    <row r="79">
      <c r="A79" s="5" t="inlineStr">
        <is>
          <t>2022-10-13</t>
        </is>
      </c>
      <c r="B79" s="5" t="inlineStr">
        <is>
          <t>12:21</t>
        </is>
      </c>
      <c r="C79" s="6" t="n">
        <v>12</v>
      </c>
      <c r="D79" s="7" t="n">
        <v>43083</v>
      </c>
    </row>
    <row r="80">
      <c r="A80" s="5" t="inlineStr">
        <is>
          <t>2022-10-13</t>
        </is>
      </c>
      <c r="B80" s="5" t="inlineStr">
        <is>
          <t>12:21</t>
        </is>
      </c>
      <c r="C80" s="6" t="n">
        <v>3.9</v>
      </c>
      <c r="D80" s="7" t="n">
        <v>43084</v>
      </c>
    </row>
    <row r="81">
      <c r="A81" s="5" t="inlineStr">
        <is>
          <t>2022-10-13</t>
        </is>
      </c>
      <c r="B81" s="5" t="inlineStr">
        <is>
          <t>12:21</t>
        </is>
      </c>
      <c r="C81" s="6" t="n">
        <v>5.2</v>
      </c>
      <c r="D81" s="7" t="n">
        <v>43085</v>
      </c>
    </row>
    <row r="82">
      <c r="A82" s="5" t="inlineStr">
        <is>
          <t>2022-10-13</t>
        </is>
      </c>
      <c r="B82" s="5" t="inlineStr">
        <is>
          <t>12:21</t>
        </is>
      </c>
      <c r="C82" s="6" t="n">
        <v>5.2</v>
      </c>
      <c r="D82" s="7" t="n">
        <v>43086</v>
      </c>
    </row>
    <row r="83">
      <c r="A83" s="5" t="inlineStr">
        <is>
          <t>2023-01-05</t>
        </is>
      </c>
      <c r="B83" s="5" t="inlineStr">
        <is>
          <t>12:22</t>
        </is>
      </c>
      <c r="C83" s="6" t="n">
        <v>4.4</v>
      </c>
      <c r="D83" s="7" t="n">
        <v>44686</v>
      </c>
    </row>
    <row r="84">
      <c r="A84" s="5" t="inlineStr">
        <is>
          <t>2023-01-05</t>
        </is>
      </c>
      <c r="B84" s="5" t="inlineStr">
        <is>
          <t>12:22</t>
        </is>
      </c>
      <c r="C84" s="6" t="n">
        <v>68</v>
      </c>
      <c r="D84" s="7" t="n">
        <v>44687</v>
      </c>
    </row>
    <row r="85">
      <c r="A85" s="5" t="inlineStr">
        <is>
          <t>2023-01-05</t>
        </is>
      </c>
      <c r="B85" s="5" t="inlineStr">
        <is>
          <t>12:22</t>
        </is>
      </c>
      <c r="C85" s="6" t="n">
        <v>9.800000000000001</v>
      </c>
      <c r="D85" s="7" t="n">
        <v>44688</v>
      </c>
    </row>
    <row r="86">
      <c r="A86" s="5" t="inlineStr">
        <is>
          <t>2023-01-05</t>
        </is>
      </c>
      <c r="B86" s="5" t="inlineStr">
        <is>
          <t>12:24</t>
        </is>
      </c>
      <c r="C86" s="6" t="n">
        <v>4.4</v>
      </c>
      <c r="D86" s="7" t="n">
        <v>44694</v>
      </c>
    </row>
    <row r="87">
      <c r="A87" s="5" t="inlineStr">
        <is>
          <t>2023-01-05</t>
        </is>
      </c>
      <c r="B87" s="5" t="inlineStr">
        <is>
          <t>12:24</t>
        </is>
      </c>
      <c r="C87" s="6" t="n">
        <v>8.5</v>
      </c>
      <c r="D87" s="7" t="n">
        <v>44695</v>
      </c>
    </row>
    <row r="88">
      <c r="A88" s="5" t="inlineStr">
        <is>
          <t>2023-01-05</t>
        </is>
      </c>
      <c r="B88" s="5" t="inlineStr">
        <is>
          <t>12:24</t>
        </is>
      </c>
      <c r="C88" s="6" t="n">
        <v>10.5</v>
      </c>
      <c r="D88" s="7" t="n">
        <v>44696</v>
      </c>
    </row>
    <row r="89">
      <c r="A89" s="5" t="inlineStr">
        <is>
          <t>2023-01-05</t>
        </is>
      </c>
      <c r="B89" s="5" t="inlineStr">
        <is>
          <t>12:24</t>
        </is>
      </c>
      <c r="C89" s="6" t="n">
        <v>4</v>
      </c>
      <c r="D89" s="7" t="n">
        <v>44697</v>
      </c>
    </row>
    <row r="90">
      <c r="A90" s="5" t="inlineStr">
        <is>
          <t>2023-01-05</t>
        </is>
      </c>
      <c r="B90" s="5" t="inlineStr">
        <is>
          <t>12:24</t>
        </is>
      </c>
      <c r="C90" s="6" t="n">
        <v>7.9</v>
      </c>
      <c r="D90" s="7" t="n">
        <v>44698</v>
      </c>
    </row>
    <row r="91">
      <c r="A91" s="5" t="inlineStr">
        <is>
          <t>2023-01-05</t>
        </is>
      </c>
      <c r="B91" s="5" t="inlineStr">
        <is>
          <t>12:24</t>
        </is>
      </c>
      <c r="C91" s="6" t="n">
        <v>5.9</v>
      </c>
      <c r="D91" s="7" t="n">
        <v>44699</v>
      </c>
    </row>
    <row r="92">
      <c r="A92" s="5" t="inlineStr">
        <is>
          <t>2023-01-05</t>
        </is>
      </c>
      <c r="B92" s="5" t="inlineStr">
        <is>
          <t>12:24</t>
        </is>
      </c>
      <c r="C92" s="6" t="n">
        <v>37.2</v>
      </c>
      <c r="D92" s="7" t="n">
        <v>44700</v>
      </c>
    </row>
    <row r="93">
      <c r="A93" s="5" t="inlineStr">
        <is>
          <t>2023-03-22</t>
        </is>
      </c>
      <c r="B93" s="5" t="inlineStr">
        <is>
          <t>20:36</t>
        </is>
      </c>
      <c r="C93" s="6" t="n">
        <v>2.2</v>
      </c>
      <c r="D93" s="7" t="n">
        <v>45202</v>
      </c>
    </row>
    <row r="94">
      <c r="A94" s="5" t="inlineStr">
        <is>
          <t>2023-03-22</t>
        </is>
      </c>
      <c r="B94" s="5" t="inlineStr">
        <is>
          <t>20:36</t>
        </is>
      </c>
      <c r="C94" s="6" t="n">
        <v>6.9</v>
      </c>
      <c r="D94" s="7" t="n">
        <v>45203</v>
      </c>
    </row>
    <row r="95">
      <c r="A95" s="5" t="inlineStr">
        <is>
          <t>2023-03-22</t>
        </is>
      </c>
      <c r="B95" s="5" t="inlineStr">
        <is>
          <t>20:36</t>
        </is>
      </c>
      <c r="C95" s="6" t="n">
        <v>8.5</v>
      </c>
      <c r="D95" s="7" t="n">
        <v>45204</v>
      </c>
    </row>
    <row r="96">
      <c r="A96" s="5" t="inlineStr">
        <is>
          <t>2023-03-22</t>
        </is>
      </c>
      <c r="B96" s="5" t="inlineStr">
        <is>
          <t>20:36</t>
        </is>
      </c>
      <c r="C96" s="6" t="n">
        <v>8.699999999999999</v>
      </c>
      <c r="D96" s="7" t="n">
        <v>45205</v>
      </c>
    </row>
    <row r="97">
      <c r="A97" s="5" t="inlineStr">
        <is>
          <t>2023-03-22</t>
        </is>
      </c>
      <c r="B97" s="5" t="inlineStr">
        <is>
          <t>20:36</t>
        </is>
      </c>
      <c r="C97" s="6" t="n">
        <v>11.8</v>
      </c>
      <c r="D97" s="7" t="n">
        <v>45206</v>
      </c>
    </row>
    <row r="98">
      <c r="A98" s="5" t="inlineStr">
        <is>
          <t>2023-03-22</t>
        </is>
      </c>
      <c r="B98" s="5" t="inlineStr">
        <is>
          <t>20:36</t>
        </is>
      </c>
      <c r="C98" s="6" t="n">
        <v>10.4</v>
      </c>
      <c r="D98" s="7" t="n">
        <v>45207</v>
      </c>
    </row>
    <row r="99">
      <c r="A99" s="5" t="inlineStr">
        <is>
          <t>2023-03-22</t>
        </is>
      </c>
      <c r="B99" s="5" t="inlineStr">
        <is>
          <t>20:36</t>
        </is>
      </c>
      <c r="C99" s="6" t="n">
        <v>5.2</v>
      </c>
      <c r="D99" s="7" t="n">
        <v>45208</v>
      </c>
    </row>
    <row r="100">
      <c r="A100" s="5" t="inlineStr">
        <is>
          <t>2023-03-22</t>
        </is>
      </c>
      <c r="B100" s="5" t="inlineStr">
        <is>
          <t>20:36</t>
        </is>
      </c>
      <c r="C100" s="6" t="n">
        <v>24</v>
      </c>
      <c r="D100" s="7" t="n">
        <v>45209</v>
      </c>
    </row>
    <row r="101">
      <c r="A101" s="5" t="inlineStr">
        <is>
          <t>2023-03-22</t>
        </is>
      </c>
      <c r="B101" s="5" t="inlineStr">
        <is>
          <t>20:36</t>
        </is>
      </c>
      <c r="C101" s="6" t="n">
        <v>28</v>
      </c>
      <c r="D101" s="7" t="n">
        <v>45210</v>
      </c>
    </row>
    <row r="102">
      <c r="A102" s="5" t="inlineStr">
        <is>
          <t>2023-03-22</t>
        </is>
      </c>
      <c r="B102" s="5" t="inlineStr">
        <is>
          <t>20:36</t>
        </is>
      </c>
      <c r="C102" s="6" t="n">
        <v>55.6</v>
      </c>
      <c r="D102" s="7" t="n">
        <v>45211</v>
      </c>
    </row>
    <row r="103">
      <c r="A103" s="5" t="inlineStr">
        <is>
          <t>2023-03-22</t>
        </is>
      </c>
      <c r="B103" s="5" t="inlineStr">
        <is>
          <t>20:36</t>
        </is>
      </c>
      <c r="C103" s="6" t="n">
        <v>18.6</v>
      </c>
      <c r="D103" s="7" t="n">
        <v>45212</v>
      </c>
    </row>
    <row r="104">
      <c r="A104" s="5" t="inlineStr">
        <is>
          <t>2023-03-22</t>
        </is>
      </c>
      <c r="B104" s="5" t="inlineStr">
        <is>
          <t>20:36</t>
        </is>
      </c>
      <c r="C104" s="6" t="n">
        <v>14.4</v>
      </c>
      <c r="D104" s="7" t="n">
        <v>45213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8" customWidth="1" min="4" max="4"/>
    <col width="22" customWidth="1" min="5" max="5"/>
    <col width="8" customWidth="1" min="6" max="6"/>
    <col width="12" customWidth="1" min="7" max="7"/>
    <col width="14" customWidth="1" min="8" max="8"/>
  </cols>
  <sheetData>
    <row r="1">
      <c r="A1" s="3" t="inlineStr">
        <is>
          <t>ANNEXE-C1 — lignes des 16 notes Demi Lune re-saisies (total ligne = Qté × PU, par formule)</t>
        </is>
      </c>
    </row>
    <row r="2">
      <c r="A2" s="4" t="inlineStr">
        <is>
          <t>Date</t>
        </is>
      </c>
      <c r="B2" s="4" t="inlineStr">
        <is>
          <t>N° note</t>
        </is>
      </c>
      <c r="C2" s="4" t="inlineStr">
        <is>
          <t>Heure</t>
        </is>
      </c>
      <c r="D2" s="4" t="inlineStr">
        <is>
          <t>Réf</t>
        </is>
      </c>
      <c r="E2" s="4" t="inlineStr">
        <is>
          <t>Libellé</t>
        </is>
      </c>
      <c r="F2" s="4" t="inlineStr">
        <is>
          <t>Qté</t>
        </is>
      </c>
      <c r="G2" s="4" t="inlineStr">
        <is>
          <t>PU (€)</t>
        </is>
      </c>
      <c r="H2" s="4" t="inlineStr">
        <is>
          <t>Total ligne (€)</t>
        </is>
      </c>
    </row>
    <row r="3">
      <c r="A3" s="5" t="inlineStr">
        <is>
          <t>2022-04-21</t>
        </is>
      </c>
      <c r="B3" s="7" t="n">
        <v>17</v>
      </c>
      <c r="C3" s="5" t="inlineStr">
        <is>
          <t>12:59</t>
        </is>
      </c>
      <c r="D3" s="5" t="inlineStr">
        <is>
          <t>0196</t>
        </is>
      </c>
      <c r="E3" s="5" t="inlineStr">
        <is>
          <t>Menu 'Demi Lune'</t>
        </is>
      </c>
      <c r="F3" s="7" t="n">
        <v>2</v>
      </c>
      <c r="G3" s="6" t="n">
        <v>15.2</v>
      </c>
      <c r="H3" s="6">
        <f>F3*G3</f>
        <v/>
      </c>
    </row>
    <row r="4">
      <c r="A4" s="5" t="inlineStr">
        <is>
          <t>2022-04-21</t>
        </is>
      </c>
      <c r="B4" s="7" t="n">
        <v>23</v>
      </c>
      <c r="C4" s="5" t="inlineStr">
        <is>
          <t>19:19</t>
        </is>
      </c>
      <c r="D4" s="5" t="inlineStr">
        <is>
          <t>0196</t>
        </is>
      </c>
      <c r="E4" s="5" t="inlineStr">
        <is>
          <t>Menu 'Demi Lune'</t>
        </is>
      </c>
      <c r="F4" s="7" t="n">
        <v>1</v>
      </c>
      <c r="G4" s="6" t="n">
        <v>49.2</v>
      </c>
      <c r="H4" s="6">
        <f>F4*G4</f>
        <v/>
      </c>
    </row>
    <row r="5">
      <c r="A5" s="5" t="inlineStr">
        <is>
          <t>2022-05-06</t>
        </is>
      </c>
      <c r="B5" s="7" t="n">
        <v>5</v>
      </c>
      <c r="C5" s="5" t="inlineStr">
        <is>
          <t>11:51</t>
        </is>
      </c>
      <c r="D5" s="5" t="inlineStr">
        <is>
          <t>0196</t>
        </is>
      </c>
      <c r="E5" s="5" t="inlineStr">
        <is>
          <t>Menu 'Demi Lune'</t>
        </is>
      </c>
      <c r="F5" s="7" t="n">
        <v>2</v>
      </c>
      <c r="G5" s="6" t="n">
        <v>27.2</v>
      </c>
      <c r="H5" s="6">
        <f>F5*G5</f>
        <v/>
      </c>
    </row>
    <row r="6">
      <c r="A6" s="5" t="inlineStr">
        <is>
          <t>2022-07-12</t>
        </is>
      </c>
      <c r="B6" s="7" t="n">
        <v>9</v>
      </c>
      <c r="C6" s="5" t="inlineStr">
        <is>
          <t>12:02</t>
        </is>
      </c>
      <c r="D6" s="5" t="inlineStr">
        <is>
          <t>0196</t>
        </is>
      </c>
      <c r="E6" s="5" t="inlineStr">
        <is>
          <t>Menu 'Demi Lune'</t>
        </is>
      </c>
      <c r="F6" s="7" t="n">
        <v>5</v>
      </c>
      <c r="G6" s="6" t="n">
        <v>37.42</v>
      </c>
      <c r="H6" s="6">
        <f>F6*G6</f>
        <v/>
      </c>
    </row>
    <row r="7">
      <c r="A7" s="5" t="inlineStr">
        <is>
          <t>2022-07-20</t>
        </is>
      </c>
      <c r="B7" s="7" t="n">
        <v>8</v>
      </c>
      <c r="C7" s="5" t="inlineStr">
        <is>
          <t>12:38</t>
        </is>
      </c>
      <c r="D7" s="5" t="inlineStr">
        <is>
          <t>0196</t>
        </is>
      </c>
      <c r="E7" s="5" t="inlineStr">
        <is>
          <t>Menu 'Demi Lune'</t>
        </is>
      </c>
      <c r="F7" s="7" t="n">
        <v>1</v>
      </c>
      <c r="G7" s="6" t="n">
        <v>39.8</v>
      </c>
      <c r="H7" s="6">
        <f>F7*G7</f>
        <v/>
      </c>
    </row>
    <row r="8">
      <c r="A8" s="5" t="inlineStr">
        <is>
          <t>2022-07-21</t>
        </is>
      </c>
      <c r="B8" s="7" t="n">
        <v>8</v>
      </c>
      <c r="C8" s="5" t="inlineStr">
        <is>
          <t>12:03</t>
        </is>
      </c>
      <c r="D8" s="5" t="inlineStr">
        <is>
          <t>0196</t>
        </is>
      </c>
      <c r="E8" s="5" t="inlineStr">
        <is>
          <t>Menu 'Demi Lune'</t>
        </is>
      </c>
      <c r="F8" s="7" t="n">
        <v>2</v>
      </c>
      <c r="G8" s="6" t="n">
        <v>38.3</v>
      </c>
      <c r="H8" s="6">
        <f>F8*G8</f>
        <v/>
      </c>
    </row>
    <row r="9">
      <c r="A9" s="5" t="inlineStr">
        <is>
          <t>2022-07-29</t>
        </is>
      </c>
      <c r="B9" s="7" t="n">
        <v>16</v>
      </c>
      <c r="C9" s="5" t="inlineStr">
        <is>
          <t>13:02</t>
        </is>
      </c>
      <c r="D9" s="5" t="inlineStr">
        <is>
          <t>0196</t>
        </is>
      </c>
      <c r="E9" s="5" t="inlineStr">
        <is>
          <t>Menu 'Demi Lune'</t>
        </is>
      </c>
      <c r="F9" s="7" t="n">
        <v>2</v>
      </c>
      <c r="G9" s="6" t="n">
        <v>54.1</v>
      </c>
      <c r="H9" s="6">
        <f>F9*G9</f>
        <v/>
      </c>
    </row>
    <row r="10">
      <c r="A10" s="5" t="inlineStr">
        <is>
          <t>2022-08-09</t>
        </is>
      </c>
      <c r="B10" s="7" t="n">
        <v>11</v>
      </c>
      <c r="C10" s="5" t="inlineStr">
        <is>
          <t>12:14</t>
        </is>
      </c>
      <c r="D10" s="5" t="inlineStr">
        <is>
          <t>0196</t>
        </is>
      </c>
      <c r="E10" s="5" t="inlineStr">
        <is>
          <t>Menu 'Demi Lune'</t>
        </is>
      </c>
      <c r="F10" s="7" t="n">
        <v>2</v>
      </c>
      <c r="G10" s="6" t="n">
        <v>22.8</v>
      </c>
      <c r="H10" s="6">
        <f>F10*G10</f>
        <v/>
      </c>
    </row>
    <row r="11">
      <c r="A11" s="5" t="inlineStr">
        <is>
          <t>2022-08-17</t>
        </is>
      </c>
      <c r="B11" s="7" t="n">
        <v>3</v>
      </c>
      <c r="C11" s="5" t="inlineStr">
        <is>
          <t>11:52</t>
        </is>
      </c>
      <c r="D11" s="5" t="inlineStr">
        <is>
          <t>0196</t>
        </is>
      </c>
      <c r="E11" s="5" t="inlineStr">
        <is>
          <t>Menu 'Demi Lune'</t>
        </is>
      </c>
      <c r="F11" s="7" t="n">
        <v>1</v>
      </c>
      <c r="G11" s="6" t="n">
        <v>32.6</v>
      </c>
      <c r="H11" s="6">
        <f>F11*G11</f>
        <v/>
      </c>
    </row>
    <row r="12">
      <c r="A12" s="5" t="inlineStr">
        <is>
          <t>2022-08-25</t>
        </is>
      </c>
      <c r="B12" s="7" t="n">
        <v>6</v>
      </c>
      <c r="C12" s="5" t="inlineStr">
        <is>
          <t>12:02</t>
        </is>
      </c>
      <c r="D12" s="5" t="inlineStr">
        <is>
          <t>0196</t>
        </is>
      </c>
      <c r="E12" s="5" t="inlineStr">
        <is>
          <t>Menu 'Demi Lune'</t>
        </is>
      </c>
      <c r="F12" s="7" t="n">
        <v>2</v>
      </c>
      <c r="G12" s="6" t="n">
        <v>21.9</v>
      </c>
      <c r="H12" s="6">
        <f>F12*G12</f>
        <v/>
      </c>
    </row>
    <row r="13">
      <c r="A13" s="5" t="inlineStr">
        <is>
          <t>2022-09-09</t>
        </is>
      </c>
      <c r="B13" s="7" t="n">
        <v>8</v>
      </c>
      <c r="C13" s="5" t="inlineStr">
        <is>
          <t>12:23</t>
        </is>
      </c>
      <c r="D13" s="5" t="inlineStr">
        <is>
          <t>0196</t>
        </is>
      </c>
      <c r="E13" s="5" t="inlineStr">
        <is>
          <t>Menu 'Demi Lune'</t>
        </is>
      </c>
      <c r="F13" s="7" t="n">
        <v>4</v>
      </c>
      <c r="G13" s="6" t="n">
        <v>51.75</v>
      </c>
      <c r="H13" s="6">
        <f>F13*G13</f>
        <v/>
      </c>
    </row>
    <row r="14">
      <c r="A14" s="5" t="inlineStr">
        <is>
          <t>2022-09-09</t>
        </is>
      </c>
      <c r="B14" s="7" t="n">
        <v>3</v>
      </c>
      <c r="C14" s="5" t="inlineStr">
        <is>
          <t>12:08</t>
        </is>
      </c>
      <c r="D14" s="5" t="inlineStr">
        <is>
          <t>0196</t>
        </is>
      </c>
      <c r="E14" s="5" t="inlineStr">
        <is>
          <t>Menu 'Demi Lune'</t>
        </is>
      </c>
      <c r="F14" s="7" t="n">
        <v>2</v>
      </c>
      <c r="G14" s="6" t="n">
        <v>38.45</v>
      </c>
      <c r="H14" s="6">
        <f>F14*G14</f>
        <v/>
      </c>
    </row>
    <row r="15">
      <c r="A15" s="5" t="inlineStr">
        <is>
          <t>2022-10-13</t>
        </is>
      </c>
      <c r="B15" s="7" t="n">
        <v>3</v>
      </c>
      <c r="C15" s="5" t="inlineStr">
        <is>
          <t>12:14</t>
        </is>
      </c>
      <c r="D15" s="5" t="inlineStr">
        <is>
          <t>0196</t>
        </is>
      </c>
      <c r="E15" s="5" t="inlineStr">
        <is>
          <t>Menu 'Demi Lune'</t>
        </is>
      </c>
      <c r="F15" s="7" t="n">
        <v>6</v>
      </c>
      <c r="G15" s="6" t="n">
        <v>31.05</v>
      </c>
      <c r="H15" s="6">
        <f>F15*G15</f>
        <v/>
      </c>
    </row>
    <row r="16">
      <c r="A16" s="5" t="inlineStr">
        <is>
          <t>2023-01-05</t>
        </is>
      </c>
      <c r="B16" s="7" t="n">
        <v>7</v>
      </c>
      <c r="C16" s="5" t="inlineStr">
        <is>
          <t>12:24</t>
        </is>
      </c>
      <c r="D16" s="5" t="inlineStr">
        <is>
          <t>0196</t>
        </is>
      </c>
      <c r="E16" s="5" t="inlineStr">
        <is>
          <t>Menu 'Demi Lune'</t>
        </is>
      </c>
      <c r="F16" s="7" t="n">
        <v>2</v>
      </c>
      <c r="G16" s="6" t="n">
        <v>39.2</v>
      </c>
      <c r="H16" s="6">
        <f>F16*G16</f>
        <v/>
      </c>
    </row>
    <row r="17">
      <c r="A17" s="5" t="inlineStr">
        <is>
          <t>2023-01-05</t>
        </is>
      </c>
      <c r="B17" s="7" t="n">
        <v>5</v>
      </c>
      <c r="C17" s="5" t="inlineStr">
        <is>
          <t>12:22</t>
        </is>
      </c>
      <c r="D17" s="5" t="inlineStr">
        <is>
          <t>0196</t>
        </is>
      </c>
      <c r="E17" s="5" t="inlineStr">
        <is>
          <t>Menu 'Demi Lune'</t>
        </is>
      </c>
      <c r="F17" s="7" t="n">
        <v>2</v>
      </c>
      <c r="G17" s="6" t="n">
        <v>41.1</v>
      </c>
      <c r="H17" s="6">
        <f>F17*G17</f>
        <v/>
      </c>
    </row>
    <row r="18">
      <c r="A18" s="5" t="inlineStr">
        <is>
          <t>2023-03-22</t>
        </is>
      </c>
      <c r="B18" s="7" t="n">
        <v>12</v>
      </c>
      <c r="C18" s="5" t="inlineStr">
        <is>
          <t>20:37</t>
        </is>
      </c>
      <c r="D18" s="5" t="inlineStr">
        <is>
          <t>0196</t>
        </is>
      </c>
      <c r="E18" s="5" t="inlineStr">
        <is>
          <t>Menu 'Demi Lune'</t>
        </is>
      </c>
      <c r="F18" s="7" t="n">
        <v>2</v>
      </c>
      <c r="G18" s="6" t="n">
        <v>64</v>
      </c>
      <c r="H18" s="6">
        <f>F18*G18</f>
        <v/>
      </c>
    </row>
    <row r="19">
      <c r="A19" s="5" t="inlineStr">
        <is>
          <t>2023-03-22</t>
        </is>
      </c>
      <c r="B19" s="7" t="n">
        <v>12</v>
      </c>
      <c r="C19" s="5" t="inlineStr">
        <is>
          <t>20:37</t>
        </is>
      </c>
      <c r="D19" s="5" t="inlineStr">
        <is>
          <t>0196</t>
        </is>
      </c>
      <c r="E19" s="5" t="inlineStr">
        <is>
          <t>Menu 'Demi Lune'</t>
        </is>
      </c>
      <c r="F19" s="7" t="n">
        <v>1</v>
      </c>
      <c r="G19" s="6" t="n">
        <v>66.3</v>
      </c>
      <c r="H19" s="6">
        <f>F19*G19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16" customWidth="1" min="4" max="4"/>
    <col width="16" customWidth="1" min="5" max="5"/>
    <col width="12" customWidth="1" min="6" max="6"/>
  </cols>
  <sheetData>
    <row r="1">
      <c r="A1" s="1" t="inlineStr">
        <is>
          <t>Conversions au forfait → Menu Demi Lune, exercice 2022-2023 (16 notes re-dérivées des annexes E1 et C1)</t>
        </is>
      </c>
    </row>
    <row r="2">
      <c r="A2" s="2" t="inlineStr">
        <is>
          <t>Somme DEL = SUMIFS sur Src-E1-DEL-conv (date, heure) ; Total note = SUMIFS sur Src-C1-notes-conv (date, n° note) ; Écart = Total note − Somme DEL.</t>
        </is>
      </c>
    </row>
    <row r="3">
      <c r="A3" s="4" t="inlineStr">
        <is>
          <t>Date</t>
        </is>
      </c>
      <c r="B3" s="4" t="inlineStr">
        <is>
          <t>Heure rafale</t>
        </is>
      </c>
      <c r="C3" s="4" t="inlineStr">
        <is>
          <t>N° note</t>
        </is>
      </c>
      <c r="D3" s="4" t="inlineStr">
        <is>
          <t>Somme DEL (€)</t>
        </is>
      </c>
      <c r="E3" s="4" t="inlineStr">
        <is>
          <t>Total note (€)</t>
        </is>
      </c>
      <c r="F3" s="4" t="inlineStr">
        <is>
          <t>Écart (€)</t>
        </is>
      </c>
    </row>
    <row r="4">
      <c r="A4" s="5" t="inlineStr">
        <is>
          <t>2022-04-21</t>
        </is>
      </c>
      <c r="B4" s="5" t="inlineStr">
        <is>
          <t>12:58</t>
        </is>
      </c>
      <c r="C4" s="7" t="n">
        <v>17</v>
      </c>
      <c r="D4" s="6">
        <f>SUMIFS('Src-E1-DEL-conv'!$C$3:$C$104,'Src-E1-DEL-conv'!$A$3:$A$104,A4,'Src-E1-DEL-conv'!$B$3:$B$104,B4)</f>
        <v/>
      </c>
      <c r="E4" s="6">
        <f>SUMIFS('Src-C1-notes-conv'!$H$3:$H$19,'Src-C1-notes-conv'!$A$3:$A$19,A4,'Src-C1-notes-conv'!$B$3:$B$19,C4)</f>
        <v/>
      </c>
      <c r="F4" s="6">
        <f>E4-D4</f>
        <v/>
      </c>
    </row>
    <row r="5">
      <c r="A5" s="5" t="inlineStr">
        <is>
          <t>2022-04-21</t>
        </is>
      </c>
      <c r="B5" s="5" t="inlineStr">
        <is>
          <t>19:19</t>
        </is>
      </c>
      <c r="C5" s="7" t="n">
        <v>23</v>
      </c>
      <c r="D5" s="6">
        <f>SUMIFS('Src-E1-DEL-conv'!$C$3:$C$104,'Src-E1-DEL-conv'!$A$3:$A$104,A5,'Src-E1-DEL-conv'!$B$3:$B$104,B5)</f>
        <v/>
      </c>
      <c r="E5" s="6">
        <f>SUMIFS('Src-C1-notes-conv'!$H$3:$H$19,'Src-C1-notes-conv'!$A$3:$A$19,A5,'Src-C1-notes-conv'!$B$3:$B$19,C5)</f>
        <v/>
      </c>
      <c r="F5" s="6">
        <f>E5-D5</f>
        <v/>
      </c>
    </row>
    <row r="6">
      <c r="A6" s="5" t="inlineStr">
        <is>
          <t>2022-05-06</t>
        </is>
      </c>
      <c r="B6" s="5" t="inlineStr">
        <is>
          <t>11:51</t>
        </is>
      </c>
      <c r="C6" s="7" t="n">
        <v>5</v>
      </c>
      <c r="D6" s="6">
        <f>SUMIFS('Src-E1-DEL-conv'!$C$3:$C$104,'Src-E1-DEL-conv'!$A$3:$A$104,A6,'Src-E1-DEL-conv'!$B$3:$B$104,B6)</f>
        <v/>
      </c>
      <c r="E6" s="6">
        <f>SUMIFS('Src-C1-notes-conv'!$H$3:$H$19,'Src-C1-notes-conv'!$A$3:$A$19,A6,'Src-C1-notes-conv'!$B$3:$B$19,C6)</f>
        <v/>
      </c>
      <c r="F6" s="6">
        <f>E6-D6</f>
        <v/>
      </c>
    </row>
    <row r="7">
      <c r="A7" s="5" t="inlineStr">
        <is>
          <t>2022-07-12</t>
        </is>
      </c>
      <c r="B7" s="5" t="inlineStr">
        <is>
          <t>12:01</t>
        </is>
      </c>
      <c r="C7" s="7" t="n">
        <v>9</v>
      </c>
      <c r="D7" s="6">
        <f>SUMIFS('Src-E1-DEL-conv'!$C$3:$C$104,'Src-E1-DEL-conv'!$A$3:$A$104,A7,'Src-E1-DEL-conv'!$B$3:$B$104,B7)</f>
        <v/>
      </c>
      <c r="E7" s="6">
        <f>SUMIFS('Src-C1-notes-conv'!$H$3:$H$19,'Src-C1-notes-conv'!$A$3:$A$19,A7,'Src-C1-notes-conv'!$B$3:$B$19,C7)</f>
        <v/>
      </c>
      <c r="F7" s="6">
        <f>E7-D7</f>
        <v/>
      </c>
    </row>
    <row r="8">
      <c r="A8" s="5" t="inlineStr">
        <is>
          <t>2022-07-20</t>
        </is>
      </c>
      <c r="B8" s="5" t="inlineStr">
        <is>
          <t>12:38</t>
        </is>
      </c>
      <c r="C8" s="7" t="n">
        <v>8</v>
      </c>
      <c r="D8" s="6">
        <f>SUMIFS('Src-E1-DEL-conv'!$C$3:$C$104,'Src-E1-DEL-conv'!$A$3:$A$104,A8,'Src-E1-DEL-conv'!$B$3:$B$104,B8)</f>
        <v/>
      </c>
      <c r="E8" s="6">
        <f>SUMIFS('Src-C1-notes-conv'!$H$3:$H$19,'Src-C1-notes-conv'!$A$3:$A$19,A8,'Src-C1-notes-conv'!$B$3:$B$19,C8)</f>
        <v/>
      </c>
      <c r="F8" s="6">
        <f>E8-D8</f>
        <v/>
      </c>
    </row>
    <row r="9">
      <c r="A9" s="5" t="inlineStr">
        <is>
          <t>2022-07-21</t>
        </is>
      </c>
      <c r="B9" s="5" t="inlineStr">
        <is>
          <t>12:03</t>
        </is>
      </c>
      <c r="C9" s="7" t="n">
        <v>8</v>
      </c>
      <c r="D9" s="6">
        <f>SUMIFS('Src-E1-DEL-conv'!$C$3:$C$104,'Src-E1-DEL-conv'!$A$3:$A$104,A9,'Src-E1-DEL-conv'!$B$3:$B$104,B9)</f>
        <v/>
      </c>
      <c r="E9" s="6">
        <f>SUMIFS('Src-C1-notes-conv'!$H$3:$H$19,'Src-C1-notes-conv'!$A$3:$A$19,A9,'Src-C1-notes-conv'!$B$3:$B$19,C9)</f>
        <v/>
      </c>
      <c r="F9" s="6">
        <f>E9-D9</f>
        <v/>
      </c>
    </row>
    <row r="10">
      <c r="A10" s="5" t="inlineStr">
        <is>
          <t>2022-07-29</t>
        </is>
      </c>
      <c r="B10" s="5" t="inlineStr">
        <is>
          <t>13:02</t>
        </is>
      </c>
      <c r="C10" s="7" t="n">
        <v>16</v>
      </c>
      <c r="D10" s="6">
        <f>SUMIFS('Src-E1-DEL-conv'!$C$3:$C$104,'Src-E1-DEL-conv'!$A$3:$A$104,A10,'Src-E1-DEL-conv'!$B$3:$B$104,B10)</f>
        <v/>
      </c>
      <c r="E10" s="6">
        <f>SUMIFS('Src-C1-notes-conv'!$H$3:$H$19,'Src-C1-notes-conv'!$A$3:$A$19,A10,'Src-C1-notes-conv'!$B$3:$B$19,C10)</f>
        <v/>
      </c>
      <c r="F10" s="6">
        <f>E10-D10</f>
        <v/>
      </c>
    </row>
    <row r="11">
      <c r="A11" s="5" t="inlineStr">
        <is>
          <t>2022-08-09</t>
        </is>
      </c>
      <c r="B11" s="5" t="inlineStr">
        <is>
          <t>12:13</t>
        </is>
      </c>
      <c r="C11" s="7" t="n">
        <v>11</v>
      </c>
      <c r="D11" s="6">
        <f>SUMIFS('Src-E1-DEL-conv'!$C$3:$C$104,'Src-E1-DEL-conv'!$A$3:$A$104,A11,'Src-E1-DEL-conv'!$B$3:$B$104,B11)</f>
        <v/>
      </c>
      <c r="E11" s="6">
        <f>SUMIFS('Src-C1-notes-conv'!$H$3:$H$19,'Src-C1-notes-conv'!$A$3:$A$19,A11,'Src-C1-notes-conv'!$B$3:$B$19,C11)</f>
        <v/>
      </c>
      <c r="F11" s="6">
        <f>E11-D11</f>
        <v/>
      </c>
    </row>
    <row r="12">
      <c r="A12" s="5" t="inlineStr">
        <is>
          <t>2022-08-17</t>
        </is>
      </c>
      <c r="B12" s="5" t="inlineStr">
        <is>
          <t>11:52</t>
        </is>
      </c>
      <c r="C12" s="7" t="n">
        <v>3</v>
      </c>
      <c r="D12" s="6">
        <f>SUMIFS('Src-E1-DEL-conv'!$C$3:$C$104,'Src-E1-DEL-conv'!$A$3:$A$104,A12,'Src-E1-DEL-conv'!$B$3:$B$104,B12)</f>
        <v/>
      </c>
      <c r="E12" s="6">
        <f>SUMIFS('Src-C1-notes-conv'!$H$3:$H$19,'Src-C1-notes-conv'!$A$3:$A$19,A12,'Src-C1-notes-conv'!$B$3:$B$19,C12)</f>
        <v/>
      </c>
      <c r="F12" s="6">
        <f>E12-D12</f>
        <v/>
      </c>
    </row>
    <row r="13">
      <c r="A13" s="5" t="inlineStr">
        <is>
          <t>2022-08-25</t>
        </is>
      </c>
      <c r="B13" s="5" t="inlineStr">
        <is>
          <t>12:02</t>
        </is>
      </c>
      <c r="C13" s="7" t="n">
        <v>6</v>
      </c>
      <c r="D13" s="6">
        <f>SUMIFS('Src-E1-DEL-conv'!$C$3:$C$104,'Src-E1-DEL-conv'!$A$3:$A$104,A13,'Src-E1-DEL-conv'!$B$3:$B$104,B13)</f>
        <v/>
      </c>
      <c r="E13" s="6">
        <f>SUMIFS('Src-C1-notes-conv'!$H$3:$H$19,'Src-C1-notes-conv'!$A$3:$A$19,A13,'Src-C1-notes-conv'!$B$3:$B$19,C13)</f>
        <v/>
      </c>
      <c r="F13" s="6">
        <f>E13-D13</f>
        <v/>
      </c>
    </row>
    <row r="14">
      <c r="A14" s="5" t="inlineStr">
        <is>
          <t>2022-09-09</t>
        </is>
      </c>
      <c r="B14" s="5" t="inlineStr">
        <is>
          <t>12:07</t>
        </is>
      </c>
      <c r="C14" s="7" t="n">
        <v>3</v>
      </c>
      <c r="D14" s="6">
        <f>SUMIFS('Src-E1-DEL-conv'!$C$3:$C$104,'Src-E1-DEL-conv'!$A$3:$A$104,A14,'Src-E1-DEL-conv'!$B$3:$B$104,B14)</f>
        <v/>
      </c>
      <c r="E14" s="6">
        <f>SUMIFS('Src-C1-notes-conv'!$H$3:$H$19,'Src-C1-notes-conv'!$A$3:$A$19,A14,'Src-C1-notes-conv'!$B$3:$B$19,C14)</f>
        <v/>
      </c>
      <c r="F14" s="6">
        <f>E14-D14</f>
        <v/>
      </c>
    </row>
    <row r="15">
      <c r="A15" s="5" t="inlineStr">
        <is>
          <t>2022-09-09</t>
        </is>
      </c>
      <c r="B15" s="5" t="inlineStr">
        <is>
          <t>12:23</t>
        </is>
      </c>
      <c r="C15" s="7" t="n">
        <v>8</v>
      </c>
      <c r="D15" s="6">
        <f>SUMIFS('Src-E1-DEL-conv'!$C$3:$C$104,'Src-E1-DEL-conv'!$A$3:$A$104,A15,'Src-E1-DEL-conv'!$B$3:$B$104,B15)</f>
        <v/>
      </c>
      <c r="E15" s="6">
        <f>SUMIFS('Src-C1-notes-conv'!$H$3:$H$19,'Src-C1-notes-conv'!$A$3:$A$19,A15,'Src-C1-notes-conv'!$B$3:$B$19,C15)</f>
        <v/>
      </c>
      <c r="F15" s="6">
        <f>E15-D15</f>
        <v/>
      </c>
    </row>
    <row r="16">
      <c r="A16" s="5" t="inlineStr">
        <is>
          <t>2022-10-13</t>
        </is>
      </c>
      <c r="B16" s="5" t="inlineStr">
        <is>
          <t>12:21</t>
        </is>
      </c>
      <c r="C16" s="7" t="n">
        <v>3</v>
      </c>
      <c r="D16" s="6">
        <f>SUMIFS('Src-E1-DEL-conv'!$C$3:$C$104,'Src-E1-DEL-conv'!$A$3:$A$104,A16,'Src-E1-DEL-conv'!$B$3:$B$104,B16)</f>
        <v/>
      </c>
      <c r="E16" s="6">
        <f>SUMIFS('Src-C1-notes-conv'!$H$3:$H$19,'Src-C1-notes-conv'!$A$3:$A$19,A16,'Src-C1-notes-conv'!$B$3:$B$19,C16)</f>
        <v/>
      </c>
      <c r="F16" s="6">
        <f>E16-D16</f>
        <v/>
      </c>
    </row>
    <row r="17">
      <c r="A17" s="5" t="inlineStr">
        <is>
          <t>2023-01-05</t>
        </is>
      </c>
      <c r="B17" s="5" t="inlineStr">
        <is>
          <t>12:22</t>
        </is>
      </c>
      <c r="C17" s="7" t="n">
        <v>5</v>
      </c>
      <c r="D17" s="6">
        <f>SUMIFS('Src-E1-DEL-conv'!$C$3:$C$104,'Src-E1-DEL-conv'!$A$3:$A$104,A17,'Src-E1-DEL-conv'!$B$3:$B$104,B17)</f>
        <v/>
      </c>
      <c r="E17" s="6">
        <f>SUMIFS('Src-C1-notes-conv'!$H$3:$H$19,'Src-C1-notes-conv'!$A$3:$A$19,A17,'Src-C1-notes-conv'!$B$3:$B$19,C17)</f>
        <v/>
      </c>
      <c r="F17" s="6">
        <f>E17-D17</f>
        <v/>
      </c>
    </row>
    <row r="18">
      <c r="A18" s="5" t="inlineStr">
        <is>
          <t>2023-01-05</t>
        </is>
      </c>
      <c r="B18" s="5" t="inlineStr">
        <is>
          <t>12:24</t>
        </is>
      </c>
      <c r="C18" s="7" t="n">
        <v>7</v>
      </c>
      <c r="D18" s="6">
        <f>SUMIFS('Src-E1-DEL-conv'!$C$3:$C$104,'Src-E1-DEL-conv'!$A$3:$A$104,A18,'Src-E1-DEL-conv'!$B$3:$B$104,B18)</f>
        <v/>
      </c>
      <c r="E18" s="6">
        <f>SUMIFS('Src-C1-notes-conv'!$H$3:$H$19,'Src-C1-notes-conv'!$A$3:$A$19,A18,'Src-C1-notes-conv'!$B$3:$B$19,C18)</f>
        <v/>
      </c>
      <c r="F18" s="6">
        <f>E18-D18</f>
        <v/>
      </c>
    </row>
    <row r="19">
      <c r="A19" s="5" t="inlineStr">
        <is>
          <t>2023-03-22</t>
        </is>
      </c>
      <c r="B19" s="5" t="inlineStr">
        <is>
          <t>20:36</t>
        </is>
      </c>
      <c r="C19" s="7" t="n">
        <v>12</v>
      </c>
      <c r="D19" s="6">
        <f>SUMIFS('Src-E1-DEL-conv'!$C$3:$C$104,'Src-E1-DEL-conv'!$A$3:$A$104,A19,'Src-E1-DEL-conv'!$B$3:$B$104,B19)</f>
        <v/>
      </c>
      <c r="E19" s="6">
        <f>SUMIFS('Src-C1-notes-conv'!$H$3:$H$19,'Src-C1-notes-conv'!$A$3:$A$19,A19,'Src-C1-notes-conv'!$B$3:$B$19,C19)</f>
        <v/>
      </c>
      <c r="F19" s="6">
        <f>E19-D19</f>
        <v/>
      </c>
    </row>
    <row r="20">
      <c r="A20" s="3" t="inlineStr">
        <is>
          <t>TOTAL (16 conversions)</t>
        </is>
      </c>
      <c r="D20" s="15">
        <f>SUM(D4:D19)</f>
        <v/>
      </c>
      <c r="E20" s="15">
        <f>SUM(E4:E19)</f>
        <v/>
      </c>
      <c r="F20" s="17">
        <f>SUM(F4:F19)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8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6" customWidth="1" min="3" max="3"/>
    <col width="14" customWidth="1" min="4" max="4"/>
  </cols>
  <sheetData>
    <row r="1">
      <c r="A1" s="3" t="inlineStr">
        <is>
          <t>ANNEXE-B1 — lignes de vente du Menu « Demi Lune » (Réf. 0196), exercice 2022-2023</t>
        </is>
      </c>
    </row>
    <row r="2">
      <c r="A2" s="4" t="inlineStr">
        <is>
          <t>Date</t>
        </is>
      </c>
      <c r="B2" s="4" t="inlineStr">
        <is>
          <t>Qté</t>
        </is>
      </c>
      <c r="C2" s="4" t="inlineStr">
        <is>
          <t>PU vente TTC (€)</t>
        </is>
      </c>
      <c r="D2" s="4" t="inlineStr">
        <is>
          <t>Total TTC (€)</t>
        </is>
      </c>
    </row>
    <row r="3">
      <c r="A3" s="5" t="inlineStr">
        <is>
          <t>2022-04-16</t>
        </is>
      </c>
      <c r="B3" s="7" t="n">
        <v>1</v>
      </c>
      <c r="C3" s="6" t="n">
        <v>45</v>
      </c>
      <c r="D3" s="6" t="n">
        <v>45</v>
      </c>
    </row>
    <row r="4">
      <c r="A4" s="5" t="inlineStr">
        <is>
          <t>2022-04-21</t>
        </is>
      </c>
      <c r="B4" s="7" t="n">
        <v>2</v>
      </c>
      <c r="C4" s="6" t="n">
        <v>15.2</v>
      </c>
      <c r="D4" s="6" t="n">
        <v>30.4</v>
      </c>
    </row>
    <row r="5">
      <c r="A5" s="5" t="inlineStr">
        <is>
          <t>2022-04-21</t>
        </is>
      </c>
      <c r="B5" s="7" t="n">
        <v>1</v>
      </c>
      <c r="C5" s="6" t="n">
        <v>49.2</v>
      </c>
      <c r="D5" s="6" t="n">
        <v>49.2</v>
      </c>
    </row>
    <row r="6">
      <c r="A6" s="5" t="inlineStr">
        <is>
          <t>2022-04-28</t>
        </is>
      </c>
      <c r="B6" s="7" t="n">
        <v>1</v>
      </c>
      <c r="C6" s="6" t="n">
        <v>45</v>
      </c>
      <c r="D6" s="6" t="n">
        <v>45</v>
      </c>
    </row>
    <row r="7">
      <c r="A7" s="5" t="inlineStr">
        <is>
          <t>2022-04-28</t>
        </is>
      </c>
      <c r="B7" s="7" t="n">
        <v>1</v>
      </c>
      <c r="C7" s="6" t="n">
        <v>31.7</v>
      </c>
      <c r="D7" s="6" t="n">
        <v>31.7</v>
      </c>
    </row>
    <row r="8">
      <c r="A8" s="5" t="inlineStr">
        <is>
          <t>2022-04-29</t>
        </is>
      </c>
      <c r="B8" s="7" t="n">
        <v>1</v>
      </c>
      <c r="C8" s="6" t="n">
        <v>45</v>
      </c>
      <c r="D8" s="6" t="n">
        <v>45</v>
      </c>
    </row>
    <row r="9">
      <c r="A9" s="5" t="inlineStr">
        <is>
          <t>2022-05-04</t>
        </is>
      </c>
      <c r="B9" s="7" t="n">
        <v>1</v>
      </c>
      <c r="C9" s="6" t="n">
        <v>47.1</v>
      </c>
      <c r="D9" s="6" t="n">
        <v>47.1</v>
      </c>
    </row>
    <row r="10">
      <c r="A10" s="5" t="inlineStr">
        <is>
          <t>2022-05-04</t>
        </is>
      </c>
      <c r="B10" s="7" t="n">
        <v>1</v>
      </c>
      <c r="C10" s="6" t="n">
        <v>30</v>
      </c>
      <c r="D10" s="6" t="n">
        <v>30</v>
      </c>
    </row>
    <row r="11">
      <c r="A11" s="5" t="inlineStr">
        <is>
          <t>2022-05-06</t>
        </is>
      </c>
      <c r="B11" s="7" t="n">
        <v>2</v>
      </c>
      <c r="C11" s="6" t="n">
        <v>27.2</v>
      </c>
      <c r="D11" s="6" t="n">
        <v>54.4</v>
      </c>
    </row>
    <row r="12">
      <c r="A12" s="5" t="inlineStr">
        <is>
          <t>2022-05-06</t>
        </is>
      </c>
      <c r="B12" s="7" t="n">
        <v>1</v>
      </c>
      <c r="C12" s="6" t="n">
        <v>40.9</v>
      </c>
      <c r="D12" s="6" t="n">
        <v>40.9</v>
      </c>
    </row>
    <row r="13">
      <c r="A13" s="5" t="inlineStr">
        <is>
          <t>2022-05-06</t>
        </is>
      </c>
      <c r="B13" s="7" t="n">
        <v>1</v>
      </c>
      <c r="C13" s="6" t="n">
        <v>20</v>
      </c>
      <c r="D13" s="6" t="n">
        <v>20</v>
      </c>
    </row>
    <row r="14">
      <c r="A14" s="5" t="inlineStr">
        <is>
          <t>2022-05-07</t>
        </is>
      </c>
      <c r="B14" s="7" t="n">
        <v>1</v>
      </c>
      <c r="C14" s="6" t="n">
        <v>45</v>
      </c>
      <c r="D14" s="6" t="n">
        <v>45</v>
      </c>
    </row>
    <row r="15">
      <c r="A15" s="5" t="inlineStr">
        <is>
          <t>2022-05-12</t>
        </is>
      </c>
      <c r="B15" s="7" t="n">
        <v>1</v>
      </c>
      <c r="C15" s="6" t="n">
        <v>45</v>
      </c>
      <c r="D15" s="6" t="n">
        <v>45</v>
      </c>
    </row>
    <row r="16">
      <c r="A16" s="5" t="inlineStr">
        <is>
          <t>2022-05-22</t>
        </is>
      </c>
      <c r="B16" s="7" t="n">
        <v>2</v>
      </c>
      <c r="C16" s="6" t="n">
        <v>45</v>
      </c>
      <c r="D16" s="6" t="n">
        <v>90</v>
      </c>
    </row>
    <row r="17">
      <c r="A17" s="5" t="inlineStr">
        <is>
          <t>2022-05-26</t>
        </is>
      </c>
      <c r="B17" s="7" t="n">
        <v>1</v>
      </c>
      <c r="C17" s="6" t="n">
        <v>45</v>
      </c>
      <c r="D17" s="6" t="n">
        <v>45</v>
      </c>
    </row>
    <row r="18">
      <c r="A18" s="5" t="inlineStr">
        <is>
          <t>2022-05-27</t>
        </is>
      </c>
      <c r="B18" s="7" t="n">
        <v>1</v>
      </c>
      <c r="C18" s="6" t="n">
        <v>45</v>
      </c>
      <c r="D18" s="6" t="n">
        <v>45</v>
      </c>
    </row>
    <row r="19">
      <c r="A19" s="5" t="inlineStr">
        <is>
          <t>2022-05-28</t>
        </is>
      </c>
      <c r="B19" s="7" t="n">
        <v>1</v>
      </c>
      <c r="C19" s="6" t="n">
        <v>45</v>
      </c>
      <c r="D19" s="6" t="n">
        <v>45</v>
      </c>
    </row>
    <row r="20">
      <c r="A20" s="5" t="inlineStr">
        <is>
          <t>2022-06-03</t>
        </is>
      </c>
      <c r="B20" s="7" t="n">
        <v>1</v>
      </c>
      <c r="C20" s="6" t="n">
        <v>45</v>
      </c>
      <c r="D20" s="6" t="n">
        <v>45</v>
      </c>
    </row>
    <row r="21">
      <c r="A21" s="5" t="inlineStr">
        <is>
          <t>2022-06-05</t>
        </is>
      </c>
      <c r="B21" s="7" t="n">
        <v>1</v>
      </c>
      <c r="C21" s="6" t="n">
        <v>45</v>
      </c>
      <c r="D21" s="6" t="n">
        <v>45</v>
      </c>
    </row>
    <row r="22">
      <c r="A22" s="5" t="inlineStr">
        <is>
          <t>2022-06-06</t>
        </is>
      </c>
      <c r="B22" s="7" t="n">
        <v>1</v>
      </c>
      <c r="C22" s="6" t="n">
        <v>45</v>
      </c>
      <c r="D22" s="6" t="n">
        <v>45</v>
      </c>
    </row>
    <row r="23">
      <c r="A23" s="5" t="inlineStr">
        <is>
          <t>2022-06-06</t>
        </is>
      </c>
      <c r="B23" s="7" t="n">
        <v>0.5</v>
      </c>
      <c r="C23" s="6" t="n">
        <v>45</v>
      </c>
      <c r="D23" s="6" t="n">
        <v>22.5</v>
      </c>
    </row>
    <row r="24">
      <c r="A24" s="5" t="inlineStr">
        <is>
          <t>2022-06-06</t>
        </is>
      </c>
      <c r="B24" s="7" t="n">
        <v>1</v>
      </c>
      <c r="C24" s="6" t="n">
        <v>45</v>
      </c>
      <c r="D24" s="6" t="n">
        <v>22.5</v>
      </c>
    </row>
    <row r="25">
      <c r="A25" s="5" t="inlineStr">
        <is>
          <t>2022-06-12</t>
        </is>
      </c>
      <c r="B25" s="7" t="n">
        <v>2</v>
      </c>
      <c r="C25" s="6" t="n">
        <v>32.65</v>
      </c>
      <c r="D25" s="6" t="n">
        <v>65.3</v>
      </c>
    </row>
    <row r="26">
      <c r="A26" s="5" t="inlineStr">
        <is>
          <t>2022-06-18</t>
        </is>
      </c>
      <c r="B26" s="7" t="n">
        <v>3</v>
      </c>
      <c r="C26" s="6" t="n">
        <v>45</v>
      </c>
      <c r="D26" s="6" t="n">
        <v>135</v>
      </c>
    </row>
    <row r="27">
      <c r="A27" s="5" t="inlineStr">
        <is>
          <t>2022-06-18</t>
        </is>
      </c>
      <c r="B27" s="7" t="n">
        <v>2</v>
      </c>
      <c r="C27" s="6" t="n">
        <v>45</v>
      </c>
      <c r="D27" s="6" t="n">
        <v>90</v>
      </c>
    </row>
    <row r="28">
      <c r="A28" s="5" t="inlineStr">
        <is>
          <t>2022-06-23</t>
        </is>
      </c>
      <c r="B28" s="7" t="n">
        <v>2</v>
      </c>
      <c r="C28" s="6" t="n">
        <v>45</v>
      </c>
      <c r="D28" s="6" t="n">
        <v>90</v>
      </c>
    </row>
    <row r="29">
      <c r="A29" s="5" t="inlineStr">
        <is>
          <t>2022-06-25</t>
        </is>
      </c>
      <c r="B29" s="7" t="n">
        <v>1</v>
      </c>
      <c r="C29" s="6" t="n">
        <v>45</v>
      </c>
      <c r="D29" s="6" t="n">
        <v>45</v>
      </c>
    </row>
    <row r="30">
      <c r="A30" s="5" t="inlineStr">
        <is>
          <t>2022-06-26</t>
        </is>
      </c>
      <c r="B30" s="7" t="n">
        <v>1</v>
      </c>
      <c r="C30" s="6" t="n">
        <v>45</v>
      </c>
      <c r="D30" s="6" t="n">
        <v>45</v>
      </c>
    </row>
    <row r="31">
      <c r="A31" s="5" t="inlineStr">
        <is>
          <t>2022-06-26</t>
        </is>
      </c>
      <c r="B31" s="7" t="n">
        <v>2</v>
      </c>
      <c r="C31" s="6" t="n">
        <v>45</v>
      </c>
      <c r="D31" s="6" t="n">
        <v>45</v>
      </c>
    </row>
    <row r="32">
      <c r="A32" s="5" t="inlineStr">
        <is>
          <t>2022-07-01</t>
        </is>
      </c>
      <c r="B32" s="7" t="n">
        <v>2</v>
      </c>
      <c r="C32" s="6" t="n">
        <v>45</v>
      </c>
      <c r="D32" s="6" t="n">
        <v>90</v>
      </c>
    </row>
    <row r="33">
      <c r="A33" s="5" t="inlineStr">
        <is>
          <t>2022-07-01</t>
        </is>
      </c>
      <c r="B33" s="7" t="n">
        <v>1</v>
      </c>
      <c r="C33" s="6" t="n">
        <v>45</v>
      </c>
      <c r="D33" s="6" t="n">
        <v>45</v>
      </c>
    </row>
    <row r="34">
      <c r="A34" s="5" t="inlineStr">
        <is>
          <t>2022-07-02</t>
        </is>
      </c>
      <c r="B34" s="7" t="n">
        <v>6</v>
      </c>
      <c r="C34" s="6" t="n">
        <v>45</v>
      </c>
      <c r="D34" s="6" t="n">
        <v>270</v>
      </c>
    </row>
    <row r="35">
      <c r="A35" s="5" t="inlineStr">
        <is>
          <t>2022-07-08</t>
        </is>
      </c>
      <c r="B35" s="7" t="n">
        <v>2</v>
      </c>
      <c r="C35" s="6" t="n">
        <v>85</v>
      </c>
      <c r="D35" s="6" t="n">
        <v>170</v>
      </c>
    </row>
    <row r="36">
      <c r="A36" s="5" t="inlineStr">
        <is>
          <t>2022-07-09</t>
        </is>
      </c>
      <c r="B36" s="7" t="n">
        <v>4</v>
      </c>
      <c r="C36" s="6" t="n">
        <v>35.25</v>
      </c>
      <c r="D36" s="6" t="n">
        <v>141</v>
      </c>
    </row>
    <row r="37">
      <c r="A37" s="5" t="inlineStr">
        <is>
          <t>2022-07-10</t>
        </is>
      </c>
      <c r="B37" s="7" t="n">
        <v>1</v>
      </c>
      <c r="C37" s="6" t="n">
        <v>45</v>
      </c>
      <c r="D37" s="6" t="n">
        <v>45</v>
      </c>
    </row>
    <row r="38">
      <c r="A38" s="5" t="inlineStr">
        <is>
          <t>2022-07-12</t>
        </is>
      </c>
      <c r="B38" s="7" t="n">
        <v>5</v>
      </c>
      <c r="C38" s="6" t="n">
        <v>37.42</v>
      </c>
      <c r="D38" s="6" t="n">
        <v>187.1</v>
      </c>
    </row>
    <row r="39">
      <c r="A39" s="5" t="inlineStr">
        <is>
          <t>2022-07-13</t>
        </is>
      </c>
      <c r="B39" s="7" t="n">
        <v>2</v>
      </c>
      <c r="C39" s="6" t="n">
        <v>45</v>
      </c>
      <c r="D39" s="6" t="n">
        <v>90</v>
      </c>
    </row>
    <row r="40">
      <c r="A40" s="5" t="inlineStr">
        <is>
          <t>2022-07-15</t>
        </is>
      </c>
      <c r="B40" s="7" t="n">
        <v>1</v>
      </c>
      <c r="C40" s="6" t="n">
        <v>45</v>
      </c>
      <c r="D40" s="6" t="n">
        <v>45</v>
      </c>
    </row>
    <row r="41">
      <c r="A41" s="5" t="inlineStr">
        <is>
          <t>2022-07-16</t>
        </is>
      </c>
      <c r="B41" s="7" t="n">
        <v>2</v>
      </c>
      <c r="C41" s="6" t="n">
        <v>45</v>
      </c>
      <c r="D41" s="6" t="n">
        <v>90</v>
      </c>
    </row>
    <row r="42">
      <c r="A42" s="5" t="inlineStr">
        <is>
          <t>2022-07-20</t>
        </is>
      </c>
      <c r="B42" s="7" t="n">
        <v>1</v>
      </c>
      <c r="C42" s="6" t="n">
        <v>39.8</v>
      </c>
      <c r="D42" s="6" t="n">
        <v>39.8</v>
      </c>
    </row>
    <row r="43">
      <c r="A43" s="5" t="inlineStr">
        <is>
          <t>2022-07-20</t>
        </is>
      </c>
      <c r="B43" s="7" t="n">
        <v>1</v>
      </c>
      <c r="C43" s="6" t="n">
        <v>45</v>
      </c>
      <c r="D43" s="6" t="n">
        <v>45</v>
      </c>
    </row>
    <row r="44">
      <c r="A44" s="5" t="inlineStr">
        <is>
          <t>2022-07-21</t>
        </is>
      </c>
      <c r="B44" s="7" t="n">
        <v>2</v>
      </c>
      <c r="C44" s="6" t="n">
        <v>38.3</v>
      </c>
      <c r="D44" s="6" t="n">
        <v>76.59999999999999</v>
      </c>
    </row>
    <row r="45">
      <c r="A45" s="5" t="inlineStr">
        <is>
          <t>2022-07-21</t>
        </is>
      </c>
      <c r="B45" s="7" t="n">
        <v>2</v>
      </c>
      <c r="C45" s="6" t="n">
        <v>20</v>
      </c>
      <c r="D45" s="6" t="n">
        <v>40</v>
      </c>
    </row>
    <row r="46">
      <c r="A46" s="5" t="inlineStr">
        <is>
          <t>2022-07-21</t>
        </is>
      </c>
      <c r="B46" s="7" t="n">
        <v>1</v>
      </c>
      <c r="C46" s="6" t="n">
        <v>45</v>
      </c>
      <c r="D46" s="6" t="n">
        <v>45</v>
      </c>
    </row>
    <row r="47">
      <c r="A47" s="5" t="inlineStr">
        <is>
          <t>2022-07-23</t>
        </is>
      </c>
      <c r="B47" s="7" t="n">
        <v>1</v>
      </c>
      <c r="C47" s="6" t="n">
        <v>45</v>
      </c>
      <c r="D47" s="6" t="n">
        <v>45</v>
      </c>
    </row>
    <row r="48">
      <c r="A48" s="5" t="inlineStr">
        <is>
          <t>2022-07-23</t>
        </is>
      </c>
      <c r="B48" s="7" t="n">
        <v>1</v>
      </c>
      <c r="C48" s="6" t="n">
        <v>45</v>
      </c>
      <c r="D48" s="6" t="n">
        <v>45</v>
      </c>
    </row>
    <row r="49">
      <c r="A49" s="5" t="inlineStr">
        <is>
          <t>2022-07-23</t>
        </is>
      </c>
      <c r="B49" s="7" t="n">
        <v>1</v>
      </c>
      <c r="C49" s="6" t="n">
        <v>45</v>
      </c>
      <c r="D49" s="6" t="n">
        <v>45</v>
      </c>
    </row>
    <row r="50">
      <c r="A50" s="5" t="inlineStr">
        <is>
          <t>2022-07-24</t>
        </is>
      </c>
      <c r="B50" s="7" t="n">
        <v>2</v>
      </c>
      <c r="C50" s="6" t="n">
        <v>45</v>
      </c>
      <c r="D50" s="6" t="n">
        <v>90</v>
      </c>
    </row>
    <row r="51">
      <c r="A51" s="5" t="inlineStr">
        <is>
          <t>2022-07-28</t>
        </is>
      </c>
      <c r="B51" s="7" t="n">
        <v>2</v>
      </c>
      <c r="C51" s="6" t="n">
        <v>45</v>
      </c>
      <c r="D51" s="6" t="n">
        <v>90</v>
      </c>
    </row>
    <row r="52">
      <c r="A52" s="5" t="inlineStr">
        <is>
          <t>2022-07-28</t>
        </is>
      </c>
      <c r="B52" s="7" t="n">
        <v>4</v>
      </c>
      <c r="C52" s="6" t="n">
        <v>45</v>
      </c>
      <c r="D52" s="6" t="n">
        <v>90</v>
      </c>
    </row>
    <row r="53">
      <c r="A53" s="5" t="inlineStr">
        <is>
          <t>2022-07-29</t>
        </is>
      </c>
      <c r="B53" s="7" t="n">
        <v>2</v>
      </c>
      <c r="C53" s="6" t="n">
        <v>54.1</v>
      </c>
      <c r="D53" s="6" t="n">
        <v>108.2</v>
      </c>
    </row>
    <row r="54">
      <c r="A54" s="5" t="inlineStr">
        <is>
          <t>2022-07-31</t>
        </is>
      </c>
      <c r="B54" s="7" t="n">
        <v>3</v>
      </c>
      <c r="C54" s="6" t="n">
        <v>45</v>
      </c>
      <c r="D54" s="6" t="n">
        <v>135</v>
      </c>
    </row>
    <row r="55">
      <c r="A55" s="5" t="inlineStr">
        <is>
          <t>2022-07-31</t>
        </is>
      </c>
      <c r="B55" s="7" t="n">
        <v>1</v>
      </c>
      <c r="C55" s="6" t="n">
        <v>45</v>
      </c>
      <c r="D55" s="6" t="n">
        <v>45</v>
      </c>
    </row>
    <row r="56">
      <c r="A56" s="5" t="inlineStr">
        <is>
          <t>2022-08-03</t>
        </is>
      </c>
      <c r="B56" s="7" t="n">
        <v>1</v>
      </c>
      <c r="C56" s="6" t="n">
        <v>15.9</v>
      </c>
      <c r="D56" s="6" t="n">
        <v>15.9</v>
      </c>
    </row>
    <row r="57">
      <c r="A57" s="5" t="inlineStr">
        <is>
          <t>2022-08-03</t>
        </is>
      </c>
      <c r="B57" s="7" t="n">
        <v>1</v>
      </c>
      <c r="C57" s="6" t="n">
        <v>45</v>
      </c>
      <c r="D57" s="6" t="n">
        <v>45</v>
      </c>
    </row>
    <row r="58">
      <c r="A58" s="5" t="inlineStr">
        <is>
          <t>2022-08-05</t>
        </is>
      </c>
      <c r="B58" s="7" t="n">
        <v>1</v>
      </c>
      <c r="C58" s="6" t="n">
        <v>45</v>
      </c>
      <c r="D58" s="6" t="n">
        <v>45</v>
      </c>
    </row>
    <row r="59">
      <c r="A59" s="5" t="inlineStr">
        <is>
          <t>2022-08-07</t>
        </is>
      </c>
      <c r="B59" s="7" t="n">
        <v>1</v>
      </c>
      <c r="C59" s="6" t="n">
        <v>45</v>
      </c>
      <c r="D59" s="6" t="n">
        <v>45</v>
      </c>
    </row>
    <row r="60">
      <c r="A60" s="5" t="inlineStr">
        <is>
          <t>2022-08-09</t>
        </is>
      </c>
      <c r="B60" s="7" t="n">
        <v>2</v>
      </c>
      <c r="C60" s="6" t="n">
        <v>22.8</v>
      </c>
      <c r="D60" s="6" t="n">
        <v>45.6</v>
      </c>
    </row>
    <row r="61">
      <c r="A61" s="5" t="inlineStr">
        <is>
          <t>2022-08-12</t>
        </is>
      </c>
      <c r="B61" s="7" t="n">
        <v>1</v>
      </c>
      <c r="C61" s="6" t="n">
        <v>45</v>
      </c>
      <c r="D61" s="6" t="n">
        <v>45</v>
      </c>
    </row>
    <row r="62">
      <c r="A62" s="5" t="inlineStr">
        <is>
          <t>2022-08-17</t>
        </is>
      </c>
      <c r="B62" s="7" t="n">
        <v>1</v>
      </c>
      <c r="C62" s="6" t="n">
        <v>32.6</v>
      </c>
      <c r="D62" s="6" t="n">
        <v>32.6</v>
      </c>
    </row>
    <row r="63">
      <c r="A63" s="5" t="inlineStr">
        <is>
          <t>2022-08-25</t>
        </is>
      </c>
      <c r="B63" s="7" t="n">
        <v>2</v>
      </c>
      <c r="C63" s="6" t="n">
        <v>21.9</v>
      </c>
      <c r="D63" s="6" t="n">
        <v>43.8</v>
      </c>
    </row>
    <row r="64">
      <c r="A64" s="5" t="inlineStr">
        <is>
          <t>2022-09-04</t>
        </is>
      </c>
      <c r="B64" s="7" t="n">
        <v>1</v>
      </c>
      <c r="C64" s="6" t="n">
        <v>45</v>
      </c>
      <c r="D64" s="6" t="n">
        <v>45</v>
      </c>
    </row>
    <row r="65">
      <c r="A65" s="5" t="inlineStr">
        <is>
          <t>2022-09-04</t>
        </is>
      </c>
      <c r="B65" s="7" t="n">
        <v>1</v>
      </c>
      <c r="C65" s="6" t="n">
        <v>45</v>
      </c>
      <c r="D65" s="6" t="n">
        <v>45</v>
      </c>
    </row>
    <row r="66">
      <c r="A66" s="5" t="inlineStr">
        <is>
          <t>2022-09-09</t>
        </is>
      </c>
      <c r="B66" s="7" t="n">
        <v>2</v>
      </c>
      <c r="C66" s="6" t="n">
        <v>38.45</v>
      </c>
      <c r="D66" s="6" t="n">
        <v>76.90000000000001</v>
      </c>
    </row>
    <row r="67">
      <c r="A67" s="5" t="inlineStr">
        <is>
          <t>2022-09-09</t>
        </is>
      </c>
      <c r="B67" s="7" t="n">
        <v>4</v>
      </c>
      <c r="C67" s="6" t="n">
        <v>51.75</v>
      </c>
      <c r="D67" s="6" t="n">
        <v>207</v>
      </c>
    </row>
    <row r="68">
      <c r="A68" s="5" t="inlineStr">
        <is>
          <t>2022-09-16</t>
        </is>
      </c>
      <c r="B68" s="7" t="n">
        <v>2</v>
      </c>
      <c r="C68" s="6" t="n">
        <v>45</v>
      </c>
      <c r="D68" s="6" t="n">
        <v>90</v>
      </c>
    </row>
    <row r="69">
      <c r="A69" s="5" t="inlineStr">
        <is>
          <t>2022-09-23</t>
        </is>
      </c>
      <c r="B69" s="7" t="n">
        <v>2</v>
      </c>
      <c r="C69" s="6" t="n">
        <v>45</v>
      </c>
      <c r="D69" s="6" t="n">
        <v>90</v>
      </c>
    </row>
    <row r="70">
      <c r="A70" s="5" t="inlineStr">
        <is>
          <t>2022-09-24</t>
        </is>
      </c>
      <c r="B70" s="7" t="n">
        <v>1</v>
      </c>
      <c r="C70" s="6" t="n">
        <v>45</v>
      </c>
      <c r="D70" s="6" t="n">
        <v>45</v>
      </c>
    </row>
    <row r="71">
      <c r="A71" s="5" t="inlineStr">
        <is>
          <t>2022-10-01</t>
        </is>
      </c>
      <c r="B71" s="7" t="n">
        <v>2</v>
      </c>
      <c r="C71" s="6" t="n">
        <v>45</v>
      </c>
      <c r="D71" s="6" t="n">
        <v>90</v>
      </c>
    </row>
    <row r="72">
      <c r="A72" s="5" t="inlineStr">
        <is>
          <t>2022-10-01</t>
        </is>
      </c>
      <c r="B72" s="7" t="n">
        <v>1</v>
      </c>
      <c r="C72" s="6" t="n">
        <v>45</v>
      </c>
      <c r="D72" s="6" t="n">
        <v>45</v>
      </c>
    </row>
    <row r="73">
      <c r="A73" s="5" t="inlineStr">
        <is>
          <t>2022-10-13</t>
        </is>
      </c>
      <c r="B73" s="7" t="n">
        <v>6</v>
      </c>
      <c r="C73" s="6" t="n">
        <v>31.05</v>
      </c>
      <c r="D73" s="6" t="n">
        <v>186.3</v>
      </c>
    </row>
    <row r="74">
      <c r="A74" s="5" t="inlineStr">
        <is>
          <t>2022-10-22</t>
        </is>
      </c>
      <c r="B74" s="7" t="n">
        <v>1</v>
      </c>
      <c r="C74" s="6" t="n">
        <v>45</v>
      </c>
      <c r="D74" s="6" t="n">
        <v>45</v>
      </c>
    </row>
    <row r="75">
      <c r="A75" s="5" t="inlineStr">
        <is>
          <t>2022-10-22</t>
        </is>
      </c>
      <c r="B75" s="7" t="n">
        <v>1</v>
      </c>
      <c r="C75" s="6" t="n">
        <v>45</v>
      </c>
      <c r="D75" s="6" t="n">
        <v>45</v>
      </c>
    </row>
    <row r="76">
      <c r="A76" s="5" t="inlineStr">
        <is>
          <t>2022-10-29</t>
        </is>
      </c>
      <c r="B76" s="7" t="n">
        <v>2</v>
      </c>
      <c r="C76" s="6" t="n">
        <v>50</v>
      </c>
      <c r="D76" s="6" t="n">
        <v>100</v>
      </c>
    </row>
    <row r="77">
      <c r="A77" s="5" t="inlineStr">
        <is>
          <t>2022-11-03</t>
        </is>
      </c>
      <c r="B77" s="7" t="n">
        <v>2</v>
      </c>
      <c r="C77" s="6" t="n">
        <v>45</v>
      </c>
      <c r="D77" s="6" t="n">
        <v>90</v>
      </c>
    </row>
    <row r="78">
      <c r="A78" s="5" t="inlineStr">
        <is>
          <t>2022-11-03</t>
        </is>
      </c>
      <c r="B78" s="7" t="n">
        <v>2</v>
      </c>
      <c r="C78" s="6" t="n">
        <v>50</v>
      </c>
      <c r="D78" s="6" t="n">
        <v>100</v>
      </c>
    </row>
    <row r="79">
      <c r="A79" s="5" t="inlineStr">
        <is>
          <t>2022-11-19</t>
        </is>
      </c>
      <c r="B79" s="7" t="n">
        <v>1</v>
      </c>
      <c r="C79" s="6" t="n">
        <v>45</v>
      </c>
      <c r="D79" s="6" t="n">
        <v>45</v>
      </c>
    </row>
    <row r="80">
      <c r="A80" s="5" t="inlineStr">
        <is>
          <t>2022-11-27</t>
        </is>
      </c>
      <c r="B80" s="7" t="n">
        <v>1</v>
      </c>
      <c r="C80" s="6" t="n">
        <v>45</v>
      </c>
      <c r="D80" s="6" t="n">
        <v>45</v>
      </c>
    </row>
    <row r="81">
      <c r="A81" s="5" t="inlineStr">
        <is>
          <t>2022-12-15</t>
        </is>
      </c>
      <c r="B81" s="7" t="n">
        <v>2</v>
      </c>
      <c r="C81" s="6" t="n">
        <v>50</v>
      </c>
      <c r="D81" s="6" t="n">
        <v>100</v>
      </c>
    </row>
    <row r="82">
      <c r="A82" s="5" t="inlineStr">
        <is>
          <t>2022-12-18</t>
        </is>
      </c>
      <c r="B82" s="7" t="n">
        <v>2</v>
      </c>
      <c r="C82" s="6" t="n">
        <v>45</v>
      </c>
      <c r="D82" s="6" t="n">
        <v>90</v>
      </c>
    </row>
    <row r="83">
      <c r="A83" s="5" t="inlineStr">
        <is>
          <t>2022-12-18</t>
        </is>
      </c>
      <c r="B83" s="7" t="n">
        <v>2</v>
      </c>
      <c r="C83" s="6" t="n">
        <v>45</v>
      </c>
      <c r="D83" s="6" t="n">
        <v>90</v>
      </c>
    </row>
    <row r="84">
      <c r="A84" s="5" t="inlineStr">
        <is>
          <t>2022-12-18</t>
        </is>
      </c>
      <c r="B84" s="7" t="n">
        <v>1</v>
      </c>
      <c r="C84" s="6" t="n">
        <v>45</v>
      </c>
      <c r="D84" s="6" t="n">
        <v>45</v>
      </c>
    </row>
    <row r="85">
      <c r="A85" s="5" t="inlineStr">
        <is>
          <t>2022-12-18</t>
        </is>
      </c>
      <c r="B85" s="7" t="n">
        <v>1</v>
      </c>
      <c r="C85" s="6" t="n">
        <v>45</v>
      </c>
      <c r="D85" s="6" t="n">
        <v>45</v>
      </c>
    </row>
    <row r="86">
      <c r="A86" s="5" t="inlineStr">
        <is>
          <t>2022-12-18</t>
        </is>
      </c>
      <c r="B86" s="7" t="n">
        <v>1</v>
      </c>
      <c r="C86" s="6" t="n">
        <v>45</v>
      </c>
      <c r="D86" s="6" t="n">
        <v>45</v>
      </c>
    </row>
    <row r="87">
      <c r="A87" s="5" t="inlineStr">
        <is>
          <t>2022-12-22</t>
        </is>
      </c>
      <c r="B87" s="7" t="n">
        <v>2</v>
      </c>
      <c r="C87" s="6" t="n">
        <v>45</v>
      </c>
      <c r="D87" s="6" t="n">
        <v>90</v>
      </c>
    </row>
    <row r="88">
      <c r="A88" s="5" t="inlineStr">
        <is>
          <t>2022-12-23</t>
        </is>
      </c>
      <c r="B88" s="7" t="n">
        <v>1</v>
      </c>
      <c r="C88" s="6" t="n">
        <v>45</v>
      </c>
      <c r="D88" s="6" t="n">
        <v>45</v>
      </c>
    </row>
    <row r="89">
      <c r="A89" s="5" t="inlineStr">
        <is>
          <t>2022-12-31</t>
        </is>
      </c>
      <c r="B89" s="7" t="n">
        <v>1</v>
      </c>
      <c r="C89" s="6" t="n">
        <v>45</v>
      </c>
      <c r="D89" s="6" t="n">
        <v>45</v>
      </c>
    </row>
    <row r="90">
      <c r="A90" s="5" t="inlineStr">
        <is>
          <t>2023-01-05</t>
        </is>
      </c>
      <c r="B90" s="7" t="n">
        <v>2</v>
      </c>
      <c r="C90" s="6" t="n">
        <v>41.1</v>
      </c>
      <c r="D90" s="6" t="n">
        <v>82.2</v>
      </c>
    </row>
    <row r="91">
      <c r="A91" s="5" t="inlineStr">
        <is>
          <t>2023-01-05</t>
        </is>
      </c>
      <c r="B91" s="7" t="n">
        <v>2</v>
      </c>
      <c r="C91" s="6" t="n">
        <v>39.2</v>
      </c>
      <c r="D91" s="6" t="n">
        <v>78.40000000000001</v>
      </c>
    </row>
    <row r="92">
      <c r="A92" s="5" t="inlineStr">
        <is>
          <t>2023-01-06</t>
        </is>
      </c>
      <c r="B92" s="7" t="n">
        <v>2</v>
      </c>
      <c r="C92" s="6" t="n">
        <v>45</v>
      </c>
      <c r="D92" s="6" t="n">
        <v>90</v>
      </c>
    </row>
    <row r="93">
      <c r="A93" s="5" t="inlineStr">
        <is>
          <t>2023-02-26</t>
        </is>
      </c>
      <c r="B93" s="7" t="n">
        <v>2</v>
      </c>
      <c r="C93" s="6" t="n">
        <v>42.2</v>
      </c>
      <c r="D93" s="6" t="n">
        <v>84.40000000000001</v>
      </c>
    </row>
    <row r="94">
      <c r="A94" s="5" t="inlineStr">
        <is>
          <t>2023-03-15</t>
        </is>
      </c>
      <c r="B94" s="7" t="n">
        <v>1</v>
      </c>
      <c r="C94" s="6" t="n">
        <v>50</v>
      </c>
      <c r="D94" s="6" t="n">
        <v>50</v>
      </c>
    </row>
    <row r="95">
      <c r="A95" s="5" t="inlineStr">
        <is>
          <t>2023-03-22</t>
        </is>
      </c>
      <c r="B95" s="7" t="n">
        <v>1</v>
      </c>
      <c r="C95" s="6" t="n">
        <v>66.3</v>
      </c>
      <c r="D95" s="6" t="n">
        <v>66.3</v>
      </c>
    </row>
    <row r="96">
      <c r="A96" s="5" t="inlineStr">
        <is>
          <t>2023-03-22</t>
        </is>
      </c>
      <c r="B96" s="7" t="n">
        <v>2</v>
      </c>
      <c r="C96" s="6" t="n">
        <v>64</v>
      </c>
      <c r="D96" s="6" t="n">
        <v>128</v>
      </c>
    </row>
    <row r="97">
      <c r="A97" s="5" t="inlineStr">
        <is>
          <t>2023-03-24</t>
        </is>
      </c>
      <c r="B97" s="7" t="n">
        <v>2</v>
      </c>
      <c r="C97" s="6" t="n">
        <v>45</v>
      </c>
      <c r="D97" s="6" t="n">
        <v>90</v>
      </c>
    </row>
    <row r="98">
      <c r="A98" s="3" t="inlineStr">
        <is>
          <t>TOTAL qté</t>
        </is>
      </c>
      <c r="B98" s="14">
        <f>SUM(B3:B97)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</cols>
  <sheetData>
    <row r="1">
      <c r="A1" s="1" t="inlineStr">
        <is>
          <t>Menu « Demi Lune » : prix catalogue et dispersion hors catalogue, exercice 2022-2023 (annexe B1)</t>
        </is>
      </c>
    </row>
    <row r="2">
      <c r="A2" s="2" t="inlineStr">
        <is>
          <t>Tout résultat par formule sur Src-B1-DemiLune (SUMIF/COUNTIF/MINIFS/MAXIFS).</t>
        </is>
      </c>
    </row>
    <row r="3">
      <c r="A3" t="inlineStr">
        <is>
          <t>Quantité totale vendue (toutes lignes)</t>
        </is>
      </c>
      <c r="B3" s="21">
        <f>SUM('Src-B1-DemiLune'!$B$3:$B$97)</f>
        <v/>
      </c>
    </row>
    <row r="4">
      <c r="A4" t="inlineStr">
        <is>
          <t>Prix catalogue (unique)</t>
        </is>
      </c>
      <c r="B4" s="22" t="n">
        <v>45</v>
      </c>
    </row>
    <row r="5">
      <c r="A5" t="inlineStr">
        <is>
          <t>Quantité vendue au prix catalogue 45,00 €</t>
        </is>
      </c>
      <c r="B5" s="21">
        <f>SUMIF('Src-B1-DemiLune'!$C$3:$C$97,45,'Src-B1-DemiLune'!$B$3:$B$97)</f>
        <v/>
      </c>
    </row>
    <row r="6">
      <c r="A6" t="inlineStr">
        <is>
          <t>Nombre de lignes au prix catalogue</t>
        </is>
      </c>
      <c r="B6" s="23">
        <f>COUNTIF('Src-B1-DemiLune'!$C$3:$C$97,45)</f>
        <v/>
      </c>
    </row>
    <row r="7">
      <c r="A7" t="inlineStr">
        <is>
          <t>Quantité vendue hors catalogue (≠ 45,00 €)</t>
        </is>
      </c>
      <c r="B7" s="21">
        <f>B3-B5</f>
        <v/>
      </c>
    </row>
    <row r="8">
      <c r="A8" t="inlineStr">
        <is>
          <t>Part hors catalogue (en quantité)</t>
        </is>
      </c>
      <c r="B8" s="24">
        <f>B7/B3</f>
        <v/>
      </c>
    </row>
    <row r="9">
      <c r="A9" t="inlineStr">
        <is>
          <t>Prix hors catalogue — minimum</t>
        </is>
      </c>
      <c r="B9" s="15">
        <f>_xlfn.MINIFS('Src-B1-DemiLune'!$C$3:$C$97,'Src-B1-DemiLune'!$C$3:$C$97,"&lt;&gt;45")</f>
        <v/>
      </c>
    </row>
    <row r="10">
      <c r="A10" t="inlineStr">
        <is>
          <t>Prix hors catalogue — maximum</t>
        </is>
      </c>
      <c r="B10" s="15">
        <f>_xlfn.MAXIFS('Src-B1-DemiLune'!$C$3:$C$97,'Src-B1-DemiLune'!$C$3:$C$97,"&lt;&gt;45")</f>
        <v/>
      </c>
    </row>
    <row r="11">
      <c r="A11" t="inlineStr">
        <is>
          <t>Nombre de prix unitaires distincts (indicatif)</t>
        </is>
      </c>
      <c r="B11" s="25" t="n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2026-10-25T19:12:16Z</dcterms:created>
  <dcterms:modified xmlns:dcterms="http://purl.org/dc/terms/" xmlns:xsi="http://www.w3.org/2001/XMLSchema-instance" xsi:type="dcterms:W3CDTF">2026-10-25T19:14:25Z</dcterms:modified>
</cp:coreProperties>
</file>