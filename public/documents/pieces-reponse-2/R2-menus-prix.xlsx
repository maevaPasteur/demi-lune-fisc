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éthode" sheetId="1" state="visible" r:id="rId3"/>
    <sheet name="Src-E1-DEL-0909" sheetId="2" state="visible" r:id="rId4"/>
    <sheet name="Src-C1-notes-0909" sheetId="3" state="visible" r:id="rId5"/>
    <sheet name="Calc-0909" sheetId="4" state="visible" r:id="rId6"/>
    <sheet name="Src-E1-DEL-conv" sheetId="5" state="visible" r:id="rId7"/>
    <sheet name="Src-C1-notes-conv" sheetId="6" state="visible" r:id="rId8"/>
    <sheet name="Calc-conv-2022-2023" sheetId="7" state="visible" r:id="rId9"/>
    <sheet name="Src-E2-DEL-conv" sheetId="8" state="visible" r:id="rId10"/>
    <sheet name="Src-C2-notes-conv" sheetId="9" state="visible" r:id="rId11"/>
    <sheet name="Calc-conv-2023-2024" sheetId="10" state="visible" r:id="rId12"/>
    <sheet name="Src-E3-DEL-conv" sheetId="11" state="visible" r:id="rId13"/>
    <sheet name="Src-C3-notes-conv" sheetId="12" state="visible" r:id="rId14"/>
    <sheet name="Calc-conv-2024-2025" sheetId="13" state="visible" r:id="rId15"/>
    <sheet name="Src-B1-DemiLune" sheetId="14" state="visible" r:id="rId16"/>
    <sheet name="Calc-prix-2022-2023" sheetId="15" state="visible" r:id="rId17"/>
    <sheet name="Src-B2-DemiLune" sheetId="16" state="visible" r:id="rId18"/>
    <sheet name="Calc-prix-2023-2024" sheetId="17" state="visible" r:id="rId19"/>
    <sheet name="Src-B3-DemiLune" sheetId="18" state="visible" r:id="rId20"/>
    <sheet name="Calc-prix-2024-2025" sheetId="19" state="visible" r:id="rId21"/>
    <sheet name="Récap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<sst xmlns="http://schemas.openxmlformats.org/spreadsheetml/2006/main" count="2193" uniqueCount="516">
  <si>
    <t xml:space="preserve">R2 — Menu « Demi Lune » : prix, conversions au forfait et test du 09/09/2022</t>
  </si>
  <si>
    <t xml:space="preserve">Pièce de la réponse n° 2 (grief J « Instabilité des prix du menu Demi Lune »). Toutes les valeurs de résultat</t>
  </si>
  <si>
    <t xml:space="preserve">sont obtenues PAR FORMULE à partir des lignes brutes copiées dans les onglets « Src- ». Aucun résultat en dur.</t>
  </si>
  <si>
    <t xml:space="preserve">Sources primaires — les TROIS exercices vérifiés (annexes de caisse remises au service) :</t>
  </si>
  <si>
    <t xml:space="preserve">  • ANNEXE-E1/E2/E3_tpvevenement — fichier des évènements (lignes DEL = suppressions).</t>
  </si>
  <si>
    <t xml:space="preserve">  • ANNEXE-C1/C2/C3_detail-tickets — détail des tickets encaissés (lignes de note).</t>
  </si>
  <si>
    <t xml:space="preserve">  • ANNEXE-B1/B2/B3_prix-vente-quantite — prix de vente et quantités, ligne à ligne.</t>
  </si>
  <si>
    <t xml:space="preserve">Onglet « Calc-0909 » — test du jour choisi par le service (09/09/2022) :</t>
  </si>
  <si>
    <t xml:space="preserve">  Les 67 lignes DEL du jour (Src-E1-DEL-0909) sont regroupées en 14 rafales par SUMIF/COUNTIF sur l'heure.</t>
  </si>
  <si>
    <t xml:space="preserve">  Pour chaque rafale, « Montant rattaché » = la somme si une note Demi Lune re-saisie du même jour porte</t>
  </si>
  <si>
    <t xml:space="preserve">  exactement ce total (SUMIFS sur Src-C1-notes-0909), 0 sinon. Résultat : 2 rafales sur 14 (283,90 € / 933,80 €,</t>
  </si>
  <si>
    <t xml:space="preserve">  soit ~30 %) correspondent à une note Demi Lune ; 12 rafales (649,90 €) sont des corrections de caisse.</t>
  </si>
  <si>
    <t xml:space="preserve">Onglets « Calc-conv-AAAA-AAAA » — conversions au forfait → Menu Demi Lune, un onglet par exercice :</t>
  </si>
  <si>
    <t xml:space="preserve">  Pour chaque rafale retenue, « Somme DEL » = SUMIFS(montant ; date ; heure) sur Src-E{n}-DEL-conv ; « Total note »</t>
  </si>
  <si>
    <t xml:space="preserve">  = SUMIFS(total ligne ; date ; n° note) sur Src-C{n}-notes-conv ; écart = total note − somme DEL. 61 conversions</t>
  </si>
  <si>
    <t xml:space="preserve">  au total : 16 (1 492,80 €) en 2022-2023, 22 (2 651,00 €) en 2023-2024, 23 (2 584,70 €) en 2024-2025.</t>
  </si>
  <si>
    <t xml:space="preserve">  Somme des suppressions 6 728,50 € = total encaissé 6 728,49 € (écart 0,01 €, un seul arrondi de division).</t>
  </si>
  <si>
    <t xml:space="preserve">Onglets « Calc-prix-AAAA-AAAA » — dispersion des prix, un onglet par exercice (annexes B1/B2/B3) :</t>
  </si>
  <si>
    <t xml:space="preserve">  Quantité au prix catalogue 45,00 € = SUMIF(PU ; 45 ; Qté) ; hors catalogue par solde ; plage par MINIFS/MAXIFS.</t>
  </si>
  <si>
    <t xml:space="preserve">  Le prix catalogue est UNIQUE : 45,00 € sur chacun des trois exercices (c'est le seul prix récurrent, et de loin</t>
  </si>
  <si>
    <t xml:space="preserve">  le plus fréquent : 92, 192 puis 235 unités). Hors catalogue : 64 + 123 + 147 = 334 unités (13,00 € à 90,00 €).</t>
  </si>
  <si>
    <t xml:space="preserve">Onglet « Récap » — synthèse des trois exercices : conversions, dispersion et taux de rattachement, par formule.</t>
  </si>
  <si>
    <t xml:space="preserve">Limites réellement irréductibles :</t>
  </si>
  <si>
    <t xml:space="preserve">  La caisse ne stocke aucun lien entre une suppression « DEL » et la note re-saisie : le rapprochement est</t>
  </si>
  <si>
    <t xml:space="preserve">  reconstruit par date, minute et montant, non par un pointeur. Ce point de traçabilité relève du grief A.</t>
  </si>
  <si>
    <t xml:space="preserve">ANNEXE-E1 — lignes DEL (suppressions) de la journée 2022-09-09 (brut, triées par id)</t>
  </si>
  <si>
    <t xml:space="preserve">Date</t>
  </si>
  <si>
    <t xml:space="preserve">Heure</t>
  </si>
  <si>
    <t xml:space="preserve">Type</t>
  </si>
  <si>
    <t xml:space="preserve">Montant (€)</t>
  </si>
  <si>
    <t xml:space="preserve">id</t>
  </si>
  <si>
    <t xml:space="preserve">2022-09-09</t>
  </si>
  <si>
    <t xml:space="preserve">11:09</t>
  </si>
  <si>
    <t xml:space="preserve">DEL</t>
  </si>
  <si>
    <t xml:space="preserve">11:28</t>
  </si>
  <si>
    <t xml:space="preserve">11:29</t>
  </si>
  <si>
    <t xml:space="preserve">11:30</t>
  </si>
  <si>
    <t xml:space="preserve">11:42</t>
  </si>
  <si>
    <t xml:space="preserve">11:58</t>
  </si>
  <si>
    <t xml:space="preserve">12:07</t>
  </si>
  <si>
    <t xml:space="preserve">12:23</t>
  </si>
  <si>
    <t xml:space="preserve">12:35</t>
  </si>
  <si>
    <t xml:space="preserve">12:36</t>
  </si>
  <si>
    <t xml:space="preserve">18:52</t>
  </si>
  <si>
    <t xml:space="preserve">20:09</t>
  </si>
  <si>
    <t xml:space="preserve">20:16</t>
  </si>
  <si>
    <t xml:space="preserve">20:17</t>
  </si>
  <si>
    <t xml:space="preserve">ANNEXE-C1 — notes encaissées de la journée 2022-09-09 (total par note ; qté/PU Menu Demi Lune si présent)</t>
  </si>
  <si>
    <t xml:space="preserve">N° note</t>
  </si>
  <si>
    <t xml:space="preserve">Nb lignes</t>
  </si>
  <si>
    <t xml:space="preserve">Total note (€)</t>
  </si>
  <si>
    <t xml:space="preserve">Qté Demi Lune</t>
  </si>
  <si>
    <t xml:space="preserve">PU Demi Lune (€)</t>
  </si>
  <si>
    <t xml:space="preserve">11:40</t>
  </si>
  <si>
    <t xml:space="preserve">11:41</t>
  </si>
  <si>
    <t xml:space="preserve">12:08</t>
  </si>
  <si>
    <t xml:space="preserve">12:11</t>
  </si>
  <si>
    <t xml:space="preserve">12:14</t>
  </si>
  <si>
    <t xml:space="preserve">12:17</t>
  </si>
  <si>
    <t xml:space="preserve">12:20</t>
  </si>
  <si>
    <t xml:space="preserve">12:38</t>
  </si>
  <si>
    <t xml:space="preserve">12:50</t>
  </si>
  <si>
    <t xml:space="preserve">12:51</t>
  </si>
  <si>
    <t xml:space="preserve">12:53</t>
  </si>
  <si>
    <t xml:space="preserve">13:07</t>
  </si>
  <si>
    <t xml:space="preserve">18:57</t>
  </si>
  <si>
    <t xml:space="preserve">19:05</t>
  </si>
  <si>
    <t xml:space="preserve">19:11</t>
  </si>
  <si>
    <t xml:space="preserve">19:30</t>
  </si>
  <si>
    <t xml:space="preserve">19:33</t>
  </si>
  <si>
    <t xml:space="preserve">19:34</t>
  </si>
  <si>
    <t xml:space="preserve">19:39</t>
  </si>
  <si>
    <t xml:space="preserve">19:50</t>
  </si>
  <si>
    <t xml:space="preserve">20:03</t>
  </si>
  <si>
    <t xml:space="preserve">Test du 09/09/2022 (jour choisi par le service) : 14 rafales DEL, rattachement aux notes Demi Lune re-saisies</t>
  </si>
  <si>
    <t xml:space="preserve">Nb et Somme par COUNTIF/SUMIF sur Src-E1-DEL-0909 ; Montant rattaché = SUMIFS(total note où Qté Demi Lune&gt;0 et total=somme rafale) sur Src-C1-notes-0909.</t>
  </si>
  <si>
    <t xml:space="preserve">Rafale (heure)</t>
  </si>
  <si>
    <t xml:space="preserve">Nb lignes DEL</t>
  </si>
  <si>
    <t xml:space="preserve">Somme DEL (€)</t>
  </si>
  <si>
    <t xml:space="preserve">Note Demi Lune rapprochée</t>
  </si>
  <si>
    <t xml:space="preserve">Montant rattaché (€)</t>
  </si>
  <si>
    <t xml:space="preserve">—</t>
  </si>
  <si>
    <t xml:space="preserve">Note 3 (12:08) : 2×Menu Demi Lune 38,45 €</t>
  </si>
  <si>
    <t xml:space="preserve">Note 8 (12:23) : 4×Menu Demi Lune 51,75 €</t>
  </si>
  <si>
    <t xml:space="preserve">TOTAL</t>
  </si>
  <si>
    <t xml:space="preserve">dont rattaché →</t>
  </si>
  <si>
    <t xml:space="preserve">Taux de rattachement (montant)</t>
  </si>
  <si>
    <t xml:space="preserve">Montant DEL non rattaché à une note Demi Lune re-saisie</t>
  </si>
  <si>
    <t xml:space="preserve">Note : les deux seuls « trous » dans la numérotation des id DEL du jour (42098 et 42123) correspondent à deux évènements non-DEL « RPR » relevés sur l'annexe E1, et non à des DEL manquantes.</t>
  </si>
  <si>
    <t xml:space="preserve">ANNEXE-E1 — lignes DEL des 16 rafales converties au forfait (exercice 2022-2023)</t>
  </si>
  <si>
    <t xml:space="preserve">2022-04-21</t>
  </si>
  <si>
    <t xml:space="preserve">12:58</t>
  </si>
  <si>
    <t xml:space="preserve">19:19</t>
  </si>
  <si>
    <t xml:space="preserve">2022-05-06</t>
  </si>
  <si>
    <t xml:space="preserve">11:51</t>
  </si>
  <si>
    <t xml:space="preserve">2022-07-12</t>
  </si>
  <si>
    <t xml:space="preserve">12:01</t>
  </si>
  <si>
    <t xml:space="preserve">2022-07-20</t>
  </si>
  <si>
    <t xml:space="preserve">2022-07-21</t>
  </si>
  <si>
    <t xml:space="preserve">12:03</t>
  </si>
  <si>
    <t xml:space="preserve">2022-07-29</t>
  </si>
  <si>
    <t xml:space="preserve">13:02</t>
  </si>
  <si>
    <t xml:space="preserve">2022-08-09</t>
  </si>
  <si>
    <t xml:space="preserve">12:13</t>
  </si>
  <si>
    <t xml:space="preserve">2022-08-17</t>
  </si>
  <si>
    <t xml:space="preserve">11:52</t>
  </si>
  <si>
    <t xml:space="preserve">2022-08-25</t>
  </si>
  <si>
    <t xml:space="preserve">12:02</t>
  </si>
  <si>
    <t xml:space="preserve">2022-10-13</t>
  </si>
  <si>
    <t xml:space="preserve">12:21</t>
  </si>
  <si>
    <t xml:space="preserve">2023-01-05</t>
  </si>
  <si>
    <t xml:space="preserve">12:22</t>
  </si>
  <si>
    <t xml:space="preserve">12:24</t>
  </si>
  <si>
    <t xml:space="preserve">2023-03-22</t>
  </si>
  <si>
    <t xml:space="preserve">20:36</t>
  </si>
  <si>
    <t xml:space="preserve">ANNEXE-C1 — lignes des 16 notes re-saisies converties au forfait (total ligne = Qté × PU, par formule)</t>
  </si>
  <si>
    <t xml:space="preserve">Réf</t>
  </si>
  <si>
    <t xml:space="preserve">Libellé</t>
  </si>
  <si>
    <t xml:space="preserve">Qté</t>
  </si>
  <si>
    <t xml:space="preserve">PU (€)</t>
  </si>
  <si>
    <t xml:space="preserve">Total ligne (€)</t>
  </si>
  <si>
    <t xml:space="preserve">12:59</t>
  </si>
  <si>
    <t xml:space="preserve">0196</t>
  </si>
  <si>
    <t xml:space="preserve">Menu 'Demi Lune'</t>
  </si>
  <si>
    <t xml:space="preserve">20:37</t>
  </si>
  <si>
    <t xml:space="preserve">Conversions au forfait → Menu Demi Lune, exercice 2022-2023 (16 notes re-dérivées des annexes E1 et C1)</t>
  </si>
  <si>
    <t xml:space="preserve">Somme DEL = SUMIFS sur Src-E1-DEL-conv (date, heure) ; Total note = SUMIFS sur Src-C1-notes-conv (date, n° note) ; Écart = Total note − Somme DEL.</t>
  </si>
  <si>
    <t xml:space="preserve">Heure rafale</t>
  </si>
  <si>
    <t xml:space="preserve">Écart (€)</t>
  </si>
  <si>
    <t xml:space="preserve">Unités de Menu Demi Lune re-saisies (Réf. 0196)</t>
  </si>
  <si>
    <t xml:space="preserve">Lignes à la carte supprimées (total)</t>
  </si>
  <si>
    <t xml:space="preserve">ANNEXE-E2 — lignes DEL des 22 rafales converties au forfait (exercice 2023-2024)</t>
  </si>
  <si>
    <t xml:space="preserve">2023-05-10</t>
  </si>
  <si>
    <t xml:space="preserve">18:56</t>
  </si>
  <si>
    <t xml:space="preserve">2023-05-11</t>
  </si>
  <si>
    <t xml:space="preserve">12:48</t>
  </si>
  <si>
    <t xml:space="preserve">2023-05-12</t>
  </si>
  <si>
    <t xml:space="preserve">11:56</t>
  </si>
  <si>
    <t xml:space="preserve">2023-05-26</t>
  </si>
  <si>
    <t xml:space="preserve">12:54</t>
  </si>
  <si>
    <t xml:space="preserve">2023-07-12</t>
  </si>
  <si>
    <t xml:space="preserve">19:41</t>
  </si>
  <si>
    <t xml:space="preserve">2023-07-21</t>
  </si>
  <si>
    <t xml:space="preserve">2023-07-27</t>
  </si>
  <si>
    <t xml:space="preserve">13:26</t>
  </si>
  <si>
    <t xml:space="preserve">2023-08-02</t>
  </si>
  <si>
    <t xml:space="preserve">18:47</t>
  </si>
  <si>
    <t xml:space="preserve">2023-09-07</t>
  </si>
  <si>
    <t xml:space="preserve">19:55</t>
  </si>
  <si>
    <t xml:space="preserve">2023-10-11</t>
  </si>
  <si>
    <t xml:space="preserve">12:44</t>
  </si>
  <si>
    <t xml:space="preserve">2023-11-03</t>
  </si>
  <si>
    <t xml:space="preserve">20:08</t>
  </si>
  <si>
    <t xml:space="preserve">2023-11-15</t>
  </si>
  <si>
    <t xml:space="preserve">11:48</t>
  </si>
  <si>
    <t xml:space="preserve">2023-11-29</t>
  </si>
  <si>
    <t xml:space="preserve">20:32</t>
  </si>
  <si>
    <t xml:space="preserve">2023-12-07</t>
  </si>
  <si>
    <t xml:space="preserve">12:45</t>
  </si>
  <si>
    <t xml:space="preserve">12:56</t>
  </si>
  <si>
    <t xml:space="preserve">2023-12-08</t>
  </si>
  <si>
    <t xml:space="preserve">2023-12-13</t>
  </si>
  <si>
    <t xml:space="preserve">19:59</t>
  </si>
  <si>
    <t xml:space="preserve">20:04</t>
  </si>
  <si>
    <t xml:space="preserve">2023-12-22</t>
  </si>
  <si>
    <t xml:space="preserve">13:31</t>
  </si>
  <si>
    <t xml:space="preserve">2024-01-04</t>
  </si>
  <si>
    <t xml:space="preserve">2024-03-01</t>
  </si>
  <si>
    <t xml:space="preserve">11:35</t>
  </si>
  <si>
    <t xml:space="preserve">ANNEXE-C2 — lignes des 22 notes re-saisies converties au forfait (total ligne = Qté × PU, par formule)</t>
  </si>
  <si>
    <t xml:space="preserve">12:49</t>
  </si>
  <si>
    <t xml:space="preserve">11:57</t>
  </si>
  <si>
    <t xml:space="preserve">19:42</t>
  </si>
  <si>
    <t xml:space="preserve">11:49</t>
  </si>
  <si>
    <t xml:space="preserve">2036</t>
  </si>
  <si>
    <t xml:space="preserve">Menu Bourguignon</t>
  </si>
  <si>
    <t xml:space="preserve">2037</t>
  </si>
  <si>
    <t xml:space="preserve">Menu Franc-Comtois</t>
  </si>
  <si>
    <t xml:space="preserve">1927</t>
  </si>
  <si>
    <t xml:space="preserve">FORMULE EXPRESS</t>
  </si>
  <si>
    <t xml:space="preserve">12:37</t>
  </si>
  <si>
    <t xml:space="preserve">Conversions au forfait → Menu Demi Lune, exercice 2023-2024 (22 notes re-dérivées des annexes E2 et C2)</t>
  </si>
  <si>
    <t xml:space="preserve">Somme DEL = SUMIFS sur Src-E2-DEL-conv (date, heure) ; Total note = SUMIFS sur Src-C2-notes-conv (date, n° note) ; Écart = Total note − Somme DEL.</t>
  </si>
  <si>
    <t xml:space="preserve">ANNEXE-E3 — lignes DEL des 23 rafales converties au forfait (exercice 2024-2025)</t>
  </si>
  <si>
    <t xml:space="preserve">2024-04-10</t>
  </si>
  <si>
    <t xml:space="preserve">12:19</t>
  </si>
  <si>
    <t xml:space="preserve">2024-04-24</t>
  </si>
  <si>
    <t xml:space="preserve">20:20</t>
  </si>
  <si>
    <t xml:space="preserve">2024-05-03</t>
  </si>
  <si>
    <t xml:space="preserve">2024-05-09</t>
  </si>
  <si>
    <t xml:space="preserve">2024-05-15</t>
  </si>
  <si>
    <t xml:space="preserve">19:00</t>
  </si>
  <si>
    <t xml:space="preserve">2024-05-23</t>
  </si>
  <si>
    <t xml:space="preserve">2024-05-24</t>
  </si>
  <si>
    <t xml:space="preserve">12:27</t>
  </si>
  <si>
    <t xml:space="preserve">2024-06-01</t>
  </si>
  <si>
    <t xml:space="preserve">20:45</t>
  </si>
  <si>
    <t xml:space="preserve">2024-06-07</t>
  </si>
  <si>
    <t xml:space="preserve">20:39</t>
  </si>
  <si>
    <t xml:space="preserve">2024-06-08</t>
  </si>
  <si>
    <t xml:space="preserve">2024-06-14</t>
  </si>
  <si>
    <t xml:space="preserve">19:45</t>
  </si>
  <si>
    <t xml:space="preserve">2024-09-04</t>
  </si>
  <si>
    <t xml:space="preserve">2024-09-06</t>
  </si>
  <si>
    <t xml:space="preserve">12:09</t>
  </si>
  <si>
    <t xml:space="preserve">2024-09-18</t>
  </si>
  <si>
    <t xml:space="preserve">20:48</t>
  </si>
  <si>
    <t xml:space="preserve">2024-09-19</t>
  </si>
  <si>
    <t xml:space="preserve">20:15</t>
  </si>
  <si>
    <t xml:space="preserve">2024-10-04</t>
  </si>
  <si>
    <t xml:space="preserve">18:54</t>
  </si>
  <si>
    <t xml:space="preserve">2024-10-11</t>
  </si>
  <si>
    <t xml:space="preserve">2024-10-31</t>
  </si>
  <si>
    <t xml:space="preserve">2024-11-21</t>
  </si>
  <si>
    <t xml:space="preserve">2024-11-27</t>
  </si>
  <si>
    <t xml:space="preserve">2024-12-11</t>
  </si>
  <si>
    <t xml:space="preserve">2024-12-18</t>
  </si>
  <si>
    <t xml:space="preserve">19:57</t>
  </si>
  <si>
    <t xml:space="preserve">2025-03-06</t>
  </si>
  <si>
    <t xml:space="preserve">18:36</t>
  </si>
  <si>
    <t xml:space="preserve">ANNEXE-C3 — lignes des 23 notes re-saisies converties au forfait (total ligne = Qté × PU, par formule)</t>
  </si>
  <si>
    <t xml:space="preserve">12:29</t>
  </si>
  <si>
    <t xml:space="preserve">12:10</t>
  </si>
  <si>
    <t xml:space="preserve">20:49</t>
  </si>
  <si>
    <t xml:space="preserve">20:14</t>
  </si>
  <si>
    <t xml:space="preserve">1698</t>
  </si>
  <si>
    <t xml:space="preserve">Menu du jour</t>
  </si>
  <si>
    <t xml:space="preserve">13:06</t>
  </si>
  <si>
    <t xml:space="preserve">Conversions au forfait → Menu Demi Lune, exercice 2024-2025 (23 notes re-dérivées des annexes E3 et C3)</t>
  </si>
  <si>
    <t xml:space="preserve">Somme DEL = SUMIFS sur Src-E3-DEL-conv (date, heure) ; Total note = SUMIFS sur Src-C3-notes-conv (date, n° note) ; Écart = Total note − Somme DEL.</t>
  </si>
  <si>
    <t xml:space="preserve">ANNEXE-B1 — lignes de vente du Menu « Demi Lune » (Réf. 0196), exercice 2022-2023</t>
  </si>
  <si>
    <t xml:space="preserve">PU vente TTC (€)</t>
  </si>
  <si>
    <t xml:space="preserve">Total TTC (€)</t>
  </si>
  <si>
    <t xml:space="preserve">2022-04-16</t>
  </si>
  <si>
    <t xml:space="preserve">2022-04-28</t>
  </si>
  <si>
    <t xml:space="preserve">2022-04-29</t>
  </si>
  <si>
    <t xml:space="preserve">2022-05-04</t>
  </si>
  <si>
    <t xml:space="preserve">2022-05-07</t>
  </si>
  <si>
    <t xml:space="preserve">2022-05-12</t>
  </si>
  <si>
    <t xml:space="preserve">2022-05-22</t>
  </si>
  <si>
    <t xml:space="preserve">2022-05-26</t>
  </si>
  <si>
    <t xml:space="preserve">2022-05-27</t>
  </si>
  <si>
    <t xml:space="preserve">2022-05-28</t>
  </si>
  <si>
    <t xml:space="preserve">2022-06-03</t>
  </si>
  <si>
    <t xml:space="preserve">2022-06-05</t>
  </si>
  <si>
    <t xml:space="preserve">2022-06-06</t>
  </si>
  <si>
    <t xml:space="preserve">2022-06-12</t>
  </si>
  <si>
    <t xml:space="preserve">2022-06-18</t>
  </si>
  <si>
    <t xml:space="preserve">2022-06-23</t>
  </si>
  <si>
    <t xml:space="preserve">2022-06-25</t>
  </si>
  <si>
    <t xml:space="preserve">2022-06-26</t>
  </si>
  <si>
    <t xml:space="preserve">2022-07-01</t>
  </si>
  <si>
    <t xml:space="preserve">2022-07-02</t>
  </si>
  <si>
    <t xml:space="preserve">2022-07-08</t>
  </si>
  <si>
    <t xml:space="preserve">2022-07-09</t>
  </si>
  <si>
    <t xml:space="preserve">2022-07-10</t>
  </si>
  <si>
    <t xml:space="preserve">2022-07-13</t>
  </si>
  <si>
    <t xml:space="preserve">2022-07-15</t>
  </si>
  <si>
    <t xml:space="preserve">2022-07-16</t>
  </si>
  <si>
    <t xml:space="preserve">2022-07-23</t>
  </si>
  <si>
    <t xml:space="preserve">2022-07-24</t>
  </si>
  <si>
    <t xml:space="preserve">2022-07-28</t>
  </si>
  <si>
    <t xml:space="preserve">2022-07-31</t>
  </si>
  <si>
    <t xml:space="preserve">2022-08-03</t>
  </si>
  <si>
    <t xml:space="preserve">2022-08-05</t>
  </si>
  <si>
    <t xml:space="preserve">2022-08-07</t>
  </si>
  <si>
    <t xml:space="preserve">2022-08-12</t>
  </si>
  <si>
    <t xml:space="preserve">2022-09-04</t>
  </si>
  <si>
    <t xml:space="preserve">2022-09-16</t>
  </si>
  <si>
    <t xml:space="preserve">2022-09-23</t>
  </si>
  <si>
    <t xml:space="preserve">2022-09-24</t>
  </si>
  <si>
    <t xml:space="preserve">2022-10-01</t>
  </si>
  <si>
    <t xml:space="preserve">2022-10-22</t>
  </si>
  <si>
    <t xml:space="preserve">2022-10-29</t>
  </si>
  <si>
    <t xml:space="preserve">2022-11-03</t>
  </si>
  <si>
    <t xml:space="preserve">2022-11-19</t>
  </si>
  <si>
    <t xml:space="preserve">2022-11-27</t>
  </si>
  <si>
    <t xml:space="preserve">2022-12-15</t>
  </si>
  <si>
    <t xml:space="preserve">2022-12-18</t>
  </si>
  <si>
    <t xml:space="preserve">2022-12-22</t>
  </si>
  <si>
    <t xml:space="preserve">2022-12-23</t>
  </si>
  <si>
    <t xml:space="preserve">2022-12-31</t>
  </si>
  <si>
    <t xml:space="preserve">2023-01-06</t>
  </si>
  <si>
    <t xml:space="preserve">2023-02-26</t>
  </si>
  <si>
    <t xml:space="preserve">2023-03-15</t>
  </si>
  <si>
    <t xml:space="preserve">2023-03-24</t>
  </si>
  <si>
    <t xml:space="preserve">Menu « Demi Lune » : prix catalogue et dispersion hors catalogue, exercice 2022-2023 (annexe B1)</t>
  </si>
  <si>
    <t xml:space="preserve">Tout résultat par formule sur Src-B1-DemiLune (SUMIF/COUNTIF/MINIFS/MAXIFS).</t>
  </si>
  <si>
    <t xml:space="preserve">Quantité totale vendue (toutes lignes)</t>
  </si>
  <si>
    <t xml:space="preserve">Prix catalogue (unique)</t>
  </si>
  <si>
    <t xml:space="preserve">Quantité vendue au prix catalogue 45,00 €</t>
  </si>
  <si>
    <t xml:space="preserve">Nombre de lignes au prix catalogue</t>
  </si>
  <si>
    <t xml:space="preserve">Quantité vendue hors catalogue (≠ 45,00 €)</t>
  </si>
  <si>
    <t xml:space="preserve">Part hors catalogue (en quantité)</t>
  </si>
  <si>
    <t xml:space="preserve">Prix hors catalogue — minimum</t>
  </si>
  <si>
    <t xml:space="preserve">Prix hors catalogue — maximum</t>
  </si>
  <si>
    <t xml:space="preserve">Nombre de prix unitaires distincts (indicatif)</t>
  </si>
  <si>
    <t xml:space="preserve">ANNEXE-B2 — lignes de vente du Menu « Demi Lune » (Réf. 0196), exercice 2023-2024</t>
  </si>
  <si>
    <t xml:space="preserve">2023-04-01</t>
  </si>
  <si>
    <t xml:space="preserve">2023-04-02</t>
  </si>
  <si>
    <t xml:space="preserve">2023-04-08</t>
  </si>
  <si>
    <t xml:space="preserve">2023-04-09</t>
  </si>
  <si>
    <t xml:space="preserve">2023-04-14</t>
  </si>
  <si>
    <t xml:space="preserve">2023-04-16</t>
  </si>
  <si>
    <t xml:space="preserve">2023-04-21</t>
  </si>
  <si>
    <t xml:space="preserve">2023-04-22</t>
  </si>
  <si>
    <t xml:space="preserve">2023-04-23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</si>
  <si>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</si>
  <si>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</si>
  <si>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</si>
  <si>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</si>
  <si>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2023-05-04</t>
  </si>
  <si>
    <t xml:space="preserve">2023-05-07</t>
  </si>
  <si>
    <t xml:space="preserve">2023-05-14</t>
  </si>
  <si>
    <t xml:space="preserve">2023-05-17</t>
  </si>
  <si>
    <t xml:space="preserve">2023-05-19</t>
  </si>
  <si>
    <t xml:space="preserve">2023-05-21</t>
  </si>
  <si>
    <t xml:space="preserve">2023-05-24</t>
  </si>
  <si>
    <t xml:space="preserve">2023-05-28</t>
  </si>
  <si>
    <t xml:space="preserve">2023-05-31</t>
  </si>
  <si>
    <t xml:space="preserve">2023-06-01</t>
  </si>
  <si>
    <t xml:space="preserve">2023-06-03</t>
  </si>
  <si>
    <t xml:space="preserve">2023-06-08</t>
  </si>
  <si>
    <t xml:space="preserve">2023-06-09</t>
  </si>
  <si>
    <t xml:space="preserve">2023-06-10</t>
  </si>
  <si>
    <t xml:space="preserve">2023-06-16</t>
  </si>
  <si>
    <t xml:space="preserve">2023-06-21</t>
  </si>
  <si>
    <t xml:space="preserve">2023-06-24</t>
  </si>
  <si>
    <t xml:space="preserve">2023-07-01</t>
  </si>
  <si>
    <t xml:space="preserve">2023-07-02</t>
  </si>
  <si>
    <t xml:space="preserve">2023-07-06</t>
  </si>
  <si>
    <t xml:space="preserve">2023-07-07</t>
  </si>
  <si>
    <t xml:space="preserve">2023-07-09</t>
  </si>
  <si>
    <t xml:space="preserve">2023-07-22</t>
  </si>
  <si>
    <t xml:space="preserve">2023-07-23</t>
  </si>
  <si>
    <t xml:space="preserve">2023-07-26</t>
  </si>
  <si>
    <t xml:space="preserve">2023-07-28</t>
  </si>
  <si>
    <t xml:space="preserve">2023-07-29</t>
  </si>
  <si>
    <t xml:space="preserve">2023-08-03</t>
  </si>
  <si>
    <t xml:space="preserve">2023-08-05</t>
  </si>
  <si>
    <t xml:space="preserve">2023-08-06</t>
  </si>
  <si>
    <t xml:space="preserve">2023-08-09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</si>
  <si>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</si>
  <si>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</si>
  <si>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</si>
  <si>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</si>
  <si>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2023-08-24</t>
  </si>
  <si>
    <t xml:space="preserve">2023-08-25</t>
  </si>
  <si>
    <t xml:space="preserve">2023-08-26</t>
  </si>
  <si>
    <t xml:space="preserve">2023-08-30</t>
  </si>
  <si>
    <t xml:space="preserve">2023-09-02</t>
  </si>
  <si>
    <t xml:space="preserve">2023-09-03</t>
  </si>
  <si>
    <t xml:space="preserve">2023-09-08</t>
  </si>
  <si>
    <t xml:space="preserve">2023-09-10</t>
  </si>
  <si>
    <t xml:space="preserve">2023-09-21</t>
  </si>
  <si>
    <t xml:space="preserve">2023-09-23</t>
  </si>
  <si>
    <t xml:space="preserve">2023-09-28</t>
  </si>
  <si>
    <t xml:space="preserve">2023-09-29</t>
  </si>
  <si>
    <t xml:space="preserve">2023-10-01</t>
  </si>
  <si>
    <t xml:space="preserve">2023-10-04</t>
  </si>
  <si>
    <t xml:space="preserve">2023-10-07</t>
  </si>
  <si>
    <t xml:space="preserve">2023-10-08</t>
  </si>
  <si>
    <t xml:space="preserve">2023-10-14</t>
  </si>
  <si>
    <t xml:space="preserve">2023-10-15</t>
  </si>
  <si>
    <t xml:space="preserve">2023-10-18</t>
  </si>
  <si>
    <t xml:space="preserve">2023-10-20</t>
  </si>
  <si>
    <t xml:space="preserve">2023-10-26</t>
  </si>
  <si>
    <t xml:space="preserve">2023-10-28</t>
  </si>
  <si>
    <t xml:space="preserve">2023-11-04</t>
  </si>
  <si>
    <t xml:space="preserve">2023-11-05</t>
  </si>
  <si>
    <t xml:space="preserve">2023-11-11</t>
  </si>
  <si>
    <t xml:space="preserve">2023-11-18</t>
  </si>
  <si>
    <t xml:space="preserve">2023-11-19</t>
  </si>
  <si>
    <t xml:space="preserve">2023-11-30</t>
  </si>
  <si>
    <t xml:space="preserve">2023-12-09</t>
  </si>
  <si>
    <t xml:space="preserve">2023-12-14</t>
  </si>
  <si>
    <t xml:space="preserve">2023-12-15</t>
  </si>
  <si>
    <t xml:space="preserve">2023-12-17</t>
  </si>
  <si>
    <t xml:space="preserve">2023-12-20</t>
  </si>
  <si>
    <t xml:space="preserve">2023-12-21</t>
  </si>
  <si>
    <t xml:space="preserve">2023-12-28</t>
  </si>
  <si>
    <t xml:space="preserve">2023-12-29</t>
  </si>
  <si>
    <t xml:space="preserve">2023-12-31</t>
  </si>
  <si>
    <t xml:space="preserve">2024-01-05</t>
  </si>
  <si>
    <t xml:space="preserve">2024-03-02</t>
  </si>
  <si>
    <t xml:space="preserve">2024-03-06</t>
  </si>
  <si>
    <t xml:space="preserve">2024-03-07</t>
  </si>
  <si>
    <t xml:space="preserve">2024-03-08</t>
  </si>
  <si>
    <t xml:space="preserve">2024-03-10</t>
  </si>
  <si>
    <t xml:space="preserve">2024-03-14</t>
  </si>
  <si>
    <t xml:space="preserve">2024-03-20</t>
  </si>
  <si>
    <t xml:space="preserve">2024-03-24</t>
  </si>
  <si>
    <t xml:space="preserve">2024-03-29</t>
  </si>
  <si>
    <t xml:space="preserve">2024-03-31</t>
  </si>
  <si>
    <t xml:space="preserve">Menu « Demi Lune » : prix catalogue et dispersion hors catalogue, exercice 2023-2024 (annexe B2)</t>
  </si>
  <si>
    <t xml:space="preserve">Tout résultat par formule sur Src-B2-DemiLune (SUMIF/COUNTIF/MINIFS/MAXIFS).</t>
  </si>
  <si>
    <t xml:space="preserve">ANNEXE-B3 — lignes de vente du Menu « Demi Lune » (Réf. 0196), exercice 2024-2025</t>
  </si>
  <si>
    <t xml:space="preserve">2024-04-05</t>
  </si>
  <si>
    <t xml:space="preserve">2024-04-11</t>
  </si>
  <si>
    <t xml:space="preserve">2024-04-14</t>
  </si>
  <si>
    <t xml:space="preserve">2024-04-18</t>
  </si>
  <si>
    <t xml:space="preserve">2024-04-20</t>
  </si>
  <si>
    <t xml:space="preserve">2024-04-21</t>
  </si>
  <si>
    <t xml:space="preserve">2024-04-27</t>
  </si>
  <si>
    <t xml:space="preserve">2024-05-02</t>
  </si>
  <si>
    <t xml:space="preserve">2024-05-05</t>
  </si>
  <si>
    <t xml:space="preserve">2024-05-08</t>
  </si>
  <si>
    <t xml:space="preserve">2024-05-10</t>
  </si>
  <si>
    <t xml:space="preserve">2024-05-11</t>
  </si>
  <si>
    <t xml:space="preserve">2024-05-12</t>
  </si>
  <si>
    <t xml:space="preserve">2024-05-17</t>
  </si>
  <si>
    <t xml:space="preserve">2024-05-25</t>
  </si>
  <si>
    <t xml:space="preserve">2024-05-26</t>
  </si>
  <si>
    <t xml:space="preserve">2024-05-29</t>
  </si>
  <si>
    <t xml:space="preserve">2024-05-31</t>
  </si>
  <si>
    <t xml:space="preserve">2024-06-06</t>
  </si>
  <si>
    <t xml:space="preserve">2024-06-09</t>
  </si>
  <si>
    <t xml:space="preserve">2024-06-13</t>
  </si>
  <si>
    <t xml:space="preserve">2024-06-15</t>
  </si>
  <si>
    <t xml:space="preserve">2024-06-16</t>
  </si>
  <si>
    <t xml:space="preserve">2024-06-19</t>
  </si>
  <si>
    <t xml:space="preserve">2024-06-27</t>
  </si>
  <si>
    <t xml:space="preserve">2024-06-30</t>
  </si>
  <si>
    <t xml:space="preserve">2024-07-03</t>
  </si>
  <si>
    <t xml:space="preserve">2024-07-06</t>
  </si>
  <si>
    <t xml:space="preserve">2024-07-07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</si>
  <si>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</si>
  <si>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</si>
  <si>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</si>
  <si>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</si>
  <si>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2024-07-17</t>
  </si>
  <si>
    <t xml:space="preserve">2024-07-19</t>
  </si>
  <si>
    <t xml:space="preserve">2024-07-21</t>
  </si>
  <si>
    <t xml:space="preserve">2024-07-27</t>
  </si>
  <si>
    <t xml:space="preserve">2024-07-28</t>
  </si>
  <si>
    <t xml:space="preserve">2024-07-31</t>
  </si>
  <si>
    <t xml:space="preserve">2024-08-02</t>
  </si>
  <si>
    <t xml:space="preserve">2024-08-03</t>
  </si>
  <si>
    <t xml:space="preserve">2024-08-04</t>
  </si>
  <si>
    <t xml:space="preserve">2024-08-07</t>
  </si>
  <si>
    <t xml:space="preserve">2024-08-08</t>
  </si>
  <si>
    <t xml:space="preserve">2024-08-09</t>
  </si>
  <si>
    <t xml:space="preserve">2024-08-11</t>
  </si>
  <si>
    <t xml:space="preserve">2024-08-17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</si>
  <si>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</si>
  <si>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</si>
  <si>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</si>
  <si>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</si>
  <si>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2024-08-28</t>
  </si>
  <si>
    <t xml:space="preserve">2024-08-31</t>
  </si>
  <si>
    <t xml:space="preserve">2024-09-01</t>
  </si>
  <si>
    <t xml:space="preserve">2024-09-07</t>
  </si>
  <si>
    <t xml:space="preserve">2024-09-08</t>
  </si>
  <si>
    <t xml:space="preserve">2024-09-11</t>
  </si>
  <si>
    <t xml:space="preserve">2024-09-13</t>
  </si>
  <si>
    <t xml:space="preserve">2024-09-14</t>
  </si>
  <si>
    <t xml:space="preserve">2024-09-15</t>
  </si>
  <si>
    <t xml:space="preserve">2024-09-25</t>
  </si>
  <si>
    <t xml:space="preserve">2024-09-27</t>
  </si>
  <si>
    <t xml:space="preserve">2024-09-28</t>
  </si>
  <si>
    <t xml:space="preserve">2024-10-05</t>
  </si>
  <si>
    <t xml:space="preserve">2024-10-06</t>
  </si>
  <si>
    <t xml:space="preserve">2024-10-09</t>
  </si>
  <si>
    <t xml:space="preserve">2024-10-17</t>
  </si>
  <si>
    <t xml:space="preserve">2024-10-18</t>
  </si>
  <si>
    <t xml:space="preserve">2024-10-19</t>
  </si>
  <si>
    <t xml:space="preserve">2024-10-23</t>
  </si>
  <si>
    <t xml:space="preserve">2024-11-06</t>
  </si>
  <si>
    <t xml:space="preserve">2024-11-09</t>
  </si>
  <si>
    <t xml:space="preserve">2024-11-10</t>
  </si>
  <si>
    <t xml:space="preserve">2024-11-13</t>
  </si>
  <si>
    <t xml:space="preserve">2024-11-29</t>
  </si>
  <si>
    <t xml:space="preserve">2024-11-30</t>
  </si>
  <si>
    <t xml:space="preserve">2024-12-01</t>
  </si>
  <si>
    <t xml:space="preserve">2024-12-07</t>
  </si>
  <si>
    <t xml:space="preserve">2024-12-08</t>
  </si>
  <si>
    <t xml:space="preserve">2024-12-13</t>
  </si>
  <si>
    <t xml:space="preserve">2024-12-14</t>
  </si>
  <si>
    <t xml:space="preserve">2024-12-15</t>
  </si>
  <si>
    <t xml:space="preserve">2024-12-19</t>
  </si>
  <si>
    <t xml:space="preserve">2024-12-20</t>
  </si>
  <si>
    <t xml:space="preserve">2024-12-21</t>
  </si>
  <si>
    <t xml:space="preserve">2024-12-26</t>
  </si>
  <si>
    <t xml:space="preserve">2024-12-27</t>
  </si>
  <si>
    <t xml:space="preserve">2024-12-29</t>
  </si>
  <si>
    <t xml:space="preserve">2024-12-31</t>
  </si>
  <si>
    <t xml:space="preserve">2025-01-02</t>
  </si>
  <si>
    <t xml:space="preserve">2025-01-03</t>
  </si>
  <si>
    <t xml:space="preserve">2025-01-04</t>
  </si>
  <si>
    <t xml:space="preserve">2025-03-09</t>
  </si>
  <si>
    <t xml:space="preserve">2025-03-13</t>
  </si>
  <si>
    <t xml:space="preserve">2025-03-14</t>
  </si>
  <si>
    <t xml:space="preserve">2025-03-15</t>
  </si>
  <si>
    <t xml:space="preserve">2025-03-22</t>
  </si>
  <si>
    <t xml:space="preserve">2025-03-29</t>
  </si>
  <si>
    <t xml:space="preserve">2025-03-30</t>
  </si>
  <si>
    <t xml:space="preserve">Menu « Demi Lune » : prix catalogue et dispersion hors catalogue, exercice 2024-2025 (annexe B3)</t>
  </si>
  <si>
    <t xml:space="preserve">Tout résultat par formule sur Src-B3-DemiLune (SUMIF/COUNTIF/MINIFS/MAXIFS).</t>
  </si>
  <si>
    <t xml:space="preserve">Synthèse des trois exercices — conversions au forfait, dispersion des prix, taux de rattachement</t>
  </si>
  <si>
    <t xml:space="preserve">Toutes les cellules renvoient par formule aux onglets Calc- de chaque exercice. Aucun report manuel.</t>
  </si>
  <si>
    <t xml:space="preserve">Exercice</t>
  </si>
  <si>
    <t xml:space="preserve">Conversions</t>
  </si>
  <si>
    <t xml:space="preserve">Lignes suppr.</t>
  </si>
  <si>
    <t xml:space="preserve">Somme suppr. (€)</t>
  </si>
  <si>
    <t xml:space="preserve">Total encaissé (€)</t>
  </si>
  <si>
    <t xml:space="preserve">Unités Demi Lune</t>
  </si>
  <si>
    <t xml:space="preserve">2022-2023</t>
  </si>
  <si>
    <t xml:space="preserve">2023-2024</t>
  </si>
  <si>
    <t xml:space="preserve">2024-2025</t>
  </si>
  <si>
    <t xml:space="preserve">Dispersion des prix et taux de rattachement (annexes B / conversions)</t>
  </si>
  <si>
    <t xml:space="preserve">Prix catalogue</t>
  </si>
  <si>
    <t xml:space="preserve">Unités au catalogue</t>
  </si>
  <si>
    <t xml:space="preserve">Unités hors catalogue</t>
  </si>
  <si>
    <t xml:space="preserve">Unités Demi Lune rattachées</t>
  </si>
  <si>
    <t xml:space="preserve">Taux de rattachement</t>
  </si>
  <si>
    <t xml:space="preserve">45,00 € (unique)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</si>
</sst>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"/>
    <numFmt numFmtId="166" formatCode="0.0%"/>
    <numFmt numFmtId="167" formatCode="#,##0.##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4E5F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7F0E3"/>
        <bgColor rgb="FFD6E4E8"/>
      </patternFill>
    </fill>
    <fill>
      <patternFill patternType="solid">
        <fgColor rgb="FFD6E4E8"/>
        <bgColor rgb="FFD7F0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0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  <row r="25" customFormat="false" ht="15" hidden="false" customHeight="false" outlineLevel="0" collapsed="false">
      <c r="A25" s="0" t="s">
        <v>20</v>
      </c>
    </row>
    <row r="27" customFormat="false" ht="15" hidden="false" customHeight="false" outlineLevel="0" collapsed="false">
      <c r="A27" s="3" t="s">
        <v>21</v>
      </c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0" t="s">
        <v>23</v>
      </c>
    </row>
    <row r="31" customFormat="false" ht="15" hidden="false" customHeight="false" outlineLevel="0" collapsed="false">
      <c r="A31" s="0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3" t="s">
        <v>25</v>
      </c>
    </row>
    <row r="2" customFormat="false" ht="15" hidden="false" customHeight="false" outlineLevel="0" collapsed="false">
      <c r="A2" s="4" t="s">
        <v>26</v>
      </c>
      <c r="B2" s="4" t="s">
        <v>27</v>
      </c>
      <c r="C2" s="4" t="s">
        <v>28</v>
      </c>
      <c r="D2" s="4" t="s">
        <v>29</v>
      </c>
      <c r="E2" s="4" t="s">
        <v>30</v>
      </c>
    </row>
    <row r="3" customFormat="false" ht="15" hidden="false" customHeight="false" outlineLevel="0" collapsed="false">
      <c r="A3" s="0" t="s">
        <v>31</v>
      </c>
      <c r="B3" s="0" t="s">
        <v>32</v>
      </c>
      <c r="C3" s="0" t="s">
        <v>33</v>
      </c>
      <c r="D3" s="5" t="n">
        <v>6.4</v>
      </c>
      <c r="E3" s="0" t="n">
        <v>42062</v>
      </c>
    </row>
    <row r="4" customFormat="false" ht="15" hidden="false" customHeight="false" outlineLevel="0" collapsed="false">
      <c r="A4" s="0" t="s">
        <v>31</v>
      </c>
      <c r="B4" s="0" t="s">
        <v>32</v>
      </c>
      <c r="C4" s="0" t="s">
        <v>33</v>
      </c>
      <c r="D4" s="5" t="n">
        <v>7.2</v>
      </c>
      <c r="E4" s="0" t="n">
        <v>42063</v>
      </c>
    </row>
    <row r="5" customFormat="false" ht="15" hidden="false" customHeight="false" outlineLevel="0" collapsed="false">
      <c r="A5" s="0" t="s">
        <v>31</v>
      </c>
      <c r="B5" s="0" t="s">
        <v>32</v>
      </c>
      <c r="C5" s="0" t="s">
        <v>33</v>
      </c>
      <c r="D5" s="5" t="n">
        <v>15.9</v>
      </c>
      <c r="E5" s="0" t="n">
        <v>42064</v>
      </c>
    </row>
    <row r="6" customFormat="false" ht="15" hidden="false" customHeight="false" outlineLevel="0" collapsed="false">
      <c r="A6" s="0" t="s">
        <v>31</v>
      </c>
      <c r="B6" s="0" t="s">
        <v>32</v>
      </c>
      <c r="C6" s="0" t="s">
        <v>33</v>
      </c>
      <c r="D6" s="5" t="n">
        <v>16.9</v>
      </c>
      <c r="E6" s="0" t="n">
        <v>42065</v>
      </c>
    </row>
    <row r="7" customFormat="false" ht="15" hidden="false" customHeight="false" outlineLevel="0" collapsed="false">
      <c r="A7" s="0" t="s">
        <v>31</v>
      </c>
      <c r="B7" s="0" t="s">
        <v>34</v>
      </c>
      <c r="C7" s="0" t="s">
        <v>33</v>
      </c>
      <c r="D7" s="5" t="n">
        <v>17.6</v>
      </c>
      <c r="E7" s="0" t="n">
        <v>42066</v>
      </c>
    </row>
    <row r="8" customFormat="false" ht="15" hidden="false" customHeight="false" outlineLevel="0" collapsed="false">
      <c r="A8" s="0" t="s">
        <v>31</v>
      </c>
      <c r="B8" s="0" t="s">
        <v>34</v>
      </c>
      <c r="C8" s="0" t="s">
        <v>33</v>
      </c>
      <c r="D8" s="5" t="n">
        <v>4</v>
      </c>
      <c r="E8" s="0" t="n">
        <v>42067</v>
      </c>
    </row>
    <row r="9" customFormat="false" ht="15" hidden="false" customHeight="false" outlineLevel="0" collapsed="false">
      <c r="A9" s="0" t="s">
        <v>31</v>
      </c>
      <c r="B9" s="0" t="s">
        <v>35</v>
      </c>
      <c r="C9" s="0" t="s">
        <v>33</v>
      </c>
      <c r="D9" s="5" t="n">
        <v>7.8</v>
      </c>
      <c r="E9" s="0" t="n">
        <v>42068</v>
      </c>
    </row>
    <row r="10" customFormat="false" ht="15" hidden="false" customHeight="false" outlineLevel="0" collapsed="false">
      <c r="A10" s="0" t="s">
        <v>31</v>
      </c>
      <c r="B10" s="0" t="s">
        <v>36</v>
      </c>
      <c r="C10" s="0" t="s">
        <v>33</v>
      </c>
      <c r="D10" s="5" t="n">
        <v>4.4</v>
      </c>
      <c r="E10" s="0" t="n">
        <v>42069</v>
      </c>
    </row>
    <row r="11" customFormat="false" ht="15" hidden="false" customHeight="false" outlineLevel="0" collapsed="false">
      <c r="A11" s="0" t="s">
        <v>31</v>
      </c>
      <c r="B11" s="0" t="s">
        <v>36</v>
      </c>
      <c r="C11" s="0" t="s">
        <v>33</v>
      </c>
      <c r="D11" s="5" t="n">
        <v>3.9</v>
      </c>
      <c r="E11" s="0" t="n">
        <v>42070</v>
      </c>
    </row>
    <row r="12" customFormat="false" ht="15" hidden="false" customHeight="false" outlineLevel="0" collapsed="false">
      <c r="A12" s="0" t="s">
        <v>31</v>
      </c>
      <c r="B12" s="0" t="s">
        <v>36</v>
      </c>
      <c r="C12" s="0" t="s">
        <v>33</v>
      </c>
      <c r="D12" s="5" t="n">
        <v>6.5</v>
      </c>
      <c r="E12" s="0" t="n">
        <v>42071</v>
      </c>
    </row>
    <row r="13" customFormat="false" ht="15" hidden="false" customHeight="false" outlineLevel="0" collapsed="false">
      <c r="A13" s="0" t="s">
        <v>31</v>
      </c>
      <c r="B13" s="0" t="s">
        <v>36</v>
      </c>
      <c r="C13" s="0" t="s">
        <v>33</v>
      </c>
      <c r="D13" s="5" t="n">
        <v>30</v>
      </c>
      <c r="E13" s="0" t="n">
        <v>42072</v>
      </c>
    </row>
    <row r="14" customFormat="false" ht="15" hidden="false" customHeight="false" outlineLevel="0" collapsed="false">
      <c r="A14" s="0" t="s">
        <v>31</v>
      </c>
      <c r="B14" s="0" t="s">
        <v>37</v>
      </c>
      <c r="C14" s="0" t="s">
        <v>33</v>
      </c>
      <c r="D14" s="5" t="n">
        <v>2.2</v>
      </c>
      <c r="E14" s="0" t="n">
        <v>42073</v>
      </c>
    </row>
    <row r="15" customFormat="false" ht="15" hidden="false" customHeight="false" outlineLevel="0" collapsed="false">
      <c r="A15" s="0" t="s">
        <v>31</v>
      </c>
      <c r="B15" s="0" t="s">
        <v>37</v>
      </c>
      <c r="C15" s="0" t="s">
        <v>33</v>
      </c>
      <c r="D15" s="5" t="n">
        <v>22</v>
      </c>
      <c r="E15" s="0" t="n">
        <v>42074</v>
      </c>
    </row>
    <row r="16" customFormat="false" ht="15" hidden="false" customHeight="false" outlineLevel="0" collapsed="false">
      <c r="A16" s="0" t="s">
        <v>31</v>
      </c>
      <c r="B16" s="0" t="s">
        <v>37</v>
      </c>
      <c r="C16" s="0" t="s">
        <v>33</v>
      </c>
      <c r="D16" s="5" t="n">
        <v>3.9</v>
      </c>
      <c r="E16" s="0" t="n">
        <v>42075</v>
      </c>
    </row>
    <row r="17" customFormat="false" ht="15" hidden="false" customHeight="false" outlineLevel="0" collapsed="false">
      <c r="A17" s="0" t="s">
        <v>31</v>
      </c>
      <c r="B17" s="0" t="s">
        <v>37</v>
      </c>
      <c r="C17" s="0" t="s">
        <v>33</v>
      </c>
      <c r="D17" s="5" t="n">
        <v>7.8</v>
      </c>
      <c r="E17" s="0" t="n">
        <v>42076</v>
      </c>
    </row>
    <row r="18" customFormat="false" ht="15" hidden="false" customHeight="false" outlineLevel="0" collapsed="false">
      <c r="A18" s="0" t="s">
        <v>31</v>
      </c>
      <c r="B18" s="0" t="s">
        <v>38</v>
      </c>
      <c r="C18" s="0" t="s">
        <v>33</v>
      </c>
      <c r="D18" s="5" t="n">
        <v>4.4</v>
      </c>
      <c r="E18" s="0" t="n">
        <v>42077</v>
      </c>
    </row>
    <row r="19" customFormat="false" ht="15" hidden="false" customHeight="false" outlineLevel="0" collapsed="false">
      <c r="A19" s="0" t="s">
        <v>31</v>
      </c>
      <c r="B19" s="0" t="s">
        <v>38</v>
      </c>
      <c r="C19" s="0" t="s">
        <v>33</v>
      </c>
      <c r="D19" s="5" t="n">
        <v>14</v>
      </c>
      <c r="E19" s="0" t="n">
        <v>42078</v>
      </c>
    </row>
    <row r="20" customFormat="false" ht="15" hidden="false" customHeight="false" outlineLevel="0" collapsed="false">
      <c r="A20" s="0" t="s">
        <v>31</v>
      </c>
      <c r="B20" s="0" t="s">
        <v>38</v>
      </c>
      <c r="C20" s="0" t="s">
        <v>33</v>
      </c>
      <c r="D20" s="5" t="n">
        <v>31.8</v>
      </c>
      <c r="E20" s="0" t="n">
        <v>42079</v>
      </c>
    </row>
    <row r="21" customFormat="false" ht="15" hidden="false" customHeight="false" outlineLevel="0" collapsed="false">
      <c r="A21" s="0" t="s">
        <v>31</v>
      </c>
      <c r="B21" s="0" t="s">
        <v>39</v>
      </c>
      <c r="C21" s="0" t="s">
        <v>33</v>
      </c>
      <c r="D21" s="5" t="n">
        <v>6.9</v>
      </c>
      <c r="E21" s="0" t="n">
        <v>42080</v>
      </c>
    </row>
    <row r="22" customFormat="false" ht="15" hidden="false" customHeight="false" outlineLevel="0" collapsed="false">
      <c r="A22" s="0" t="s">
        <v>31</v>
      </c>
      <c r="B22" s="0" t="s">
        <v>39</v>
      </c>
      <c r="C22" s="0" t="s">
        <v>33</v>
      </c>
      <c r="D22" s="5" t="n">
        <v>3.9</v>
      </c>
      <c r="E22" s="0" t="n">
        <v>42081</v>
      </c>
    </row>
    <row r="23" customFormat="false" ht="15" hidden="false" customHeight="false" outlineLevel="0" collapsed="false">
      <c r="A23" s="0" t="s">
        <v>31</v>
      </c>
      <c r="B23" s="0" t="s">
        <v>39</v>
      </c>
      <c r="C23" s="0" t="s">
        <v>33</v>
      </c>
      <c r="D23" s="5" t="n">
        <v>7.2</v>
      </c>
      <c r="E23" s="0" t="n">
        <v>42082</v>
      </c>
    </row>
    <row r="24" customFormat="false" ht="15" hidden="false" customHeight="false" outlineLevel="0" collapsed="false">
      <c r="A24" s="0" t="s">
        <v>31</v>
      </c>
      <c r="B24" s="0" t="s">
        <v>39</v>
      </c>
      <c r="C24" s="0" t="s">
        <v>33</v>
      </c>
      <c r="D24" s="5" t="n">
        <v>4.9</v>
      </c>
      <c r="E24" s="0" t="n">
        <v>42083</v>
      </c>
    </row>
    <row r="25" customFormat="false" ht="15" hidden="false" customHeight="false" outlineLevel="0" collapsed="false">
      <c r="A25" s="0" t="s">
        <v>31</v>
      </c>
      <c r="B25" s="0" t="s">
        <v>39</v>
      </c>
      <c r="C25" s="0" t="s">
        <v>33</v>
      </c>
      <c r="D25" s="5" t="n">
        <v>19</v>
      </c>
      <c r="E25" s="0" t="n">
        <v>42084</v>
      </c>
    </row>
    <row r="26" customFormat="false" ht="15" hidden="false" customHeight="false" outlineLevel="0" collapsed="false">
      <c r="A26" s="0" t="s">
        <v>31</v>
      </c>
      <c r="B26" s="0" t="s">
        <v>39</v>
      </c>
      <c r="C26" s="0" t="s">
        <v>33</v>
      </c>
      <c r="D26" s="5" t="n">
        <v>27.8</v>
      </c>
      <c r="E26" s="0" t="n">
        <v>42085</v>
      </c>
    </row>
    <row r="27" customFormat="false" ht="15" hidden="false" customHeight="false" outlineLevel="0" collapsed="false">
      <c r="A27" s="0" t="s">
        <v>31</v>
      </c>
      <c r="B27" s="0" t="s">
        <v>39</v>
      </c>
      <c r="C27" s="0" t="s">
        <v>33</v>
      </c>
      <c r="D27" s="5" t="n">
        <v>7.2</v>
      </c>
      <c r="E27" s="0" t="n">
        <v>42086</v>
      </c>
    </row>
    <row r="28" customFormat="false" ht="15" hidden="false" customHeight="false" outlineLevel="0" collapsed="false">
      <c r="A28" s="0" t="s">
        <v>31</v>
      </c>
      <c r="B28" s="0" t="s">
        <v>40</v>
      </c>
      <c r="C28" s="0" t="s">
        <v>33</v>
      </c>
      <c r="D28" s="5" t="n">
        <v>15.6</v>
      </c>
      <c r="E28" s="0" t="n">
        <v>42087</v>
      </c>
    </row>
    <row r="29" customFormat="false" ht="15" hidden="false" customHeight="false" outlineLevel="0" collapsed="false">
      <c r="A29" s="0" t="s">
        <v>31</v>
      </c>
      <c r="B29" s="0" t="s">
        <v>40</v>
      </c>
      <c r="C29" s="0" t="s">
        <v>33</v>
      </c>
      <c r="D29" s="5" t="n">
        <v>6.5</v>
      </c>
      <c r="E29" s="0" t="n">
        <v>42088</v>
      </c>
    </row>
    <row r="30" customFormat="false" ht="15" hidden="false" customHeight="false" outlineLevel="0" collapsed="false">
      <c r="A30" s="0" t="s">
        <v>31</v>
      </c>
      <c r="B30" s="0" t="s">
        <v>40</v>
      </c>
      <c r="C30" s="0" t="s">
        <v>33</v>
      </c>
      <c r="D30" s="5" t="n">
        <v>20.8</v>
      </c>
      <c r="E30" s="0" t="n">
        <v>42089</v>
      </c>
    </row>
    <row r="31" customFormat="false" ht="15" hidden="false" customHeight="false" outlineLevel="0" collapsed="false">
      <c r="A31" s="0" t="s">
        <v>31</v>
      </c>
      <c r="B31" s="0" t="s">
        <v>40</v>
      </c>
      <c r="C31" s="0" t="s">
        <v>33</v>
      </c>
      <c r="D31" s="5" t="n">
        <v>7</v>
      </c>
      <c r="E31" s="0" t="n">
        <v>42090</v>
      </c>
    </row>
    <row r="32" customFormat="false" ht="15" hidden="false" customHeight="false" outlineLevel="0" collapsed="false">
      <c r="A32" s="0" t="s">
        <v>31</v>
      </c>
      <c r="B32" s="0" t="s">
        <v>40</v>
      </c>
      <c r="C32" s="0" t="s">
        <v>33</v>
      </c>
      <c r="D32" s="5" t="n">
        <v>2.2</v>
      </c>
      <c r="E32" s="0" t="n">
        <v>42091</v>
      </c>
    </row>
    <row r="33" customFormat="false" ht="15" hidden="false" customHeight="false" outlineLevel="0" collapsed="false">
      <c r="A33" s="0" t="s">
        <v>31</v>
      </c>
      <c r="B33" s="0" t="s">
        <v>40</v>
      </c>
      <c r="C33" s="0" t="s">
        <v>33</v>
      </c>
      <c r="D33" s="5" t="n">
        <v>29.9</v>
      </c>
      <c r="E33" s="0" t="n">
        <v>42092</v>
      </c>
    </row>
    <row r="34" customFormat="false" ht="15" hidden="false" customHeight="false" outlineLevel="0" collapsed="false">
      <c r="A34" s="0" t="s">
        <v>31</v>
      </c>
      <c r="B34" s="0" t="s">
        <v>40</v>
      </c>
      <c r="C34" s="0" t="s">
        <v>33</v>
      </c>
      <c r="D34" s="5" t="n">
        <v>35.2</v>
      </c>
      <c r="E34" s="0" t="n">
        <v>42093</v>
      </c>
    </row>
    <row r="35" customFormat="false" ht="15" hidden="false" customHeight="false" outlineLevel="0" collapsed="false">
      <c r="A35" s="0" t="s">
        <v>31</v>
      </c>
      <c r="B35" s="0" t="s">
        <v>40</v>
      </c>
      <c r="C35" s="0" t="s">
        <v>33</v>
      </c>
      <c r="D35" s="5" t="n">
        <v>59.8</v>
      </c>
      <c r="E35" s="0" t="n">
        <v>42094</v>
      </c>
    </row>
    <row r="36" customFormat="false" ht="15" hidden="false" customHeight="false" outlineLevel="0" collapsed="false">
      <c r="A36" s="0" t="s">
        <v>31</v>
      </c>
      <c r="B36" s="0" t="s">
        <v>40</v>
      </c>
      <c r="C36" s="0" t="s">
        <v>33</v>
      </c>
      <c r="D36" s="5" t="n">
        <v>30</v>
      </c>
      <c r="E36" s="0" t="n">
        <v>42095</v>
      </c>
    </row>
    <row r="37" customFormat="false" ht="15" hidden="false" customHeight="false" outlineLevel="0" collapsed="false">
      <c r="A37" s="0" t="s">
        <v>31</v>
      </c>
      <c r="B37" s="0" t="s">
        <v>41</v>
      </c>
      <c r="C37" s="0" t="s">
        <v>33</v>
      </c>
      <c r="D37" s="5" t="n">
        <v>3.4</v>
      </c>
      <c r="E37" s="0" t="n">
        <v>42096</v>
      </c>
    </row>
    <row r="38" customFormat="false" ht="15" hidden="false" customHeight="false" outlineLevel="0" collapsed="false">
      <c r="A38" s="0" t="s">
        <v>31</v>
      </c>
      <c r="B38" s="0" t="s">
        <v>42</v>
      </c>
      <c r="C38" s="0" t="s">
        <v>33</v>
      </c>
      <c r="D38" s="5" t="n">
        <v>2.2</v>
      </c>
      <c r="E38" s="0" t="n">
        <v>42097</v>
      </c>
    </row>
    <row r="39" customFormat="false" ht="15" hidden="false" customHeight="false" outlineLevel="0" collapsed="false">
      <c r="A39" s="0" t="s">
        <v>31</v>
      </c>
      <c r="B39" s="0" t="s">
        <v>43</v>
      </c>
      <c r="C39" s="0" t="s">
        <v>33</v>
      </c>
      <c r="D39" s="5" t="n">
        <v>2.2</v>
      </c>
      <c r="E39" s="0" t="n">
        <v>42099</v>
      </c>
    </row>
    <row r="40" customFormat="false" ht="15" hidden="false" customHeight="false" outlineLevel="0" collapsed="false">
      <c r="A40" s="0" t="s">
        <v>31</v>
      </c>
      <c r="B40" s="0" t="s">
        <v>43</v>
      </c>
      <c r="C40" s="0" t="s">
        <v>33</v>
      </c>
      <c r="D40" s="5" t="n">
        <v>4</v>
      </c>
      <c r="E40" s="0" t="n">
        <v>42100</v>
      </c>
    </row>
    <row r="41" customFormat="false" ht="15" hidden="false" customHeight="false" outlineLevel="0" collapsed="false">
      <c r="A41" s="0" t="s">
        <v>31</v>
      </c>
      <c r="B41" s="0" t="s">
        <v>43</v>
      </c>
      <c r="C41" s="0" t="s">
        <v>33</v>
      </c>
      <c r="D41" s="5" t="n">
        <v>1.8</v>
      </c>
      <c r="E41" s="0" t="n">
        <v>42101</v>
      </c>
    </row>
    <row r="42" customFormat="false" ht="15" hidden="false" customHeight="false" outlineLevel="0" collapsed="false">
      <c r="A42" s="0" t="s">
        <v>31</v>
      </c>
      <c r="B42" s="0" t="s">
        <v>43</v>
      </c>
      <c r="C42" s="0" t="s">
        <v>33</v>
      </c>
      <c r="D42" s="5" t="n">
        <v>4</v>
      </c>
      <c r="E42" s="0" t="n">
        <v>42102</v>
      </c>
    </row>
    <row r="43" customFormat="false" ht="15" hidden="false" customHeight="false" outlineLevel="0" collapsed="false">
      <c r="A43" s="0" t="s">
        <v>31</v>
      </c>
      <c r="B43" s="0" t="s">
        <v>43</v>
      </c>
      <c r="C43" s="0" t="s">
        <v>33</v>
      </c>
      <c r="D43" s="5" t="n">
        <v>13.8</v>
      </c>
      <c r="E43" s="0" t="n">
        <v>42103</v>
      </c>
    </row>
    <row r="44" customFormat="false" ht="15" hidden="false" customHeight="false" outlineLevel="0" collapsed="false">
      <c r="A44" s="0" t="s">
        <v>31</v>
      </c>
      <c r="B44" s="0" t="s">
        <v>43</v>
      </c>
      <c r="C44" s="0" t="s">
        <v>33</v>
      </c>
      <c r="D44" s="5" t="n">
        <v>39.5</v>
      </c>
      <c r="E44" s="0" t="n">
        <v>42104</v>
      </c>
    </row>
    <row r="45" customFormat="false" ht="15" hidden="false" customHeight="false" outlineLevel="0" collapsed="false">
      <c r="A45" s="0" t="s">
        <v>31</v>
      </c>
      <c r="B45" s="0" t="s">
        <v>43</v>
      </c>
      <c r="C45" s="0" t="s">
        <v>33</v>
      </c>
      <c r="D45" s="5" t="n">
        <v>27.8</v>
      </c>
      <c r="E45" s="0" t="n">
        <v>42105</v>
      </c>
    </row>
    <row r="46" customFormat="false" ht="15" hidden="false" customHeight="false" outlineLevel="0" collapsed="false">
      <c r="A46" s="0" t="s">
        <v>31</v>
      </c>
      <c r="B46" s="0" t="s">
        <v>43</v>
      </c>
      <c r="C46" s="0" t="s">
        <v>33</v>
      </c>
      <c r="D46" s="5" t="n">
        <v>39.8</v>
      </c>
      <c r="E46" s="0" t="n">
        <v>42106</v>
      </c>
    </row>
    <row r="47" customFormat="false" ht="15" hidden="false" customHeight="false" outlineLevel="0" collapsed="false">
      <c r="A47" s="0" t="s">
        <v>31</v>
      </c>
      <c r="B47" s="0" t="s">
        <v>43</v>
      </c>
      <c r="C47" s="0" t="s">
        <v>33</v>
      </c>
      <c r="D47" s="5" t="n">
        <v>17.6</v>
      </c>
      <c r="E47" s="0" t="n">
        <v>42107</v>
      </c>
    </row>
    <row r="48" customFormat="false" ht="15" hidden="false" customHeight="false" outlineLevel="0" collapsed="false">
      <c r="A48" s="0" t="s">
        <v>31</v>
      </c>
      <c r="B48" s="0" t="s">
        <v>43</v>
      </c>
      <c r="C48" s="0" t="s">
        <v>33</v>
      </c>
      <c r="D48" s="5" t="n">
        <v>28.6</v>
      </c>
      <c r="E48" s="0" t="n">
        <v>42108</v>
      </c>
    </row>
    <row r="49" customFormat="false" ht="15" hidden="false" customHeight="false" outlineLevel="0" collapsed="false">
      <c r="A49" s="0" t="s">
        <v>31</v>
      </c>
      <c r="B49" s="0" t="s">
        <v>43</v>
      </c>
      <c r="C49" s="0" t="s">
        <v>33</v>
      </c>
      <c r="D49" s="5" t="n">
        <v>17.6</v>
      </c>
      <c r="E49" s="0" t="n">
        <v>42109</v>
      </c>
    </row>
    <row r="50" customFormat="false" ht="15" hidden="false" customHeight="false" outlineLevel="0" collapsed="false">
      <c r="A50" s="0" t="s">
        <v>31</v>
      </c>
      <c r="B50" s="0" t="s">
        <v>43</v>
      </c>
      <c r="C50" s="0" t="s">
        <v>33</v>
      </c>
      <c r="D50" s="5" t="n">
        <v>8</v>
      </c>
      <c r="E50" s="0" t="n">
        <v>42110</v>
      </c>
    </row>
    <row r="51" customFormat="false" ht="15" hidden="false" customHeight="false" outlineLevel="0" collapsed="false">
      <c r="A51" s="0" t="s">
        <v>31</v>
      </c>
      <c r="B51" s="0" t="s">
        <v>43</v>
      </c>
      <c r="C51" s="0" t="s">
        <v>33</v>
      </c>
      <c r="D51" s="5" t="n">
        <v>5.9</v>
      </c>
      <c r="E51" s="0" t="n">
        <v>42111</v>
      </c>
    </row>
    <row r="52" customFormat="false" ht="15" hidden="false" customHeight="false" outlineLevel="0" collapsed="false">
      <c r="A52" s="0" t="s">
        <v>31</v>
      </c>
      <c r="B52" s="0" t="s">
        <v>43</v>
      </c>
      <c r="C52" s="0" t="s">
        <v>33</v>
      </c>
      <c r="D52" s="5" t="n">
        <v>15.6</v>
      </c>
      <c r="E52" s="0" t="n">
        <v>42112</v>
      </c>
    </row>
    <row r="53" customFormat="false" ht="15" hidden="false" customHeight="false" outlineLevel="0" collapsed="false">
      <c r="A53" s="0" t="s">
        <v>31</v>
      </c>
      <c r="B53" s="0" t="s">
        <v>43</v>
      </c>
      <c r="C53" s="0" t="s">
        <v>33</v>
      </c>
      <c r="D53" s="5" t="n">
        <v>10.4</v>
      </c>
      <c r="E53" s="0" t="n">
        <v>42113</v>
      </c>
    </row>
    <row r="54" customFormat="false" ht="15" hidden="false" customHeight="false" outlineLevel="0" collapsed="false">
      <c r="A54" s="0" t="s">
        <v>31</v>
      </c>
      <c r="B54" s="0" t="s">
        <v>44</v>
      </c>
      <c r="C54" s="0" t="s">
        <v>33</v>
      </c>
      <c r="D54" s="5" t="n">
        <v>4.4</v>
      </c>
      <c r="E54" s="0" t="n">
        <v>42114</v>
      </c>
    </row>
    <row r="55" customFormat="false" ht="15" hidden="false" customHeight="false" outlineLevel="0" collapsed="false">
      <c r="A55" s="0" t="s">
        <v>31</v>
      </c>
      <c r="B55" s="0" t="s">
        <v>45</v>
      </c>
      <c r="C55" s="0" t="s">
        <v>33</v>
      </c>
      <c r="D55" s="5" t="n">
        <v>6.6</v>
      </c>
      <c r="E55" s="0" t="n">
        <v>42115</v>
      </c>
    </row>
    <row r="56" customFormat="false" ht="15" hidden="false" customHeight="false" outlineLevel="0" collapsed="false">
      <c r="A56" s="0" t="s">
        <v>31</v>
      </c>
      <c r="B56" s="0" t="s">
        <v>45</v>
      </c>
      <c r="C56" s="0" t="s">
        <v>33</v>
      </c>
      <c r="D56" s="5" t="n">
        <v>6.9</v>
      </c>
      <c r="E56" s="0" t="n">
        <v>42116</v>
      </c>
    </row>
    <row r="57" customFormat="false" ht="15" hidden="false" customHeight="false" outlineLevel="0" collapsed="false">
      <c r="A57" s="0" t="s">
        <v>31</v>
      </c>
      <c r="B57" s="0" t="s">
        <v>45</v>
      </c>
      <c r="C57" s="0" t="s">
        <v>33</v>
      </c>
      <c r="D57" s="5" t="n">
        <v>8.5</v>
      </c>
      <c r="E57" s="0" t="n">
        <v>42117</v>
      </c>
    </row>
    <row r="58" customFormat="false" ht="15" hidden="false" customHeight="false" outlineLevel="0" collapsed="false">
      <c r="A58" s="0" t="s">
        <v>31</v>
      </c>
      <c r="B58" s="0" t="s">
        <v>45</v>
      </c>
      <c r="C58" s="0" t="s">
        <v>33</v>
      </c>
      <c r="D58" s="5" t="n">
        <v>24.9</v>
      </c>
      <c r="E58" s="0" t="n">
        <v>42118</v>
      </c>
    </row>
    <row r="59" customFormat="false" ht="15" hidden="false" customHeight="false" outlineLevel="0" collapsed="false">
      <c r="A59" s="0" t="s">
        <v>31</v>
      </c>
      <c r="B59" s="0" t="s">
        <v>45</v>
      </c>
      <c r="C59" s="0" t="s">
        <v>33</v>
      </c>
      <c r="D59" s="5" t="n">
        <v>35.2</v>
      </c>
      <c r="E59" s="0" t="n">
        <v>42119</v>
      </c>
    </row>
    <row r="60" customFormat="false" ht="15" hidden="false" customHeight="false" outlineLevel="0" collapsed="false">
      <c r="A60" s="0" t="s">
        <v>31</v>
      </c>
      <c r="B60" s="0" t="s">
        <v>45</v>
      </c>
      <c r="C60" s="0" t="s">
        <v>33</v>
      </c>
      <c r="D60" s="5" t="n">
        <v>17.6</v>
      </c>
      <c r="E60" s="0" t="n">
        <v>42120</v>
      </c>
    </row>
    <row r="61" customFormat="false" ht="15" hidden="false" customHeight="false" outlineLevel="0" collapsed="false">
      <c r="A61" s="0" t="s">
        <v>31</v>
      </c>
      <c r="B61" s="0" t="s">
        <v>45</v>
      </c>
      <c r="C61" s="0" t="s">
        <v>33</v>
      </c>
      <c r="D61" s="5" t="n">
        <v>8</v>
      </c>
      <c r="E61" s="0" t="n">
        <v>42121</v>
      </c>
    </row>
    <row r="62" customFormat="false" ht="15" hidden="false" customHeight="false" outlineLevel="0" collapsed="false">
      <c r="A62" s="0" t="s">
        <v>31</v>
      </c>
      <c r="B62" s="0" t="s">
        <v>45</v>
      </c>
      <c r="C62" s="0" t="s">
        <v>33</v>
      </c>
      <c r="D62" s="5" t="n">
        <v>7.2</v>
      </c>
      <c r="E62" s="0" t="n">
        <v>42122</v>
      </c>
    </row>
    <row r="63" customFormat="false" ht="15" hidden="false" customHeight="false" outlineLevel="0" collapsed="false">
      <c r="A63" s="0" t="s">
        <v>31</v>
      </c>
      <c r="B63" s="0" t="s">
        <v>46</v>
      </c>
      <c r="C63" s="0" t="s">
        <v>33</v>
      </c>
      <c r="D63" s="5" t="n">
        <v>9.8</v>
      </c>
      <c r="E63" s="0" t="n">
        <v>42124</v>
      </c>
    </row>
    <row r="64" customFormat="false" ht="15" hidden="false" customHeight="false" outlineLevel="0" collapsed="false">
      <c r="A64" s="0" t="s">
        <v>31</v>
      </c>
      <c r="B64" s="0" t="s">
        <v>46</v>
      </c>
      <c r="C64" s="0" t="s">
        <v>33</v>
      </c>
      <c r="D64" s="5" t="n">
        <v>6.5</v>
      </c>
      <c r="E64" s="0" t="n">
        <v>42125</v>
      </c>
    </row>
    <row r="65" customFormat="false" ht="15" hidden="false" customHeight="false" outlineLevel="0" collapsed="false">
      <c r="A65" s="0" t="s">
        <v>31</v>
      </c>
      <c r="B65" s="0" t="s">
        <v>46</v>
      </c>
      <c r="C65" s="0" t="s">
        <v>33</v>
      </c>
      <c r="D65" s="5" t="n">
        <v>6.5</v>
      </c>
      <c r="E65" s="0" t="n">
        <v>42126</v>
      </c>
    </row>
    <row r="66" customFormat="false" ht="15" hidden="false" customHeight="false" outlineLevel="0" collapsed="false">
      <c r="A66" s="0" t="s">
        <v>31</v>
      </c>
      <c r="B66" s="0" t="s">
        <v>46</v>
      </c>
      <c r="C66" s="0" t="s">
        <v>33</v>
      </c>
      <c r="D66" s="5" t="n">
        <v>8</v>
      </c>
      <c r="E66" s="0" t="n">
        <v>42127</v>
      </c>
    </row>
    <row r="67" customFormat="false" ht="15" hidden="false" customHeight="false" outlineLevel="0" collapsed="false">
      <c r="A67" s="0" t="s">
        <v>31</v>
      </c>
      <c r="B67" s="0" t="s">
        <v>46</v>
      </c>
      <c r="C67" s="0" t="s">
        <v>33</v>
      </c>
      <c r="D67" s="5" t="n">
        <v>19.9</v>
      </c>
      <c r="E67" s="0" t="n">
        <v>42128</v>
      </c>
    </row>
    <row r="68" customFormat="false" ht="15" hidden="false" customHeight="false" outlineLevel="0" collapsed="false">
      <c r="A68" s="0" t="s">
        <v>31</v>
      </c>
      <c r="B68" s="0" t="s">
        <v>46</v>
      </c>
      <c r="C68" s="0" t="s">
        <v>33</v>
      </c>
      <c r="D68" s="5" t="n">
        <v>17.6</v>
      </c>
      <c r="E68" s="0" t="n">
        <v>42129</v>
      </c>
    </row>
    <row r="69" customFormat="false" ht="15" hidden="false" customHeight="false" outlineLevel="0" collapsed="false">
      <c r="A69" s="0" t="s">
        <v>31</v>
      </c>
      <c r="B69" s="0" t="s">
        <v>46</v>
      </c>
      <c r="C69" s="0" t="s">
        <v>33</v>
      </c>
      <c r="D69" s="5" t="n">
        <v>13.4</v>
      </c>
      <c r="E69" s="0" t="n">
        <v>42130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3" t="s">
        <v>47</v>
      </c>
    </row>
    <row r="2" customFormat="false" ht="28.35" hidden="false" customHeight="false" outlineLevel="0" collapsed="false">
      <c r="A2" s="4" t="s">
        <v>48</v>
      </c>
      <c r="B2" s="4" t="s">
        <v>27</v>
      </c>
      <c r="C2" s="4" t="s">
        <v>49</v>
      </c>
      <c r="D2" s="4" t="s">
        <v>50</v>
      </c>
      <c r="E2" s="4" t="s">
        <v>51</v>
      </c>
      <c r="F2" s="4" t="s">
        <v>52</v>
      </c>
    </row>
    <row r="3" customFormat="false" ht="15" hidden="false" customHeight="false" outlineLevel="0" collapsed="false">
      <c r="A3" s="0" t="n">
        <v>1</v>
      </c>
      <c r="B3" s="0" t="s">
        <v>53</v>
      </c>
      <c r="C3" s="0" t="n">
        <v>8</v>
      </c>
      <c r="D3" s="5" t="n">
        <v>41.85</v>
      </c>
      <c r="F3" s="5"/>
    </row>
    <row r="4" customFormat="false" ht="15" hidden="false" customHeight="false" outlineLevel="0" collapsed="false">
      <c r="A4" s="0" t="n">
        <v>2</v>
      </c>
      <c r="B4" s="0" t="s">
        <v>54</v>
      </c>
      <c r="C4" s="0" t="n">
        <v>8</v>
      </c>
      <c r="D4" s="5" t="n">
        <v>41.85</v>
      </c>
      <c r="F4" s="5"/>
    </row>
    <row r="5" customFormat="false" ht="15" hidden="false" customHeight="false" outlineLevel="0" collapsed="false">
      <c r="A5" s="0" t="n">
        <v>3</v>
      </c>
      <c r="B5" s="0" t="s">
        <v>55</v>
      </c>
      <c r="C5" s="0" t="n">
        <v>1</v>
      </c>
      <c r="D5" s="5" t="n">
        <v>76.9</v>
      </c>
      <c r="E5" s="0" t="n">
        <v>2</v>
      </c>
      <c r="F5" s="5" t="n">
        <v>38.45</v>
      </c>
    </row>
    <row r="6" customFormat="false" ht="15" hidden="false" customHeight="false" outlineLevel="0" collapsed="false">
      <c r="A6" s="0" t="n">
        <v>4</v>
      </c>
      <c r="B6" s="0" t="s">
        <v>56</v>
      </c>
      <c r="C6" s="0" t="n">
        <v>7</v>
      </c>
      <c r="D6" s="5" t="n">
        <v>45.2</v>
      </c>
      <c r="F6" s="5"/>
    </row>
    <row r="7" customFormat="false" ht="15" hidden="false" customHeight="false" outlineLevel="0" collapsed="false">
      <c r="A7" s="0" t="n">
        <v>5</v>
      </c>
      <c r="B7" s="0" t="s">
        <v>57</v>
      </c>
      <c r="C7" s="0" t="n">
        <v>7</v>
      </c>
      <c r="D7" s="5" t="n">
        <v>82.4</v>
      </c>
      <c r="F7" s="5"/>
    </row>
    <row r="8" customFormat="false" ht="15" hidden="false" customHeight="false" outlineLevel="0" collapsed="false">
      <c r="A8" s="0" t="n">
        <v>6</v>
      </c>
      <c r="B8" s="0" t="s">
        <v>58</v>
      </c>
      <c r="C8" s="0" t="n">
        <v>4</v>
      </c>
      <c r="D8" s="5" t="n">
        <v>27.4</v>
      </c>
      <c r="F8" s="5"/>
    </row>
    <row r="9" customFormat="false" ht="15" hidden="false" customHeight="false" outlineLevel="0" collapsed="false">
      <c r="A9" s="0" t="n">
        <v>7</v>
      </c>
      <c r="B9" s="0" t="s">
        <v>59</v>
      </c>
      <c r="C9" s="0" t="n">
        <v>7</v>
      </c>
      <c r="D9" s="5" t="n">
        <v>81.8</v>
      </c>
      <c r="F9" s="5"/>
    </row>
    <row r="10" customFormat="false" ht="15" hidden="false" customHeight="false" outlineLevel="0" collapsed="false">
      <c r="A10" s="0" t="n">
        <v>8</v>
      </c>
      <c r="B10" s="0" t="s">
        <v>40</v>
      </c>
      <c r="C10" s="0" t="n">
        <v>1</v>
      </c>
      <c r="D10" s="5" t="n">
        <v>207</v>
      </c>
      <c r="E10" s="0" t="n">
        <v>4</v>
      </c>
      <c r="F10" s="5" t="n">
        <v>51.75</v>
      </c>
    </row>
    <row r="11" customFormat="false" ht="15" hidden="false" customHeight="false" outlineLevel="0" collapsed="false">
      <c r="A11" s="0" t="n">
        <v>9</v>
      </c>
      <c r="B11" s="0" t="s">
        <v>42</v>
      </c>
      <c r="C11" s="0" t="n">
        <v>6</v>
      </c>
      <c r="D11" s="5" t="n">
        <v>70.6</v>
      </c>
      <c r="F11" s="5"/>
    </row>
    <row r="12" customFormat="false" ht="15" hidden="false" customHeight="false" outlineLevel="0" collapsed="false">
      <c r="A12" s="0" t="n">
        <v>10</v>
      </c>
      <c r="B12" s="0" t="s">
        <v>60</v>
      </c>
      <c r="C12" s="0" t="n">
        <v>6</v>
      </c>
      <c r="D12" s="5" t="n">
        <v>75.7</v>
      </c>
      <c r="F12" s="5"/>
    </row>
    <row r="13" customFormat="false" ht="15" hidden="false" customHeight="false" outlineLevel="0" collapsed="false">
      <c r="A13" s="0" t="n">
        <v>11</v>
      </c>
      <c r="B13" s="0" t="s">
        <v>61</v>
      </c>
      <c r="C13" s="0" t="n">
        <v>4</v>
      </c>
      <c r="D13" s="5" t="n">
        <v>38.3</v>
      </c>
      <c r="F13" s="5"/>
    </row>
    <row r="14" customFormat="false" ht="15" hidden="false" customHeight="false" outlineLevel="0" collapsed="false">
      <c r="A14" s="0" t="n">
        <v>12</v>
      </c>
      <c r="B14" s="0" t="s">
        <v>62</v>
      </c>
      <c r="C14" s="0" t="n">
        <v>4</v>
      </c>
      <c r="D14" s="5" t="n">
        <v>38.3</v>
      </c>
      <c r="F14" s="5"/>
    </row>
    <row r="15" customFormat="false" ht="15" hidden="false" customHeight="false" outlineLevel="0" collapsed="false">
      <c r="A15" s="0" t="n">
        <v>13</v>
      </c>
      <c r="B15" s="0" t="s">
        <v>63</v>
      </c>
      <c r="C15" s="0" t="n">
        <v>8</v>
      </c>
      <c r="D15" s="5" t="n">
        <v>63.1</v>
      </c>
      <c r="F15" s="5"/>
    </row>
    <row r="16" customFormat="false" ht="15" hidden="false" customHeight="false" outlineLevel="0" collapsed="false">
      <c r="A16" s="0" t="n">
        <v>14</v>
      </c>
      <c r="B16" s="0" t="s">
        <v>64</v>
      </c>
      <c r="C16" s="0" t="n">
        <v>4</v>
      </c>
      <c r="D16" s="5" t="n">
        <v>89.1</v>
      </c>
      <c r="F16" s="5"/>
    </row>
    <row r="17" customFormat="false" ht="15" hidden="false" customHeight="false" outlineLevel="0" collapsed="false">
      <c r="A17" s="0" t="n">
        <v>15</v>
      </c>
      <c r="B17" s="0" t="s">
        <v>65</v>
      </c>
      <c r="C17" s="0" t="n">
        <v>7</v>
      </c>
      <c r="D17" s="5" t="n">
        <v>58.3</v>
      </c>
      <c r="F17" s="5"/>
    </row>
    <row r="18" customFormat="false" ht="15" hidden="false" customHeight="false" outlineLevel="0" collapsed="false">
      <c r="A18" s="0" t="n">
        <v>16</v>
      </c>
      <c r="B18" s="0" t="s">
        <v>66</v>
      </c>
      <c r="C18" s="0" t="n">
        <v>5</v>
      </c>
      <c r="D18" s="5" t="n">
        <v>82.6</v>
      </c>
      <c r="F18" s="5"/>
    </row>
    <row r="19" customFormat="false" ht="15" hidden="false" customHeight="false" outlineLevel="0" collapsed="false">
      <c r="A19" s="0" t="n">
        <v>17</v>
      </c>
      <c r="B19" s="0" t="s">
        <v>67</v>
      </c>
      <c r="C19" s="0" t="n">
        <v>2</v>
      </c>
      <c r="D19" s="5" t="n">
        <v>88.9</v>
      </c>
      <c r="F19" s="5"/>
    </row>
    <row r="20" customFormat="false" ht="15" hidden="false" customHeight="false" outlineLevel="0" collapsed="false">
      <c r="A20" s="0" t="n">
        <v>18</v>
      </c>
      <c r="B20" s="0" t="s">
        <v>68</v>
      </c>
      <c r="C20" s="0" t="n">
        <v>10</v>
      </c>
      <c r="D20" s="5" t="n">
        <v>139.1</v>
      </c>
      <c r="F20" s="5"/>
    </row>
    <row r="21" customFormat="false" ht="15" hidden="false" customHeight="false" outlineLevel="0" collapsed="false">
      <c r="A21" s="0" t="n">
        <v>19</v>
      </c>
      <c r="B21" s="0" t="s">
        <v>69</v>
      </c>
      <c r="C21" s="0" t="n">
        <v>3</v>
      </c>
      <c r="D21" s="5" t="n">
        <v>102.4</v>
      </c>
      <c r="F21" s="5"/>
    </row>
    <row r="22" customFormat="false" ht="15" hidden="false" customHeight="false" outlineLevel="0" collapsed="false">
      <c r="A22" s="0" t="n">
        <v>20</v>
      </c>
      <c r="B22" s="0" t="s">
        <v>70</v>
      </c>
      <c r="C22" s="0" t="n">
        <v>9</v>
      </c>
      <c r="D22" s="5" t="n">
        <v>66.4</v>
      </c>
      <c r="F22" s="5"/>
    </row>
    <row r="23" customFormat="false" ht="15" hidden="false" customHeight="false" outlineLevel="0" collapsed="false">
      <c r="A23" s="0" t="n">
        <v>21</v>
      </c>
      <c r="B23" s="0" t="s">
        <v>70</v>
      </c>
      <c r="C23" s="0" t="n">
        <v>9</v>
      </c>
      <c r="D23" s="5" t="n">
        <v>66.4</v>
      </c>
      <c r="F23" s="5"/>
    </row>
    <row r="24" customFormat="false" ht="15" hidden="false" customHeight="false" outlineLevel="0" collapsed="false">
      <c r="A24" s="0" t="n">
        <v>22</v>
      </c>
      <c r="B24" s="0" t="s">
        <v>71</v>
      </c>
      <c r="C24" s="0" t="n">
        <v>6</v>
      </c>
      <c r="D24" s="5" t="n">
        <v>70</v>
      </c>
      <c r="F24" s="5"/>
    </row>
    <row r="25" customFormat="false" ht="15" hidden="false" customHeight="false" outlineLevel="0" collapsed="false">
      <c r="A25" s="0" t="n">
        <v>23</v>
      </c>
      <c r="B25" s="0" t="s">
        <v>72</v>
      </c>
      <c r="C25" s="0" t="n">
        <v>6</v>
      </c>
      <c r="D25" s="5" t="n">
        <v>66.5</v>
      </c>
      <c r="F25" s="5"/>
    </row>
    <row r="26" customFormat="false" ht="15" hidden="false" customHeight="false" outlineLevel="0" collapsed="false">
      <c r="A26" s="0" t="n">
        <v>24</v>
      </c>
      <c r="B26" s="0" t="s">
        <v>73</v>
      </c>
      <c r="C26" s="0" t="n">
        <v>5</v>
      </c>
      <c r="D26" s="5" t="n">
        <v>81.5</v>
      </c>
      <c r="F26" s="5"/>
    </row>
    <row r="27" customFormat="false" ht="15" hidden="false" customHeight="false" outlineLevel="0" collapsed="false">
      <c r="A27" s="0" t="n">
        <v>25</v>
      </c>
      <c r="B27" s="0" t="s">
        <v>44</v>
      </c>
      <c r="C27" s="0" t="n">
        <v>7</v>
      </c>
      <c r="D27" s="5" t="n">
        <v>126.6</v>
      </c>
      <c r="F2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4"/>
    <col collapsed="false" customWidth="true" hidden="false" outlineLevel="0" max="4" min="4" style="0" width="42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3" customFormat="false" ht="28.35" hidden="false" customHeight="false" outlineLevel="0" collapsed="false">
      <c r="A3" s="4" t="s">
        <v>76</v>
      </c>
      <c r="B3" s="4" t="s">
        <v>77</v>
      </c>
      <c r="C3" s="4" t="s">
        <v>78</v>
      </c>
      <c r="D3" s="4" t="s">
        <v>79</v>
      </c>
      <c r="E3" s="4" t="s">
        <v>80</v>
      </c>
    </row>
    <row r="4" customFormat="false" ht="15" hidden="false" customHeight="false" outlineLevel="0" collapsed="false">
      <c r="A4" s="0" t="s">
        <v>32</v>
      </c>
      <c r="B4" s="0" t="n">
        <f aca="false">COUNTIF('Src-E1-DEL-0909'!$B$3:$B$69,A4)</f>
        <v>4</v>
      </c>
      <c r="C4" s="5" t="n">
        <f aca="false">SUMIF('Src-E1-DEL-0909'!$B$3:$B$69,A4,'Src-E1-DEL-0909'!$D$3:$D$69)</f>
        <v>46.4</v>
      </c>
      <c r="D4" s="6" t="s">
        <v>81</v>
      </c>
      <c r="E4" s="5" t="n">
        <f aca="false">SUMIFS('Src-C1-notes-0909'!$D$3:$D$27,'Src-C1-notes-0909'!$E$3:$E$27,"&gt;0",'Src-C1-notes-0909'!$D$3:$D$27,C4)</f>
        <v>0</v>
      </c>
    </row>
    <row r="5" customFormat="false" ht="15" hidden="false" customHeight="false" outlineLevel="0" collapsed="false">
      <c r="A5" s="0" t="s">
        <v>34</v>
      </c>
      <c r="B5" s="0" t="n">
        <f aca="false">COUNTIF('Src-E1-DEL-0909'!$B$3:$B$69,A5)</f>
        <v>2</v>
      </c>
      <c r="C5" s="5" t="n">
        <f aca="false">SUMIF('Src-E1-DEL-0909'!$B$3:$B$69,A5,'Src-E1-DEL-0909'!$D$3:$D$69)</f>
        <v>21.6</v>
      </c>
      <c r="D5" s="6" t="s">
        <v>81</v>
      </c>
      <c r="E5" s="5" t="n">
        <f aca="false">SUMIFS('Src-C1-notes-0909'!$D$3:$D$27,'Src-C1-notes-0909'!$E$3:$E$27,"&gt;0",'Src-C1-notes-0909'!$D$3:$D$27,C5)</f>
        <v>0</v>
      </c>
    </row>
    <row r="6" customFormat="false" ht="15" hidden="false" customHeight="false" outlineLevel="0" collapsed="false">
      <c r="A6" s="0" t="s">
        <v>35</v>
      </c>
      <c r="B6" s="0" t="n">
        <f aca="false">COUNTIF('Src-E1-DEL-0909'!$B$3:$B$69,A6)</f>
        <v>1</v>
      </c>
      <c r="C6" s="5" t="n">
        <f aca="false">SUMIF('Src-E1-DEL-0909'!$B$3:$B$69,A6,'Src-E1-DEL-0909'!$D$3:$D$69)</f>
        <v>7.8</v>
      </c>
      <c r="D6" s="6" t="s">
        <v>81</v>
      </c>
      <c r="E6" s="5" t="n">
        <f aca="false">SUMIFS('Src-C1-notes-0909'!$D$3:$D$27,'Src-C1-notes-0909'!$E$3:$E$27,"&gt;0",'Src-C1-notes-0909'!$D$3:$D$27,C6)</f>
        <v>0</v>
      </c>
    </row>
    <row r="7" customFormat="false" ht="15" hidden="false" customHeight="false" outlineLevel="0" collapsed="false">
      <c r="A7" s="0" t="s">
        <v>36</v>
      </c>
      <c r="B7" s="0" t="n">
        <f aca="false">COUNTIF('Src-E1-DEL-0909'!$B$3:$B$69,A7)</f>
        <v>4</v>
      </c>
      <c r="C7" s="5" t="n">
        <f aca="false">SUMIF('Src-E1-DEL-0909'!$B$3:$B$69,A7,'Src-E1-DEL-0909'!$D$3:$D$69)</f>
        <v>44.8</v>
      </c>
      <c r="D7" s="6" t="s">
        <v>81</v>
      </c>
      <c r="E7" s="5" t="n">
        <f aca="false">SUMIFS('Src-C1-notes-0909'!$D$3:$D$27,'Src-C1-notes-0909'!$E$3:$E$27,"&gt;0",'Src-C1-notes-0909'!$D$3:$D$27,C7)</f>
        <v>0</v>
      </c>
    </row>
    <row r="8" customFormat="false" ht="15" hidden="false" customHeight="false" outlineLevel="0" collapsed="false">
      <c r="A8" s="0" t="s">
        <v>37</v>
      </c>
      <c r="B8" s="0" t="n">
        <f aca="false">COUNTIF('Src-E1-DEL-0909'!$B$3:$B$69,A8)</f>
        <v>4</v>
      </c>
      <c r="C8" s="5" t="n">
        <f aca="false">SUMIF('Src-E1-DEL-0909'!$B$3:$B$69,A8,'Src-E1-DEL-0909'!$D$3:$D$69)</f>
        <v>35.9</v>
      </c>
      <c r="D8" s="6" t="s">
        <v>81</v>
      </c>
      <c r="E8" s="5" t="n">
        <f aca="false">SUMIFS('Src-C1-notes-0909'!$D$3:$D$27,'Src-C1-notes-0909'!$E$3:$E$27,"&gt;0",'Src-C1-notes-0909'!$D$3:$D$27,C8)</f>
        <v>0</v>
      </c>
    </row>
    <row r="9" customFormat="false" ht="15" hidden="false" customHeight="false" outlineLevel="0" collapsed="false">
      <c r="A9" s="0" t="s">
        <v>38</v>
      </c>
      <c r="B9" s="0" t="n">
        <f aca="false">COUNTIF('Src-E1-DEL-0909'!$B$3:$B$69,A9)</f>
        <v>3</v>
      </c>
      <c r="C9" s="5" t="n">
        <f aca="false">SUMIF('Src-E1-DEL-0909'!$B$3:$B$69,A9,'Src-E1-DEL-0909'!$D$3:$D$69)</f>
        <v>50.2</v>
      </c>
      <c r="D9" s="6" t="s">
        <v>81</v>
      </c>
      <c r="E9" s="5" t="n">
        <f aca="false">SUMIFS('Src-C1-notes-0909'!$D$3:$D$27,'Src-C1-notes-0909'!$E$3:$E$27,"&gt;0",'Src-C1-notes-0909'!$D$3:$D$27,C9)</f>
        <v>0</v>
      </c>
    </row>
    <row r="10" customFormat="false" ht="15" hidden="false" customHeight="false" outlineLevel="0" collapsed="false">
      <c r="A10" s="7" t="s">
        <v>39</v>
      </c>
      <c r="B10" s="7" t="n">
        <f aca="false">COUNTIF('Src-E1-DEL-0909'!$B$3:$B$69,A10)</f>
        <v>7</v>
      </c>
      <c r="C10" s="8" t="n">
        <f aca="false">SUMIF('Src-E1-DEL-0909'!$B$3:$B$69,A10,'Src-E1-DEL-0909'!$D$3:$D$69)</f>
        <v>76.9</v>
      </c>
      <c r="D10" s="7" t="s">
        <v>82</v>
      </c>
      <c r="E10" s="8" t="n">
        <f aca="false">SUMIFS('Src-C1-notes-0909'!$D$3:$D$27,'Src-C1-notes-0909'!$E$3:$E$27,"&gt;0",'Src-C1-notes-0909'!$D$3:$D$27,C10)</f>
        <v>76.9</v>
      </c>
    </row>
    <row r="11" customFormat="false" ht="15" hidden="false" customHeight="false" outlineLevel="0" collapsed="false">
      <c r="A11" s="7" t="s">
        <v>40</v>
      </c>
      <c r="B11" s="7" t="n">
        <f aca="false">COUNTIF('Src-E1-DEL-0909'!$B$3:$B$69,A11)</f>
        <v>9</v>
      </c>
      <c r="C11" s="8" t="n">
        <f aca="false">SUMIF('Src-E1-DEL-0909'!$B$3:$B$69,A11,'Src-E1-DEL-0909'!$D$3:$D$69)</f>
        <v>207</v>
      </c>
      <c r="D11" s="7" t="s">
        <v>83</v>
      </c>
      <c r="E11" s="8" t="n">
        <f aca="false">SUMIFS('Src-C1-notes-0909'!$D$3:$D$27,'Src-C1-notes-0909'!$E$3:$E$27,"&gt;0",'Src-C1-notes-0909'!$D$3:$D$27,C11)</f>
        <v>207</v>
      </c>
    </row>
    <row r="12" customFormat="false" ht="15" hidden="false" customHeight="false" outlineLevel="0" collapsed="false">
      <c r="A12" s="0" t="s">
        <v>41</v>
      </c>
      <c r="B12" s="0" t="n">
        <f aca="false">COUNTIF('Src-E1-DEL-0909'!$B$3:$B$69,A12)</f>
        <v>1</v>
      </c>
      <c r="C12" s="5" t="n">
        <f aca="false">SUMIF('Src-E1-DEL-0909'!$B$3:$B$69,A12,'Src-E1-DEL-0909'!$D$3:$D$69)</f>
        <v>3.4</v>
      </c>
      <c r="D12" s="6" t="s">
        <v>81</v>
      </c>
      <c r="E12" s="5" t="n">
        <f aca="false">SUMIFS('Src-C1-notes-0909'!$D$3:$D$27,'Src-C1-notes-0909'!$E$3:$E$27,"&gt;0",'Src-C1-notes-0909'!$D$3:$D$27,C12)</f>
        <v>0</v>
      </c>
    </row>
    <row r="13" customFormat="false" ht="15" hidden="false" customHeight="false" outlineLevel="0" collapsed="false">
      <c r="A13" s="0" t="s">
        <v>42</v>
      </c>
      <c r="B13" s="0" t="n">
        <f aca="false">COUNTIF('Src-E1-DEL-0909'!$B$3:$B$69,A13)</f>
        <v>1</v>
      </c>
      <c r="C13" s="5" t="n">
        <f aca="false">SUMIF('Src-E1-DEL-0909'!$B$3:$B$69,A13,'Src-E1-DEL-0909'!$D$3:$D$69)</f>
        <v>2.2</v>
      </c>
      <c r="D13" s="6" t="s">
        <v>81</v>
      </c>
      <c r="E13" s="5" t="n">
        <f aca="false">SUMIFS('Src-C1-notes-0909'!$D$3:$D$27,'Src-C1-notes-0909'!$E$3:$E$27,"&gt;0",'Src-C1-notes-0909'!$D$3:$D$27,C13)</f>
        <v>0</v>
      </c>
    </row>
    <row r="14" customFormat="false" ht="15" hidden="false" customHeight="false" outlineLevel="0" collapsed="false">
      <c r="A14" s="0" t="s">
        <v>43</v>
      </c>
      <c r="B14" s="0" t="n">
        <f aca="false">COUNTIF('Src-E1-DEL-0909'!$B$3:$B$69,A14)</f>
        <v>15</v>
      </c>
      <c r="C14" s="5" t="n">
        <f aca="false">SUMIF('Src-E1-DEL-0909'!$B$3:$B$69,A14,'Src-E1-DEL-0909'!$D$3:$D$69)</f>
        <v>236.6</v>
      </c>
      <c r="D14" s="6" t="s">
        <v>81</v>
      </c>
      <c r="E14" s="5" t="n">
        <f aca="false">SUMIFS('Src-C1-notes-0909'!$D$3:$D$27,'Src-C1-notes-0909'!$E$3:$E$27,"&gt;0",'Src-C1-notes-0909'!$D$3:$D$27,C14)</f>
        <v>0</v>
      </c>
    </row>
    <row r="15" customFormat="false" ht="15" hidden="false" customHeight="false" outlineLevel="0" collapsed="false">
      <c r="A15" s="0" t="s">
        <v>44</v>
      </c>
      <c r="B15" s="0" t="n">
        <f aca="false">COUNTIF('Src-E1-DEL-0909'!$B$3:$B$69,A15)</f>
        <v>1</v>
      </c>
      <c r="C15" s="5" t="n">
        <f aca="false">SUMIF('Src-E1-DEL-0909'!$B$3:$B$69,A15,'Src-E1-DEL-0909'!$D$3:$D$69)</f>
        <v>4.4</v>
      </c>
      <c r="D15" s="6" t="s">
        <v>81</v>
      </c>
      <c r="E15" s="5" t="n">
        <f aca="false">SUMIFS('Src-C1-notes-0909'!$D$3:$D$27,'Src-C1-notes-0909'!$E$3:$E$27,"&gt;0",'Src-C1-notes-0909'!$D$3:$D$27,C15)</f>
        <v>0</v>
      </c>
    </row>
    <row r="16" customFormat="false" ht="15" hidden="false" customHeight="false" outlineLevel="0" collapsed="false">
      <c r="A16" s="0" t="s">
        <v>45</v>
      </c>
      <c r="B16" s="0" t="n">
        <f aca="false">COUNTIF('Src-E1-DEL-0909'!$B$3:$B$69,A16)</f>
        <v>8</v>
      </c>
      <c r="C16" s="5" t="n">
        <f aca="false">SUMIF('Src-E1-DEL-0909'!$B$3:$B$69,A16,'Src-E1-DEL-0909'!$D$3:$D$69)</f>
        <v>114.9</v>
      </c>
      <c r="D16" s="6" t="s">
        <v>81</v>
      </c>
      <c r="E16" s="5" t="n">
        <f aca="false">SUMIFS('Src-C1-notes-0909'!$D$3:$D$27,'Src-C1-notes-0909'!$E$3:$E$27,"&gt;0",'Src-C1-notes-0909'!$D$3:$D$27,C16)</f>
        <v>0</v>
      </c>
    </row>
    <row r="17" customFormat="false" ht="15" hidden="false" customHeight="false" outlineLevel="0" collapsed="false">
      <c r="A17" s="0" t="s">
        <v>46</v>
      </c>
      <c r="B17" s="0" t="n">
        <f aca="false">COUNTIF('Src-E1-DEL-0909'!$B$3:$B$69,A17)</f>
        <v>7</v>
      </c>
      <c r="C17" s="5" t="n">
        <f aca="false">SUMIF('Src-E1-DEL-0909'!$B$3:$B$69,A17,'Src-E1-DEL-0909'!$D$3:$D$69)</f>
        <v>81.7</v>
      </c>
      <c r="D17" s="6" t="s">
        <v>81</v>
      </c>
      <c r="E17" s="5" t="n">
        <f aca="false">SUMIFS('Src-C1-notes-0909'!$D$3:$D$27,'Src-C1-notes-0909'!$E$3:$E$27,"&gt;0",'Src-C1-notes-0909'!$D$3:$D$27,C17)</f>
        <v>0</v>
      </c>
    </row>
    <row r="18" customFormat="false" ht="15" hidden="false" customHeight="false" outlineLevel="0" collapsed="false">
      <c r="A18" s="9" t="s">
        <v>84</v>
      </c>
      <c r="B18" s="9" t="n">
        <f aca="false">SUM(B4:B17)</f>
        <v>67</v>
      </c>
      <c r="C18" s="10" t="n">
        <f aca="false">SUM(C4:C17)</f>
        <v>933.8</v>
      </c>
      <c r="D18" s="9" t="s">
        <v>85</v>
      </c>
      <c r="E18" s="10" t="n">
        <f aca="false">SUM(E4:E17)</f>
        <v>283.9</v>
      </c>
    </row>
    <row r="20" customFormat="false" ht="15" hidden="false" customHeight="false" outlineLevel="0" collapsed="false">
      <c r="A20" s="0" t="s">
        <v>86</v>
      </c>
      <c r="C20" s="11" t="n">
        <f aca="false">E18/C18</f>
        <v>0.304026558149497</v>
      </c>
    </row>
    <row r="21" customFormat="false" ht="15" hidden="false" customHeight="false" outlineLevel="0" collapsed="false">
      <c r="A21" s="0" t="s">
        <v>87</v>
      </c>
      <c r="C21" s="5" t="n">
        <f aca="false">C18-E18</f>
        <v>649.9</v>
      </c>
    </row>
    <row r="23" customFormat="false" ht="15" hidden="false" customHeight="false" outlineLevel="0" collapsed="false">
      <c r="A23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3" t="s">
        <v>89</v>
      </c>
    </row>
    <row r="2" customFormat="false" ht="15" hidden="false" customHeight="false" outlineLevel="0" collapsed="false">
      <c r="A2" s="4" t="s">
        <v>26</v>
      </c>
      <c r="B2" s="4" t="s">
        <v>27</v>
      </c>
      <c r="C2" s="4" t="s">
        <v>29</v>
      </c>
      <c r="D2" s="4" t="s">
        <v>30</v>
      </c>
    </row>
    <row r="3" customFormat="false" ht="15" hidden="false" customHeight="false" outlineLevel="0" collapsed="false">
      <c r="A3" s="0" t="s">
        <v>90</v>
      </c>
      <c r="B3" s="0" t="s">
        <v>91</v>
      </c>
      <c r="C3" s="5" t="n">
        <v>4.4</v>
      </c>
      <c r="D3" s="0" t="n">
        <v>37010</v>
      </c>
    </row>
    <row r="4" customFormat="false" ht="15" hidden="false" customHeight="false" outlineLevel="0" collapsed="false">
      <c r="A4" s="0" t="s">
        <v>90</v>
      </c>
      <c r="B4" s="0" t="s">
        <v>91</v>
      </c>
      <c r="C4" s="5" t="n">
        <v>17.6</v>
      </c>
      <c r="D4" s="0" t="n">
        <v>37011</v>
      </c>
    </row>
    <row r="5" customFormat="false" ht="15" hidden="false" customHeight="false" outlineLevel="0" collapsed="false">
      <c r="A5" s="0" t="s">
        <v>90</v>
      </c>
      <c r="B5" s="0" t="s">
        <v>91</v>
      </c>
      <c r="C5" s="5" t="n">
        <v>8.4</v>
      </c>
      <c r="D5" s="0" t="n">
        <v>37012</v>
      </c>
    </row>
    <row r="6" customFormat="false" ht="15" hidden="false" customHeight="false" outlineLevel="0" collapsed="false">
      <c r="A6" s="0" t="s">
        <v>90</v>
      </c>
      <c r="B6" s="0" t="s">
        <v>92</v>
      </c>
      <c r="C6" s="5" t="n">
        <v>45</v>
      </c>
      <c r="D6" s="0" t="n">
        <v>37024</v>
      </c>
    </row>
    <row r="7" customFormat="false" ht="15" hidden="false" customHeight="false" outlineLevel="0" collapsed="false">
      <c r="A7" s="0" t="s">
        <v>90</v>
      </c>
      <c r="B7" s="0" t="s">
        <v>92</v>
      </c>
      <c r="C7" s="5" t="n">
        <v>4.2</v>
      </c>
      <c r="D7" s="0" t="n">
        <v>37025</v>
      </c>
    </row>
    <row r="8" customFormat="false" ht="15" hidden="false" customHeight="false" outlineLevel="0" collapsed="false">
      <c r="A8" s="0" t="s">
        <v>93</v>
      </c>
      <c r="B8" s="0" t="s">
        <v>94</v>
      </c>
      <c r="C8" s="5" t="n">
        <v>2.2</v>
      </c>
      <c r="D8" s="0" t="n">
        <v>37389</v>
      </c>
    </row>
    <row r="9" customFormat="false" ht="15" hidden="false" customHeight="false" outlineLevel="0" collapsed="false">
      <c r="A9" s="0" t="s">
        <v>93</v>
      </c>
      <c r="B9" s="0" t="s">
        <v>94</v>
      </c>
      <c r="C9" s="5" t="n">
        <v>7.8</v>
      </c>
      <c r="D9" s="0" t="n">
        <v>37390</v>
      </c>
    </row>
    <row r="10" customFormat="false" ht="15" hidden="false" customHeight="false" outlineLevel="0" collapsed="false">
      <c r="A10" s="0" t="s">
        <v>93</v>
      </c>
      <c r="B10" s="0" t="s">
        <v>94</v>
      </c>
      <c r="C10" s="5" t="n">
        <v>7.8</v>
      </c>
      <c r="D10" s="0" t="n">
        <v>37391</v>
      </c>
    </row>
    <row r="11" customFormat="false" ht="15" hidden="false" customHeight="false" outlineLevel="0" collapsed="false">
      <c r="A11" s="0" t="s">
        <v>93</v>
      </c>
      <c r="B11" s="0" t="s">
        <v>94</v>
      </c>
      <c r="C11" s="5" t="n">
        <v>17.6</v>
      </c>
      <c r="D11" s="0" t="n">
        <v>37392</v>
      </c>
    </row>
    <row r="12" customFormat="false" ht="15" hidden="false" customHeight="false" outlineLevel="0" collapsed="false">
      <c r="A12" s="0" t="s">
        <v>93</v>
      </c>
      <c r="B12" s="0" t="s">
        <v>94</v>
      </c>
      <c r="C12" s="5" t="n">
        <v>19</v>
      </c>
      <c r="D12" s="0" t="n">
        <v>37393</v>
      </c>
    </row>
    <row r="13" customFormat="false" ht="15" hidden="false" customHeight="false" outlineLevel="0" collapsed="false">
      <c r="A13" s="0" t="s">
        <v>95</v>
      </c>
      <c r="B13" s="0" t="s">
        <v>96</v>
      </c>
      <c r="C13" s="5" t="n">
        <v>4.4</v>
      </c>
      <c r="D13" s="0" t="n">
        <v>39673</v>
      </c>
    </row>
    <row r="14" customFormat="false" ht="15" hidden="false" customHeight="false" outlineLevel="0" collapsed="false">
      <c r="A14" s="0" t="s">
        <v>95</v>
      </c>
      <c r="B14" s="0" t="s">
        <v>96</v>
      </c>
      <c r="C14" s="5" t="n">
        <v>9.7</v>
      </c>
      <c r="D14" s="0" t="n">
        <v>39674</v>
      </c>
    </row>
    <row r="15" customFormat="false" ht="15" hidden="false" customHeight="false" outlineLevel="0" collapsed="false">
      <c r="A15" s="0" t="s">
        <v>95</v>
      </c>
      <c r="B15" s="0" t="s">
        <v>96</v>
      </c>
      <c r="C15" s="5" t="n">
        <v>25.5</v>
      </c>
      <c r="D15" s="0" t="n">
        <v>39675</v>
      </c>
    </row>
    <row r="16" customFormat="false" ht="15" hidden="false" customHeight="false" outlineLevel="0" collapsed="false">
      <c r="A16" s="0" t="s">
        <v>95</v>
      </c>
      <c r="B16" s="0" t="s">
        <v>96</v>
      </c>
      <c r="C16" s="5" t="n">
        <v>1.8</v>
      </c>
      <c r="D16" s="0" t="n">
        <v>39676</v>
      </c>
    </row>
    <row r="17" customFormat="false" ht="15" hidden="false" customHeight="false" outlineLevel="0" collapsed="false">
      <c r="A17" s="0" t="s">
        <v>95</v>
      </c>
      <c r="B17" s="0" t="s">
        <v>96</v>
      </c>
      <c r="C17" s="5" t="n">
        <v>43.2</v>
      </c>
      <c r="D17" s="0" t="n">
        <v>39677</v>
      </c>
    </row>
    <row r="18" customFormat="false" ht="15" hidden="false" customHeight="false" outlineLevel="0" collapsed="false">
      <c r="A18" s="0" t="s">
        <v>95</v>
      </c>
      <c r="B18" s="0" t="s">
        <v>96</v>
      </c>
      <c r="C18" s="5" t="n">
        <v>19</v>
      </c>
      <c r="D18" s="0" t="n">
        <v>39678</v>
      </c>
    </row>
    <row r="19" customFormat="false" ht="15" hidden="false" customHeight="false" outlineLevel="0" collapsed="false">
      <c r="A19" s="0" t="s">
        <v>95</v>
      </c>
      <c r="B19" s="0" t="s">
        <v>96</v>
      </c>
      <c r="C19" s="5" t="n">
        <v>35.2</v>
      </c>
      <c r="D19" s="0" t="n">
        <v>39679</v>
      </c>
    </row>
    <row r="20" customFormat="false" ht="15" hidden="false" customHeight="false" outlineLevel="0" collapsed="false">
      <c r="A20" s="0" t="s">
        <v>95</v>
      </c>
      <c r="B20" s="0" t="s">
        <v>96</v>
      </c>
      <c r="C20" s="5" t="n">
        <v>15.9</v>
      </c>
      <c r="D20" s="0" t="n">
        <v>39680</v>
      </c>
    </row>
    <row r="21" customFormat="false" ht="15" hidden="false" customHeight="false" outlineLevel="0" collapsed="false">
      <c r="A21" s="0" t="s">
        <v>95</v>
      </c>
      <c r="B21" s="0" t="s">
        <v>96</v>
      </c>
      <c r="C21" s="5" t="n">
        <v>4.9</v>
      </c>
      <c r="D21" s="0" t="n">
        <v>39681</v>
      </c>
    </row>
    <row r="22" customFormat="false" ht="15" hidden="false" customHeight="false" outlineLevel="0" collapsed="false">
      <c r="A22" s="0" t="s">
        <v>95</v>
      </c>
      <c r="B22" s="0" t="s">
        <v>96</v>
      </c>
      <c r="C22" s="5" t="n">
        <v>3.9</v>
      </c>
      <c r="D22" s="0" t="n">
        <v>39682</v>
      </c>
    </row>
    <row r="23" customFormat="false" ht="15" hidden="false" customHeight="false" outlineLevel="0" collapsed="false">
      <c r="A23" s="0" t="s">
        <v>95</v>
      </c>
      <c r="B23" s="0" t="s">
        <v>96</v>
      </c>
      <c r="C23" s="5" t="n">
        <v>3.9</v>
      </c>
      <c r="D23" s="0" t="n">
        <v>39683</v>
      </c>
    </row>
    <row r="24" customFormat="false" ht="15" hidden="false" customHeight="false" outlineLevel="0" collapsed="false">
      <c r="A24" s="0" t="s">
        <v>95</v>
      </c>
      <c r="B24" s="0" t="s">
        <v>96</v>
      </c>
      <c r="C24" s="5" t="n">
        <v>15.8</v>
      </c>
      <c r="D24" s="0" t="n">
        <v>39684</v>
      </c>
    </row>
    <row r="25" customFormat="false" ht="15" hidden="false" customHeight="false" outlineLevel="0" collapsed="false">
      <c r="A25" s="0" t="s">
        <v>95</v>
      </c>
      <c r="B25" s="0" t="s">
        <v>96</v>
      </c>
      <c r="C25" s="5" t="n">
        <v>3.9</v>
      </c>
      <c r="D25" s="0" t="n">
        <v>39685</v>
      </c>
    </row>
    <row r="26" customFormat="false" ht="15" hidden="false" customHeight="false" outlineLevel="0" collapsed="false">
      <c r="A26" s="0" t="s">
        <v>97</v>
      </c>
      <c r="B26" s="0" t="s">
        <v>60</v>
      </c>
      <c r="C26" s="5" t="n">
        <v>7.8</v>
      </c>
      <c r="D26" s="0" t="n">
        <v>40028</v>
      </c>
    </row>
    <row r="27" customFormat="false" ht="15" hidden="false" customHeight="false" outlineLevel="0" collapsed="false">
      <c r="A27" s="0" t="s">
        <v>97</v>
      </c>
      <c r="B27" s="0" t="s">
        <v>60</v>
      </c>
      <c r="C27" s="5" t="n">
        <v>5.9</v>
      </c>
      <c r="D27" s="0" t="n">
        <v>40029</v>
      </c>
    </row>
    <row r="28" customFormat="false" ht="15" hidden="false" customHeight="false" outlineLevel="0" collapsed="false">
      <c r="A28" s="0" t="s">
        <v>97</v>
      </c>
      <c r="B28" s="0" t="s">
        <v>60</v>
      </c>
      <c r="C28" s="5" t="n">
        <v>2.2</v>
      </c>
      <c r="D28" s="0" t="n">
        <v>40030</v>
      </c>
    </row>
    <row r="29" customFormat="false" ht="15" hidden="false" customHeight="false" outlineLevel="0" collapsed="false">
      <c r="A29" s="0" t="s">
        <v>97</v>
      </c>
      <c r="B29" s="0" t="s">
        <v>60</v>
      </c>
      <c r="C29" s="5" t="n">
        <v>19.9</v>
      </c>
      <c r="D29" s="0" t="n">
        <v>40031</v>
      </c>
    </row>
    <row r="30" customFormat="false" ht="15" hidden="false" customHeight="false" outlineLevel="0" collapsed="false">
      <c r="A30" s="0" t="s">
        <v>97</v>
      </c>
      <c r="B30" s="0" t="s">
        <v>60</v>
      </c>
      <c r="C30" s="5" t="n">
        <v>4</v>
      </c>
      <c r="D30" s="0" t="n">
        <v>40032</v>
      </c>
    </row>
    <row r="31" customFormat="false" ht="15" hidden="false" customHeight="false" outlineLevel="0" collapsed="false">
      <c r="A31" s="0" t="s">
        <v>98</v>
      </c>
      <c r="B31" s="0" t="s">
        <v>99</v>
      </c>
      <c r="C31" s="5" t="n">
        <v>8.5</v>
      </c>
      <c r="D31" s="0" t="n">
        <v>40049</v>
      </c>
    </row>
    <row r="32" customFormat="false" ht="15" hidden="false" customHeight="false" outlineLevel="0" collapsed="false">
      <c r="A32" s="0" t="s">
        <v>98</v>
      </c>
      <c r="B32" s="0" t="s">
        <v>99</v>
      </c>
      <c r="C32" s="5" t="n">
        <v>8.1</v>
      </c>
      <c r="D32" s="0" t="n">
        <v>40050</v>
      </c>
    </row>
    <row r="33" customFormat="false" ht="15" hidden="false" customHeight="false" outlineLevel="0" collapsed="false">
      <c r="A33" s="0" t="s">
        <v>98</v>
      </c>
      <c r="B33" s="0" t="s">
        <v>99</v>
      </c>
      <c r="C33" s="5" t="n">
        <v>14.5</v>
      </c>
      <c r="D33" s="0" t="n">
        <v>40051</v>
      </c>
    </row>
    <row r="34" customFormat="false" ht="15" hidden="false" customHeight="false" outlineLevel="0" collapsed="false">
      <c r="A34" s="0" t="s">
        <v>98</v>
      </c>
      <c r="B34" s="0" t="s">
        <v>99</v>
      </c>
      <c r="C34" s="5" t="n">
        <v>19.9</v>
      </c>
      <c r="D34" s="0" t="n">
        <v>40052</v>
      </c>
    </row>
    <row r="35" customFormat="false" ht="15" hidden="false" customHeight="false" outlineLevel="0" collapsed="false">
      <c r="A35" s="0" t="s">
        <v>98</v>
      </c>
      <c r="B35" s="0" t="s">
        <v>99</v>
      </c>
      <c r="C35" s="5" t="n">
        <v>9.9</v>
      </c>
      <c r="D35" s="0" t="n">
        <v>40053</v>
      </c>
    </row>
    <row r="36" customFormat="false" ht="15" hidden="false" customHeight="false" outlineLevel="0" collapsed="false">
      <c r="A36" s="0" t="s">
        <v>98</v>
      </c>
      <c r="B36" s="0" t="s">
        <v>99</v>
      </c>
      <c r="C36" s="5" t="n">
        <v>7.9</v>
      </c>
      <c r="D36" s="0" t="n">
        <v>40054</v>
      </c>
    </row>
    <row r="37" customFormat="false" ht="15" hidden="false" customHeight="false" outlineLevel="0" collapsed="false">
      <c r="A37" s="0" t="s">
        <v>98</v>
      </c>
      <c r="B37" s="0" t="s">
        <v>99</v>
      </c>
      <c r="C37" s="5" t="n">
        <v>7.8</v>
      </c>
      <c r="D37" s="0" t="n">
        <v>40055</v>
      </c>
    </row>
    <row r="38" customFormat="false" ht="15" hidden="false" customHeight="false" outlineLevel="0" collapsed="false">
      <c r="A38" s="0" t="s">
        <v>100</v>
      </c>
      <c r="B38" s="0" t="s">
        <v>101</v>
      </c>
      <c r="C38" s="5" t="n">
        <v>2.2</v>
      </c>
      <c r="D38" s="0" t="n">
        <v>40388</v>
      </c>
    </row>
    <row r="39" customFormat="false" ht="15" hidden="false" customHeight="false" outlineLevel="0" collapsed="false">
      <c r="A39" s="0" t="s">
        <v>100</v>
      </c>
      <c r="B39" s="0" t="s">
        <v>101</v>
      </c>
      <c r="C39" s="5" t="n">
        <v>6.9</v>
      </c>
      <c r="D39" s="0" t="n">
        <v>40389</v>
      </c>
    </row>
    <row r="40" customFormat="false" ht="15" hidden="false" customHeight="false" outlineLevel="0" collapsed="false">
      <c r="A40" s="0" t="s">
        <v>100</v>
      </c>
      <c r="B40" s="0" t="s">
        <v>101</v>
      </c>
      <c r="C40" s="5" t="n">
        <v>30</v>
      </c>
      <c r="D40" s="0" t="n">
        <v>40390</v>
      </c>
    </row>
    <row r="41" customFormat="false" ht="15" hidden="false" customHeight="false" outlineLevel="0" collapsed="false">
      <c r="A41" s="0" t="s">
        <v>100</v>
      </c>
      <c r="B41" s="0" t="s">
        <v>101</v>
      </c>
      <c r="C41" s="5" t="n">
        <v>28.6</v>
      </c>
      <c r="D41" s="0" t="n">
        <v>40391</v>
      </c>
    </row>
    <row r="42" customFormat="false" ht="15" hidden="false" customHeight="false" outlineLevel="0" collapsed="false">
      <c r="A42" s="0" t="s">
        <v>100</v>
      </c>
      <c r="B42" s="0" t="s">
        <v>101</v>
      </c>
      <c r="C42" s="5" t="n">
        <v>27.8</v>
      </c>
      <c r="D42" s="0" t="n">
        <v>40392</v>
      </c>
    </row>
    <row r="43" customFormat="false" ht="15" hidden="false" customHeight="false" outlineLevel="0" collapsed="false">
      <c r="A43" s="0" t="s">
        <v>100</v>
      </c>
      <c r="B43" s="0" t="s">
        <v>101</v>
      </c>
      <c r="C43" s="5" t="n">
        <v>5.2</v>
      </c>
      <c r="D43" s="0" t="n">
        <v>40393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5" t="n">
        <v>7.5</v>
      </c>
      <c r="D44" s="0" t="n">
        <v>40394</v>
      </c>
    </row>
    <row r="45" customFormat="false" ht="15" hidden="false" customHeight="false" outlineLevel="0" collapsed="false">
      <c r="A45" s="0" t="s">
        <v>102</v>
      </c>
      <c r="B45" s="0" t="s">
        <v>103</v>
      </c>
      <c r="C45" s="5" t="n">
        <v>17.6</v>
      </c>
      <c r="D45" s="0" t="n">
        <v>40821</v>
      </c>
    </row>
    <row r="46" customFormat="false" ht="15" hidden="false" customHeight="false" outlineLevel="0" collapsed="false">
      <c r="A46" s="0" t="s">
        <v>102</v>
      </c>
      <c r="B46" s="0" t="s">
        <v>103</v>
      </c>
      <c r="C46" s="5" t="n">
        <v>17.6</v>
      </c>
      <c r="D46" s="0" t="n">
        <v>40822</v>
      </c>
    </row>
    <row r="47" customFormat="false" ht="15" hidden="false" customHeight="false" outlineLevel="0" collapsed="false">
      <c r="A47" s="0" t="s">
        <v>102</v>
      </c>
      <c r="B47" s="0" t="s">
        <v>103</v>
      </c>
      <c r="C47" s="5" t="n">
        <v>6.5</v>
      </c>
      <c r="D47" s="0" t="n">
        <v>40823</v>
      </c>
    </row>
    <row r="48" customFormat="false" ht="15" hidden="false" customHeight="false" outlineLevel="0" collapsed="false">
      <c r="A48" s="0" t="s">
        <v>102</v>
      </c>
      <c r="B48" s="0" t="s">
        <v>103</v>
      </c>
      <c r="C48" s="5" t="n">
        <v>3.9</v>
      </c>
      <c r="D48" s="0" t="n">
        <v>40824</v>
      </c>
    </row>
    <row r="49" customFormat="false" ht="15" hidden="false" customHeight="false" outlineLevel="0" collapsed="false">
      <c r="A49" s="0" t="s">
        <v>104</v>
      </c>
      <c r="B49" s="0" t="s">
        <v>105</v>
      </c>
      <c r="C49" s="5" t="n">
        <v>8.7</v>
      </c>
      <c r="D49" s="0" t="n">
        <v>41191</v>
      </c>
    </row>
    <row r="50" customFormat="false" ht="15" hidden="false" customHeight="false" outlineLevel="0" collapsed="false">
      <c r="A50" s="0" t="s">
        <v>104</v>
      </c>
      <c r="B50" s="0" t="s">
        <v>105</v>
      </c>
      <c r="C50" s="5" t="n">
        <v>19.9</v>
      </c>
      <c r="D50" s="0" t="n">
        <v>41192</v>
      </c>
    </row>
    <row r="51" customFormat="false" ht="15" hidden="false" customHeight="false" outlineLevel="0" collapsed="false">
      <c r="A51" s="0" t="s">
        <v>104</v>
      </c>
      <c r="B51" s="0" t="s">
        <v>105</v>
      </c>
      <c r="C51" s="5" t="n">
        <v>4</v>
      </c>
      <c r="D51" s="0" t="n">
        <v>41193</v>
      </c>
    </row>
    <row r="52" customFormat="false" ht="15" hidden="false" customHeight="false" outlineLevel="0" collapsed="false">
      <c r="A52" s="0" t="s">
        <v>106</v>
      </c>
      <c r="B52" s="0" t="s">
        <v>107</v>
      </c>
      <c r="C52" s="5" t="n">
        <v>2.2</v>
      </c>
      <c r="D52" s="0" t="n">
        <v>41452</v>
      </c>
    </row>
    <row r="53" customFormat="false" ht="15" hidden="false" customHeight="false" outlineLevel="0" collapsed="false">
      <c r="A53" s="0" t="s">
        <v>106</v>
      </c>
      <c r="B53" s="0" t="s">
        <v>107</v>
      </c>
      <c r="C53" s="5" t="n">
        <v>31.8</v>
      </c>
      <c r="D53" s="0" t="n">
        <v>41453</v>
      </c>
    </row>
    <row r="54" customFormat="false" ht="15" hidden="false" customHeight="false" outlineLevel="0" collapsed="false">
      <c r="A54" s="0" t="s">
        <v>106</v>
      </c>
      <c r="B54" s="0" t="s">
        <v>107</v>
      </c>
      <c r="C54" s="5" t="n">
        <v>5.9</v>
      </c>
      <c r="D54" s="0" t="n">
        <v>41454</v>
      </c>
    </row>
    <row r="55" customFormat="false" ht="15" hidden="false" customHeight="false" outlineLevel="0" collapsed="false">
      <c r="A55" s="0" t="s">
        <v>106</v>
      </c>
      <c r="B55" s="0" t="s">
        <v>107</v>
      </c>
      <c r="C55" s="5" t="n">
        <v>3.9</v>
      </c>
      <c r="D55" s="0" t="n">
        <v>41455</v>
      </c>
    </row>
    <row r="56" customFormat="false" ht="15" hidden="false" customHeight="false" outlineLevel="0" collapsed="false">
      <c r="A56" s="0" t="s">
        <v>31</v>
      </c>
      <c r="B56" s="0" t="s">
        <v>39</v>
      </c>
      <c r="C56" s="5" t="n">
        <v>6.9</v>
      </c>
      <c r="D56" s="0" t="n">
        <v>42080</v>
      </c>
    </row>
    <row r="57" customFormat="false" ht="15" hidden="false" customHeight="false" outlineLevel="0" collapsed="false">
      <c r="A57" s="0" t="s">
        <v>31</v>
      </c>
      <c r="B57" s="0" t="s">
        <v>39</v>
      </c>
      <c r="C57" s="5" t="n">
        <v>3.9</v>
      </c>
      <c r="D57" s="0" t="n">
        <v>42081</v>
      </c>
    </row>
    <row r="58" customFormat="false" ht="15" hidden="false" customHeight="false" outlineLevel="0" collapsed="false">
      <c r="A58" s="0" t="s">
        <v>31</v>
      </c>
      <c r="B58" s="0" t="s">
        <v>39</v>
      </c>
      <c r="C58" s="5" t="n">
        <v>7.2</v>
      </c>
      <c r="D58" s="0" t="n">
        <v>42082</v>
      </c>
    </row>
    <row r="59" customFormat="false" ht="15" hidden="false" customHeight="false" outlineLevel="0" collapsed="false">
      <c r="A59" s="0" t="s">
        <v>31</v>
      </c>
      <c r="B59" s="0" t="s">
        <v>39</v>
      </c>
      <c r="C59" s="5" t="n">
        <v>4.9</v>
      </c>
      <c r="D59" s="0" t="n">
        <v>42083</v>
      </c>
    </row>
    <row r="60" customFormat="false" ht="15" hidden="false" customHeight="false" outlineLevel="0" collapsed="false">
      <c r="A60" s="0" t="s">
        <v>31</v>
      </c>
      <c r="B60" s="0" t="s">
        <v>39</v>
      </c>
      <c r="C60" s="5" t="n">
        <v>19</v>
      </c>
      <c r="D60" s="0" t="n">
        <v>42084</v>
      </c>
    </row>
    <row r="61" customFormat="false" ht="15" hidden="false" customHeight="false" outlineLevel="0" collapsed="false">
      <c r="A61" s="0" t="s">
        <v>31</v>
      </c>
      <c r="B61" s="0" t="s">
        <v>39</v>
      </c>
      <c r="C61" s="5" t="n">
        <v>27.8</v>
      </c>
      <c r="D61" s="0" t="n">
        <v>42085</v>
      </c>
    </row>
    <row r="62" customFormat="false" ht="15" hidden="false" customHeight="false" outlineLevel="0" collapsed="false">
      <c r="A62" s="0" t="s">
        <v>31</v>
      </c>
      <c r="B62" s="0" t="s">
        <v>39</v>
      </c>
      <c r="C62" s="5" t="n">
        <v>7.2</v>
      </c>
      <c r="D62" s="0" t="n">
        <v>42086</v>
      </c>
    </row>
    <row r="63" customFormat="false" ht="15" hidden="false" customHeight="false" outlineLevel="0" collapsed="false">
      <c r="A63" s="0" t="s">
        <v>31</v>
      </c>
      <c r="B63" s="0" t="s">
        <v>40</v>
      </c>
      <c r="C63" s="5" t="n">
        <v>15.6</v>
      </c>
      <c r="D63" s="0" t="n">
        <v>42087</v>
      </c>
    </row>
    <row r="64" customFormat="false" ht="15" hidden="false" customHeight="false" outlineLevel="0" collapsed="false">
      <c r="A64" s="0" t="s">
        <v>31</v>
      </c>
      <c r="B64" s="0" t="s">
        <v>40</v>
      </c>
      <c r="C64" s="5" t="n">
        <v>6.5</v>
      </c>
      <c r="D64" s="0" t="n">
        <v>42088</v>
      </c>
    </row>
    <row r="65" customFormat="false" ht="15" hidden="false" customHeight="false" outlineLevel="0" collapsed="false">
      <c r="A65" s="0" t="s">
        <v>31</v>
      </c>
      <c r="B65" s="0" t="s">
        <v>40</v>
      </c>
      <c r="C65" s="5" t="n">
        <v>20.8</v>
      </c>
      <c r="D65" s="0" t="n">
        <v>42089</v>
      </c>
    </row>
    <row r="66" customFormat="false" ht="15" hidden="false" customHeight="false" outlineLevel="0" collapsed="false">
      <c r="A66" s="0" t="s">
        <v>31</v>
      </c>
      <c r="B66" s="0" t="s">
        <v>40</v>
      </c>
      <c r="C66" s="5" t="n">
        <v>7</v>
      </c>
      <c r="D66" s="0" t="n">
        <v>42090</v>
      </c>
    </row>
    <row r="67" customFormat="false" ht="15" hidden="false" customHeight="false" outlineLevel="0" collapsed="false">
      <c r="A67" s="0" t="s">
        <v>31</v>
      </c>
      <c r="B67" s="0" t="s">
        <v>40</v>
      </c>
      <c r="C67" s="5" t="n">
        <v>2.2</v>
      </c>
      <c r="D67" s="0" t="n">
        <v>42091</v>
      </c>
    </row>
    <row r="68" customFormat="false" ht="15" hidden="false" customHeight="false" outlineLevel="0" collapsed="false">
      <c r="A68" s="0" t="s">
        <v>31</v>
      </c>
      <c r="B68" s="0" t="s">
        <v>40</v>
      </c>
      <c r="C68" s="5" t="n">
        <v>29.9</v>
      </c>
      <c r="D68" s="0" t="n">
        <v>42092</v>
      </c>
    </row>
    <row r="69" customFormat="false" ht="15" hidden="false" customHeight="false" outlineLevel="0" collapsed="false">
      <c r="A69" s="0" t="s">
        <v>31</v>
      </c>
      <c r="B69" s="0" t="s">
        <v>40</v>
      </c>
      <c r="C69" s="5" t="n">
        <v>35.2</v>
      </c>
      <c r="D69" s="0" t="n">
        <v>42093</v>
      </c>
    </row>
    <row r="70" customFormat="false" ht="15" hidden="false" customHeight="false" outlineLevel="0" collapsed="false">
      <c r="A70" s="0" t="s">
        <v>31</v>
      </c>
      <c r="B70" s="0" t="s">
        <v>40</v>
      </c>
      <c r="C70" s="5" t="n">
        <v>59.8</v>
      </c>
      <c r="D70" s="0" t="n">
        <v>42094</v>
      </c>
    </row>
    <row r="71" customFormat="false" ht="15" hidden="false" customHeight="false" outlineLevel="0" collapsed="false">
      <c r="A71" s="0" t="s">
        <v>31</v>
      </c>
      <c r="B71" s="0" t="s">
        <v>40</v>
      </c>
      <c r="C71" s="5" t="n">
        <v>30</v>
      </c>
      <c r="D71" s="0" t="n">
        <v>42095</v>
      </c>
    </row>
    <row r="72" customFormat="false" ht="15" hidden="false" customHeight="false" outlineLevel="0" collapsed="false">
      <c r="A72" s="0" t="s">
        <v>108</v>
      </c>
      <c r="B72" s="0" t="s">
        <v>109</v>
      </c>
      <c r="C72" s="5" t="n">
        <v>16.9</v>
      </c>
      <c r="D72" s="0" t="n">
        <v>43076</v>
      </c>
    </row>
    <row r="73" customFormat="false" ht="15" hidden="false" customHeight="false" outlineLevel="0" collapsed="false">
      <c r="A73" s="0" t="s">
        <v>108</v>
      </c>
      <c r="B73" s="0" t="s">
        <v>109</v>
      </c>
      <c r="C73" s="5" t="n">
        <v>27.8</v>
      </c>
      <c r="D73" s="0" t="n">
        <v>43077</v>
      </c>
    </row>
    <row r="74" customFormat="false" ht="15" hidden="false" customHeight="false" outlineLevel="0" collapsed="false">
      <c r="A74" s="0" t="s">
        <v>108</v>
      </c>
      <c r="B74" s="0" t="s">
        <v>109</v>
      </c>
      <c r="C74" s="5" t="n">
        <v>55.8</v>
      </c>
      <c r="D74" s="0" t="n">
        <v>43078</v>
      </c>
    </row>
    <row r="75" customFormat="false" ht="15" hidden="false" customHeight="false" outlineLevel="0" collapsed="false">
      <c r="A75" s="0" t="s">
        <v>108</v>
      </c>
      <c r="B75" s="0" t="s">
        <v>109</v>
      </c>
      <c r="C75" s="5" t="n">
        <v>7.2</v>
      </c>
      <c r="D75" s="0" t="n">
        <v>43079</v>
      </c>
    </row>
    <row r="76" customFormat="false" ht="15" hidden="false" customHeight="false" outlineLevel="0" collapsed="false">
      <c r="A76" s="0" t="s">
        <v>108</v>
      </c>
      <c r="B76" s="0" t="s">
        <v>109</v>
      </c>
      <c r="C76" s="5" t="n">
        <v>9.6</v>
      </c>
      <c r="D76" s="0" t="n">
        <v>43080</v>
      </c>
    </row>
    <row r="77" customFormat="false" ht="15" hidden="false" customHeight="false" outlineLevel="0" collapsed="false">
      <c r="A77" s="0" t="s">
        <v>108</v>
      </c>
      <c r="B77" s="0" t="s">
        <v>109</v>
      </c>
      <c r="C77" s="5" t="n">
        <v>33.8</v>
      </c>
      <c r="D77" s="0" t="n">
        <v>43081</v>
      </c>
    </row>
    <row r="78" customFormat="false" ht="15" hidden="false" customHeight="false" outlineLevel="0" collapsed="false">
      <c r="A78" s="0" t="s">
        <v>108</v>
      </c>
      <c r="B78" s="0" t="s">
        <v>109</v>
      </c>
      <c r="C78" s="5" t="n">
        <v>8.9</v>
      </c>
      <c r="D78" s="0" t="n">
        <v>43082</v>
      </c>
    </row>
    <row r="79" customFormat="false" ht="15" hidden="false" customHeight="false" outlineLevel="0" collapsed="false">
      <c r="A79" s="0" t="s">
        <v>108</v>
      </c>
      <c r="B79" s="0" t="s">
        <v>109</v>
      </c>
      <c r="C79" s="5" t="n">
        <v>12</v>
      </c>
      <c r="D79" s="0" t="n">
        <v>43083</v>
      </c>
    </row>
    <row r="80" customFormat="false" ht="15" hidden="false" customHeight="false" outlineLevel="0" collapsed="false">
      <c r="A80" s="0" t="s">
        <v>108</v>
      </c>
      <c r="B80" s="0" t="s">
        <v>109</v>
      </c>
      <c r="C80" s="5" t="n">
        <v>3.9</v>
      </c>
      <c r="D80" s="0" t="n">
        <v>43084</v>
      </c>
    </row>
    <row r="81" customFormat="false" ht="15" hidden="false" customHeight="false" outlineLevel="0" collapsed="false">
      <c r="A81" s="0" t="s">
        <v>108</v>
      </c>
      <c r="B81" s="0" t="s">
        <v>109</v>
      </c>
      <c r="C81" s="5" t="n">
        <v>5.2</v>
      </c>
      <c r="D81" s="0" t="n">
        <v>43085</v>
      </c>
    </row>
    <row r="82" customFormat="false" ht="15" hidden="false" customHeight="false" outlineLevel="0" collapsed="false">
      <c r="A82" s="0" t="s">
        <v>108</v>
      </c>
      <c r="B82" s="0" t="s">
        <v>109</v>
      </c>
      <c r="C82" s="5" t="n">
        <v>5.2</v>
      </c>
      <c r="D82" s="0" t="n">
        <v>43086</v>
      </c>
    </row>
    <row r="83" customFormat="false" ht="15" hidden="false" customHeight="false" outlineLevel="0" collapsed="false">
      <c r="A83" s="0" t="s">
        <v>110</v>
      </c>
      <c r="B83" s="0" t="s">
        <v>111</v>
      </c>
      <c r="C83" s="5" t="n">
        <v>4.4</v>
      </c>
      <c r="D83" s="0" t="n">
        <v>44686</v>
      </c>
    </row>
    <row r="84" customFormat="false" ht="15" hidden="false" customHeight="false" outlineLevel="0" collapsed="false">
      <c r="A84" s="0" t="s">
        <v>110</v>
      </c>
      <c r="B84" s="0" t="s">
        <v>111</v>
      </c>
      <c r="C84" s="5" t="n">
        <v>68</v>
      </c>
      <c r="D84" s="0" t="n">
        <v>44687</v>
      </c>
    </row>
    <row r="85" customFormat="false" ht="15" hidden="false" customHeight="false" outlineLevel="0" collapsed="false">
      <c r="A85" s="0" t="s">
        <v>110</v>
      </c>
      <c r="B85" s="0" t="s">
        <v>111</v>
      </c>
      <c r="C85" s="5" t="n">
        <v>9.8</v>
      </c>
      <c r="D85" s="0" t="n">
        <v>44688</v>
      </c>
    </row>
    <row r="86" customFormat="false" ht="15" hidden="false" customHeight="false" outlineLevel="0" collapsed="false">
      <c r="A86" s="0" t="s">
        <v>110</v>
      </c>
      <c r="B86" s="0" t="s">
        <v>112</v>
      </c>
      <c r="C86" s="5" t="n">
        <v>4.4</v>
      </c>
      <c r="D86" s="0" t="n">
        <v>44694</v>
      </c>
    </row>
    <row r="87" customFormat="false" ht="15" hidden="false" customHeight="false" outlineLevel="0" collapsed="false">
      <c r="A87" s="0" t="s">
        <v>110</v>
      </c>
      <c r="B87" s="0" t="s">
        <v>112</v>
      </c>
      <c r="C87" s="5" t="n">
        <v>8.5</v>
      </c>
      <c r="D87" s="0" t="n">
        <v>44695</v>
      </c>
    </row>
    <row r="88" customFormat="false" ht="15" hidden="false" customHeight="false" outlineLevel="0" collapsed="false">
      <c r="A88" s="0" t="s">
        <v>110</v>
      </c>
      <c r="B88" s="0" t="s">
        <v>112</v>
      </c>
      <c r="C88" s="5" t="n">
        <v>10.5</v>
      </c>
      <c r="D88" s="0" t="n">
        <v>44696</v>
      </c>
    </row>
    <row r="89" customFormat="false" ht="15" hidden="false" customHeight="false" outlineLevel="0" collapsed="false">
      <c r="A89" s="0" t="s">
        <v>110</v>
      </c>
      <c r="B89" s="0" t="s">
        <v>112</v>
      </c>
      <c r="C89" s="5" t="n">
        <v>4</v>
      </c>
      <c r="D89" s="0" t="n">
        <v>44697</v>
      </c>
    </row>
    <row r="90" customFormat="false" ht="15" hidden="false" customHeight="false" outlineLevel="0" collapsed="false">
      <c r="A90" s="0" t="s">
        <v>110</v>
      </c>
      <c r="B90" s="0" t="s">
        <v>112</v>
      </c>
      <c r="C90" s="5" t="n">
        <v>7.9</v>
      </c>
      <c r="D90" s="0" t="n">
        <v>44698</v>
      </c>
    </row>
    <row r="91" customFormat="false" ht="15" hidden="false" customHeight="false" outlineLevel="0" collapsed="false">
      <c r="A91" s="0" t="s">
        <v>110</v>
      </c>
      <c r="B91" s="0" t="s">
        <v>112</v>
      </c>
      <c r="C91" s="5" t="n">
        <v>5.9</v>
      </c>
      <c r="D91" s="0" t="n">
        <v>44699</v>
      </c>
    </row>
    <row r="92" customFormat="false" ht="15" hidden="false" customHeight="false" outlineLevel="0" collapsed="false">
      <c r="A92" s="0" t="s">
        <v>110</v>
      </c>
      <c r="B92" s="0" t="s">
        <v>112</v>
      </c>
      <c r="C92" s="5" t="n">
        <v>37.2</v>
      </c>
      <c r="D92" s="0" t="n">
        <v>44700</v>
      </c>
    </row>
    <row r="93" customFormat="false" ht="15" hidden="false" customHeight="false" outlineLevel="0" collapsed="false">
      <c r="A93" s="0" t="s">
        <v>113</v>
      </c>
      <c r="B93" s="0" t="s">
        <v>114</v>
      </c>
      <c r="C93" s="5" t="n">
        <v>2.2</v>
      </c>
      <c r="D93" s="0" t="n">
        <v>45202</v>
      </c>
    </row>
    <row r="94" customFormat="false" ht="15" hidden="false" customHeight="false" outlineLevel="0" collapsed="false">
      <c r="A94" s="0" t="s">
        <v>113</v>
      </c>
      <c r="B94" s="0" t="s">
        <v>114</v>
      </c>
      <c r="C94" s="5" t="n">
        <v>6.9</v>
      </c>
      <c r="D94" s="0" t="n">
        <v>45203</v>
      </c>
    </row>
    <row r="95" customFormat="false" ht="15" hidden="false" customHeight="false" outlineLevel="0" collapsed="false">
      <c r="A95" s="0" t="s">
        <v>113</v>
      </c>
      <c r="B95" s="0" t="s">
        <v>114</v>
      </c>
      <c r="C95" s="5" t="n">
        <v>8.5</v>
      </c>
      <c r="D95" s="0" t="n">
        <v>45204</v>
      </c>
    </row>
    <row r="96" customFormat="false" ht="15" hidden="false" customHeight="false" outlineLevel="0" collapsed="false">
      <c r="A96" s="0" t="s">
        <v>113</v>
      </c>
      <c r="B96" s="0" t="s">
        <v>114</v>
      </c>
      <c r="C96" s="5" t="n">
        <v>8.7</v>
      </c>
      <c r="D96" s="0" t="n">
        <v>45205</v>
      </c>
    </row>
    <row r="97" customFormat="false" ht="15" hidden="false" customHeight="false" outlineLevel="0" collapsed="false">
      <c r="A97" s="0" t="s">
        <v>113</v>
      </c>
      <c r="B97" s="0" t="s">
        <v>114</v>
      </c>
      <c r="C97" s="5" t="n">
        <v>11.8</v>
      </c>
      <c r="D97" s="0" t="n">
        <v>45206</v>
      </c>
    </row>
    <row r="98" customFormat="false" ht="15" hidden="false" customHeight="false" outlineLevel="0" collapsed="false">
      <c r="A98" s="0" t="s">
        <v>113</v>
      </c>
      <c r="B98" s="0" t="s">
        <v>114</v>
      </c>
      <c r="C98" s="5" t="n">
        <v>10.4</v>
      </c>
      <c r="D98" s="0" t="n">
        <v>45207</v>
      </c>
    </row>
    <row r="99" customFormat="false" ht="15" hidden="false" customHeight="false" outlineLevel="0" collapsed="false">
      <c r="A99" s="0" t="s">
        <v>113</v>
      </c>
      <c r="B99" s="0" t="s">
        <v>114</v>
      </c>
      <c r="C99" s="5" t="n">
        <v>5.2</v>
      </c>
      <c r="D99" s="0" t="n">
        <v>45208</v>
      </c>
    </row>
    <row r="100" customFormat="false" ht="15" hidden="false" customHeight="false" outlineLevel="0" collapsed="false">
      <c r="A100" s="0" t="s">
        <v>113</v>
      </c>
      <c r="B100" s="0" t="s">
        <v>114</v>
      </c>
      <c r="C100" s="5" t="n">
        <v>24</v>
      </c>
      <c r="D100" s="0" t="n">
        <v>45209</v>
      </c>
    </row>
    <row r="101" customFormat="false" ht="15" hidden="false" customHeight="false" outlineLevel="0" collapsed="false">
      <c r="A101" s="0" t="s">
        <v>113</v>
      </c>
      <c r="B101" s="0" t="s">
        <v>114</v>
      </c>
      <c r="C101" s="5" t="n">
        <v>28</v>
      </c>
      <c r="D101" s="0" t="n">
        <v>45210</v>
      </c>
    </row>
    <row r="102" customFormat="false" ht="15" hidden="false" customHeight="false" outlineLevel="0" collapsed="false">
      <c r="A102" s="0" t="s">
        <v>113</v>
      </c>
      <c r="B102" s="0" t="s">
        <v>114</v>
      </c>
      <c r="C102" s="5" t="n">
        <v>55.6</v>
      </c>
      <c r="D102" s="0" t="n">
        <v>45211</v>
      </c>
    </row>
    <row r="103" customFormat="false" ht="15" hidden="false" customHeight="false" outlineLevel="0" collapsed="false">
      <c r="A103" s="0" t="s">
        <v>113</v>
      </c>
      <c r="B103" s="0" t="s">
        <v>114</v>
      </c>
      <c r="C103" s="5" t="n">
        <v>18.6</v>
      </c>
      <c r="D103" s="0" t="n">
        <v>45212</v>
      </c>
    </row>
    <row r="104" customFormat="false" ht="15" hidden="false" customHeight="false" outlineLevel="0" collapsed="false">
      <c r="A104" s="0" t="s">
        <v>113</v>
      </c>
      <c r="B104" s="0" t="s">
        <v>114</v>
      </c>
      <c r="C104" s="5" t="n">
        <v>14.4</v>
      </c>
      <c r="D104" s="0" t="n">
        <v>45213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5" min="5" style="0" width="20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3" t="s">
        <v>115</v>
      </c>
    </row>
    <row r="2" customFormat="false" ht="15" hidden="false" customHeight="false" outlineLevel="0" collapsed="false">
      <c r="A2" s="4" t="s">
        <v>26</v>
      </c>
      <c r="B2" s="4" t="s">
        <v>48</v>
      </c>
      <c r="C2" s="4" t="s">
        <v>27</v>
      </c>
      <c r="D2" s="4" t="s">
        <v>116</v>
      </c>
      <c r="E2" s="4" t="s">
        <v>117</v>
      </c>
      <c r="F2" s="4" t="s">
        <v>118</v>
      </c>
      <c r="G2" s="4" t="s">
        <v>119</v>
      </c>
      <c r="H2" s="4" t="s">
        <v>120</v>
      </c>
    </row>
    <row r="3" customFormat="false" ht="15" hidden="false" customHeight="false" outlineLevel="0" collapsed="false">
      <c r="A3" s="0" t="s">
        <v>90</v>
      </c>
      <c r="B3" s="0" t="n">
        <v>17</v>
      </c>
      <c r="C3" s="0" t="s">
        <v>121</v>
      </c>
      <c r="D3" s="0" t="s">
        <v>122</v>
      </c>
      <c r="E3" s="0" t="s">
        <v>123</v>
      </c>
      <c r="F3" s="0" t="n">
        <v>2</v>
      </c>
      <c r="G3" s="5" t="n">
        <v>15.2</v>
      </c>
      <c r="H3" s="5" t="n">
        <f aca="false">F3*G3</f>
        <v>30.4</v>
      </c>
    </row>
    <row r="4" customFormat="false" ht="15" hidden="false" customHeight="false" outlineLevel="0" collapsed="false">
      <c r="A4" s="0" t="s">
        <v>90</v>
      </c>
      <c r="B4" s="0" t="n">
        <v>23</v>
      </c>
      <c r="C4" s="0" t="s">
        <v>92</v>
      </c>
      <c r="D4" s="0" t="s">
        <v>122</v>
      </c>
      <c r="E4" s="0" t="s">
        <v>123</v>
      </c>
      <c r="F4" s="0" t="n">
        <v>1</v>
      </c>
      <c r="G4" s="5" t="n">
        <v>49.2</v>
      </c>
      <c r="H4" s="5" t="n">
        <f aca="false">F4*G4</f>
        <v>49.2</v>
      </c>
    </row>
    <row r="5" customFormat="false" ht="15" hidden="false" customHeight="false" outlineLevel="0" collapsed="false">
      <c r="A5" s="0" t="s">
        <v>93</v>
      </c>
      <c r="B5" s="0" t="n">
        <v>5</v>
      </c>
      <c r="C5" s="0" t="s">
        <v>94</v>
      </c>
      <c r="D5" s="0" t="s">
        <v>122</v>
      </c>
      <c r="E5" s="0" t="s">
        <v>123</v>
      </c>
      <c r="F5" s="0" t="n">
        <v>2</v>
      </c>
      <c r="G5" s="5" t="n">
        <v>27.2</v>
      </c>
      <c r="H5" s="5" t="n">
        <f aca="false">F5*G5</f>
        <v>54.4</v>
      </c>
    </row>
    <row r="6" customFormat="false" ht="15" hidden="false" customHeight="false" outlineLevel="0" collapsed="false">
      <c r="A6" s="0" t="s">
        <v>95</v>
      </c>
      <c r="B6" s="0" t="n">
        <v>9</v>
      </c>
      <c r="C6" s="0" t="s">
        <v>107</v>
      </c>
      <c r="D6" s="0" t="s">
        <v>122</v>
      </c>
      <c r="E6" s="0" t="s">
        <v>123</v>
      </c>
      <c r="F6" s="0" t="n">
        <v>5</v>
      </c>
      <c r="G6" s="5" t="n">
        <v>37.42</v>
      </c>
      <c r="H6" s="5" t="n">
        <f aca="false">F6*G6</f>
        <v>187.1</v>
      </c>
    </row>
    <row r="7" customFormat="false" ht="15" hidden="false" customHeight="false" outlineLevel="0" collapsed="false">
      <c r="A7" s="0" t="s">
        <v>97</v>
      </c>
      <c r="B7" s="0" t="n">
        <v>8</v>
      </c>
      <c r="C7" s="0" t="s">
        <v>60</v>
      </c>
      <c r="D7" s="0" t="s">
        <v>122</v>
      </c>
      <c r="E7" s="0" t="s">
        <v>123</v>
      </c>
      <c r="F7" s="0" t="n">
        <v>1</v>
      </c>
      <c r="G7" s="5" t="n">
        <v>39.8</v>
      </c>
      <c r="H7" s="5" t="n">
        <f aca="false">F7*G7</f>
        <v>39.8</v>
      </c>
    </row>
    <row r="8" customFormat="false" ht="15" hidden="false" customHeight="false" outlineLevel="0" collapsed="false">
      <c r="A8" s="0" t="s">
        <v>98</v>
      </c>
      <c r="B8" s="0" t="n">
        <v>8</v>
      </c>
      <c r="C8" s="0" t="s">
        <v>99</v>
      </c>
      <c r="D8" s="0" t="s">
        <v>122</v>
      </c>
      <c r="E8" s="0" t="s">
        <v>123</v>
      </c>
      <c r="F8" s="0" t="n">
        <v>2</v>
      </c>
      <c r="G8" s="5" t="n">
        <v>38.3</v>
      </c>
      <c r="H8" s="5" t="n">
        <f aca="false">F8*G8</f>
        <v>76.6</v>
      </c>
    </row>
    <row r="9" customFormat="false" ht="15" hidden="false" customHeight="false" outlineLevel="0" collapsed="false">
      <c r="A9" s="0" t="s">
        <v>100</v>
      </c>
      <c r="B9" s="0" t="n">
        <v>16</v>
      </c>
      <c r="C9" s="0" t="s">
        <v>101</v>
      </c>
      <c r="D9" s="0" t="s">
        <v>122</v>
      </c>
      <c r="E9" s="0" t="s">
        <v>123</v>
      </c>
      <c r="F9" s="0" t="n">
        <v>2</v>
      </c>
      <c r="G9" s="5" t="n">
        <v>54.1</v>
      </c>
      <c r="H9" s="5" t="n">
        <f aca="false">F9*G9</f>
        <v>108.2</v>
      </c>
    </row>
    <row r="10" customFormat="false" ht="15" hidden="false" customHeight="false" outlineLevel="0" collapsed="false">
      <c r="A10" s="0" t="s">
        <v>102</v>
      </c>
      <c r="B10" s="0" t="n">
        <v>11</v>
      </c>
      <c r="C10" s="0" t="s">
        <v>57</v>
      </c>
      <c r="D10" s="0" t="s">
        <v>122</v>
      </c>
      <c r="E10" s="0" t="s">
        <v>123</v>
      </c>
      <c r="F10" s="0" t="n">
        <v>2</v>
      </c>
      <c r="G10" s="5" t="n">
        <v>22.8</v>
      </c>
      <c r="H10" s="5" t="n">
        <f aca="false">F10*G10</f>
        <v>45.6</v>
      </c>
    </row>
    <row r="11" customFormat="false" ht="15" hidden="false" customHeight="false" outlineLevel="0" collapsed="false">
      <c r="A11" s="0" t="s">
        <v>104</v>
      </c>
      <c r="B11" s="0" t="n">
        <v>3</v>
      </c>
      <c r="C11" s="0" t="s">
        <v>105</v>
      </c>
      <c r="D11" s="0" t="s">
        <v>122</v>
      </c>
      <c r="E11" s="0" t="s">
        <v>123</v>
      </c>
      <c r="F11" s="0" t="n">
        <v>1</v>
      </c>
      <c r="G11" s="5" t="n">
        <v>32.6</v>
      </c>
      <c r="H11" s="5" t="n">
        <f aca="false">F11*G11</f>
        <v>32.6</v>
      </c>
    </row>
    <row r="12" customFormat="false" ht="15" hidden="false" customHeight="false" outlineLevel="0" collapsed="false">
      <c r="A12" s="0" t="s">
        <v>106</v>
      </c>
      <c r="B12" s="0" t="n">
        <v>6</v>
      </c>
      <c r="C12" s="0" t="s">
        <v>107</v>
      </c>
      <c r="D12" s="0" t="s">
        <v>122</v>
      </c>
      <c r="E12" s="0" t="s">
        <v>123</v>
      </c>
      <c r="F12" s="0" t="n">
        <v>2</v>
      </c>
      <c r="G12" s="5" t="n">
        <v>21.9</v>
      </c>
      <c r="H12" s="5" t="n">
        <f aca="false">F12*G12</f>
        <v>43.8</v>
      </c>
    </row>
    <row r="13" customFormat="false" ht="15" hidden="false" customHeight="false" outlineLevel="0" collapsed="false">
      <c r="A13" s="0" t="s">
        <v>31</v>
      </c>
      <c r="B13" s="0" t="n">
        <v>3</v>
      </c>
      <c r="C13" s="0" t="s">
        <v>55</v>
      </c>
      <c r="D13" s="0" t="s">
        <v>122</v>
      </c>
      <c r="E13" s="0" t="s">
        <v>123</v>
      </c>
      <c r="F13" s="0" t="n">
        <v>2</v>
      </c>
      <c r="G13" s="5" t="n">
        <v>38.45</v>
      </c>
      <c r="H13" s="5" t="n">
        <f aca="false">F13*G13</f>
        <v>76.9</v>
      </c>
    </row>
    <row r="14" customFormat="false" ht="15" hidden="false" customHeight="false" outlineLevel="0" collapsed="false">
      <c r="A14" s="0" t="s">
        <v>31</v>
      </c>
      <c r="B14" s="0" t="n">
        <v>8</v>
      </c>
      <c r="C14" s="0" t="s">
        <v>40</v>
      </c>
      <c r="D14" s="0" t="s">
        <v>122</v>
      </c>
      <c r="E14" s="0" t="s">
        <v>123</v>
      </c>
      <c r="F14" s="0" t="n">
        <v>4</v>
      </c>
      <c r="G14" s="5" t="n">
        <v>51.75</v>
      </c>
      <c r="H14" s="5" t="n">
        <f aca="false">F14*G14</f>
        <v>207</v>
      </c>
    </row>
    <row r="15" customFormat="false" ht="15" hidden="false" customHeight="false" outlineLevel="0" collapsed="false">
      <c r="A15" s="0" t="s">
        <v>108</v>
      </c>
      <c r="B15" s="0" t="n">
        <v>3</v>
      </c>
      <c r="C15" s="0" t="s">
        <v>57</v>
      </c>
      <c r="D15" s="0" t="s">
        <v>122</v>
      </c>
      <c r="E15" s="0" t="s">
        <v>123</v>
      </c>
      <c r="F15" s="0" t="n">
        <v>6</v>
      </c>
      <c r="G15" s="5" t="n">
        <v>31.05</v>
      </c>
      <c r="H15" s="5" t="n">
        <f aca="false">F15*G15</f>
        <v>186.3</v>
      </c>
    </row>
    <row r="16" customFormat="false" ht="15" hidden="false" customHeight="false" outlineLevel="0" collapsed="false">
      <c r="A16" s="0" t="s">
        <v>110</v>
      </c>
      <c r="B16" s="0" t="n">
        <v>5</v>
      </c>
      <c r="C16" s="0" t="s">
        <v>111</v>
      </c>
      <c r="D16" s="0" t="s">
        <v>122</v>
      </c>
      <c r="E16" s="0" t="s">
        <v>123</v>
      </c>
      <c r="F16" s="0" t="n">
        <v>2</v>
      </c>
      <c r="G16" s="5" t="n">
        <v>41.1</v>
      </c>
      <c r="H16" s="5" t="n">
        <f aca="false">F16*G16</f>
        <v>82.2</v>
      </c>
    </row>
    <row r="17" customFormat="false" ht="15" hidden="false" customHeight="false" outlineLevel="0" collapsed="false">
      <c r="A17" s="0" t="s">
        <v>110</v>
      </c>
      <c r="B17" s="0" t="n">
        <v>7</v>
      </c>
      <c r="C17" s="0" t="s">
        <v>112</v>
      </c>
      <c r="D17" s="0" t="s">
        <v>122</v>
      </c>
      <c r="E17" s="0" t="s">
        <v>123</v>
      </c>
      <c r="F17" s="0" t="n">
        <v>2</v>
      </c>
      <c r="G17" s="5" t="n">
        <v>39.2</v>
      </c>
      <c r="H17" s="5" t="n">
        <f aca="false">F17*G17</f>
        <v>78.4</v>
      </c>
    </row>
    <row r="18" customFormat="false" ht="15" hidden="false" customHeight="false" outlineLevel="0" collapsed="false">
      <c r="A18" s="0" t="s">
        <v>113</v>
      </c>
      <c r="B18" s="0" t="n">
        <v>12</v>
      </c>
      <c r="C18" s="0" t="s">
        <v>124</v>
      </c>
      <c r="D18" s="0" t="s">
        <v>122</v>
      </c>
      <c r="E18" s="0" t="s">
        <v>123</v>
      </c>
      <c r="F18" s="0" t="n">
        <v>2</v>
      </c>
      <c r="G18" s="5" t="n">
        <v>64</v>
      </c>
      <c r="H18" s="5" t="n">
        <f aca="false">F18*G18</f>
        <v>128</v>
      </c>
    </row>
    <row r="19" customFormat="false" ht="15" hidden="false" customHeight="false" outlineLevel="0" collapsed="false">
      <c r="A19" s="0" t="s">
        <v>113</v>
      </c>
      <c r="B19" s="0" t="n">
        <v>12</v>
      </c>
      <c r="C19" s="0" t="s">
        <v>124</v>
      </c>
      <c r="D19" s="0" t="s">
        <v>122</v>
      </c>
      <c r="E19" s="0" t="s">
        <v>123</v>
      </c>
      <c r="F19" s="0" t="n">
        <v>1</v>
      </c>
      <c r="G19" s="5" t="n">
        <v>66.3</v>
      </c>
      <c r="H19" s="5" t="n">
        <f aca="false">F19*G19</f>
        <v>66.3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3" customFormat="false" ht="28.35" hidden="false" customHeight="false" outlineLevel="0" collapsed="false">
      <c r="A3" s="4" t="s">
        <v>26</v>
      </c>
      <c r="B3" s="4" t="s">
        <v>127</v>
      </c>
      <c r="C3" s="4" t="s">
        <v>48</v>
      </c>
      <c r="D3" s="4" t="s">
        <v>78</v>
      </c>
      <c r="E3" s="4" t="s">
        <v>50</v>
      </c>
      <c r="F3" s="4" t="s">
        <v>128</v>
      </c>
    </row>
    <row r="4" customFormat="false" ht="15" hidden="false" customHeight="false" outlineLevel="0" collapsed="false">
      <c r="A4" s="0" t="s">
        <v>90</v>
      </c>
      <c r="B4" s="0" t="s">
        <v>91</v>
      </c>
      <c r="C4" s="0" t="n">
        <v>17</v>
      </c>
      <c r="D4" s="5" t="n">
        <f aca="false">SUMIFS('Src-E1-DEL-conv'!$C$3:$C$104,'Src-E1-DEL-conv'!$A$3:$A$104,A4,'Src-E1-DEL-conv'!$B$3:$B$104,B4)</f>
        <v>30.4</v>
      </c>
      <c r="E4" s="5" t="n">
        <f aca="false">SUMIFS('Src-C1-notes-conv'!$H$3:$H$19,'Src-C1-notes-conv'!$A$3:$A$19,A4,'Src-C1-notes-conv'!$B$3:$B$19,C4)</f>
        <v>30.4</v>
      </c>
      <c r="F4" s="5" t="n">
        <f aca="false">E4-D4</f>
        <v>0</v>
      </c>
    </row>
    <row r="5" customFormat="false" ht="15" hidden="false" customHeight="false" outlineLevel="0" collapsed="false">
      <c r="A5" s="0" t="s">
        <v>90</v>
      </c>
      <c r="B5" s="0" t="s">
        <v>92</v>
      </c>
      <c r="C5" s="0" t="n">
        <v>23</v>
      </c>
      <c r="D5" s="5" t="n">
        <f aca="false">SUMIFS('Src-E1-DEL-conv'!$C$3:$C$104,'Src-E1-DEL-conv'!$A$3:$A$104,A5,'Src-E1-DEL-conv'!$B$3:$B$104,B5)</f>
        <v>49.2</v>
      </c>
      <c r="E5" s="5" t="n">
        <f aca="false">SUMIFS('Src-C1-notes-conv'!$H$3:$H$19,'Src-C1-notes-conv'!$A$3:$A$19,A5,'Src-C1-notes-conv'!$B$3:$B$19,C5)</f>
        <v>49.2</v>
      </c>
      <c r="F5" s="5" t="n">
        <f aca="false">E5-D5</f>
        <v>0</v>
      </c>
    </row>
    <row r="6" customFormat="false" ht="15" hidden="false" customHeight="false" outlineLevel="0" collapsed="false">
      <c r="A6" s="0" t="s">
        <v>93</v>
      </c>
      <c r="B6" s="0" t="s">
        <v>94</v>
      </c>
      <c r="C6" s="0" t="n">
        <v>5</v>
      </c>
      <c r="D6" s="5" t="n">
        <f aca="false">SUMIFS('Src-E1-DEL-conv'!$C$3:$C$104,'Src-E1-DEL-conv'!$A$3:$A$104,A6,'Src-E1-DEL-conv'!$B$3:$B$104,B6)</f>
        <v>54.4</v>
      </c>
      <c r="E6" s="5" t="n">
        <f aca="false">SUMIFS('Src-C1-notes-conv'!$H$3:$H$19,'Src-C1-notes-conv'!$A$3:$A$19,A6,'Src-C1-notes-conv'!$B$3:$B$19,C6)</f>
        <v>54.4</v>
      </c>
      <c r="F6" s="5" t="n">
        <f aca="false">E6-D6</f>
        <v>0</v>
      </c>
    </row>
    <row r="7" customFormat="false" ht="15" hidden="false" customHeight="false" outlineLevel="0" collapsed="false">
      <c r="A7" s="0" t="s">
        <v>95</v>
      </c>
      <c r="B7" s="0" t="s">
        <v>96</v>
      </c>
      <c r="C7" s="0" t="n">
        <v>9</v>
      </c>
      <c r="D7" s="5" t="n">
        <f aca="false">SUMIFS('Src-E1-DEL-conv'!$C$3:$C$104,'Src-E1-DEL-conv'!$A$3:$A$104,A7,'Src-E1-DEL-conv'!$B$3:$B$104,B7)</f>
        <v>187.1</v>
      </c>
      <c r="E7" s="5" t="n">
        <f aca="false">SUMIFS('Src-C1-notes-conv'!$H$3:$H$19,'Src-C1-notes-conv'!$A$3:$A$19,A7,'Src-C1-notes-conv'!$B$3:$B$19,C7)</f>
        <v>187.1</v>
      </c>
      <c r="F7" s="5" t="n">
        <f aca="false">E7-D7</f>
        <v>0</v>
      </c>
    </row>
    <row r="8" customFormat="false" ht="15" hidden="false" customHeight="false" outlineLevel="0" collapsed="false">
      <c r="A8" s="0" t="s">
        <v>97</v>
      </c>
      <c r="B8" s="0" t="s">
        <v>60</v>
      </c>
      <c r="C8" s="0" t="n">
        <v>8</v>
      </c>
      <c r="D8" s="5" t="n">
        <f aca="false">SUMIFS('Src-E1-DEL-conv'!$C$3:$C$104,'Src-E1-DEL-conv'!$A$3:$A$104,A8,'Src-E1-DEL-conv'!$B$3:$B$104,B8)</f>
        <v>39.8</v>
      </c>
      <c r="E8" s="5" t="n">
        <f aca="false">SUMIFS('Src-C1-notes-conv'!$H$3:$H$19,'Src-C1-notes-conv'!$A$3:$A$19,A8,'Src-C1-notes-conv'!$B$3:$B$19,C8)</f>
        <v>39.8</v>
      </c>
      <c r="F8" s="5" t="n">
        <f aca="false">E8-D8</f>
        <v>0</v>
      </c>
    </row>
    <row r="9" customFormat="false" ht="15" hidden="false" customHeight="false" outlineLevel="0" collapsed="false">
      <c r="A9" s="0" t="s">
        <v>98</v>
      </c>
      <c r="B9" s="0" t="s">
        <v>99</v>
      </c>
      <c r="C9" s="0" t="n">
        <v>8</v>
      </c>
      <c r="D9" s="5" t="n">
        <f aca="false">SUMIFS('Src-E1-DEL-conv'!$C$3:$C$104,'Src-E1-DEL-conv'!$A$3:$A$104,A9,'Src-E1-DEL-conv'!$B$3:$B$104,B9)</f>
        <v>76.6</v>
      </c>
      <c r="E9" s="5" t="n">
        <f aca="false">SUMIFS('Src-C1-notes-conv'!$H$3:$H$19,'Src-C1-notes-conv'!$A$3:$A$19,A9,'Src-C1-notes-conv'!$B$3:$B$19,C9)</f>
        <v>76.6</v>
      </c>
      <c r="F9" s="5" t="n">
        <f aca="false">E9-D9</f>
        <v>0</v>
      </c>
    </row>
    <row r="10" customFormat="false" ht="15" hidden="false" customHeight="false" outlineLevel="0" collapsed="false">
      <c r="A10" s="0" t="s">
        <v>100</v>
      </c>
      <c r="B10" s="0" t="s">
        <v>101</v>
      </c>
      <c r="C10" s="0" t="n">
        <v>16</v>
      </c>
      <c r="D10" s="5" t="n">
        <f aca="false">SUMIFS('Src-E1-DEL-conv'!$C$3:$C$104,'Src-E1-DEL-conv'!$A$3:$A$104,A10,'Src-E1-DEL-conv'!$B$3:$B$104,B10)</f>
        <v>108.2</v>
      </c>
      <c r="E10" s="5" t="n">
        <f aca="false">SUMIFS('Src-C1-notes-conv'!$H$3:$H$19,'Src-C1-notes-conv'!$A$3:$A$19,A10,'Src-C1-notes-conv'!$B$3:$B$19,C10)</f>
        <v>108.2</v>
      </c>
      <c r="F10" s="5" t="n">
        <f aca="false">E10-D10</f>
        <v>0</v>
      </c>
    </row>
    <row r="11" customFormat="false" ht="15" hidden="false" customHeight="false" outlineLevel="0" collapsed="false">
      <c r="A11" s="0" t="s">
        <v>102</v>
      </c>
      <c r="B11" s="0" t="s">
        <v>103</v>
      </c>
      <c r="C11" s="0" t="n">
        <v>11</v>
      </c>
      <c r="D11" s="5" t="n">
        <f aca="false">SUMIFS('Src-E1-DEL-conv'!$C$3:$C$104,'Src-E1-DEL-conv'!$A$3:$A$104,A11,'Src-E1-DEL-conv'!$B$3:$B$104,B11)</f>
        <v>45.6</v>
      </c>
      <c r="E11" s="5" t="n">
        <f aca="false">SUMIFS('Src-C1-notes-conv'!$H$3:$H$19,'Src-C1-notes-conv'!$A$3:$A$19,A11,'Src-C1-notes-conv'!$B$3:$B$19,C11)</f>
        <v>45.6</v>
      </c>
      <c r="F11" s="5" t="n">
        <f aca="false">E11-D11</f>
        <v>0</v>
      </c>
    </row>
    <row r="12" customFormat="false" ht="15" hidden="false" customHeight="false" outlineLevel="0" collapsed="false">
      <c r="A12" s="0" t="s">
        <v>104</v>
      </c>
      <c r="B12" s="0" t="s">
        <v>105</v>
      </c>
      <c r="C12" s="0" t="n">
        <v>3</v>
      </c>
      <c r="D12" s="5" t="n">
        <f aca="false">SUMIFS('Src-E1-DEL-conv'!$C$3:$C$104,'Src-E1-DEL-conv'!$A$3:$A$104,A12,'Src-E1-DEL-conv'!$B$3:$B$104,B12)</f>
        <v>32.6</v>
      </c>
      <c r="E12" s="5" t="n">
        <f aca="false">SUMIFS('Src-C1-notes-conv'!$H$3:$H$19,'Src-C1-notes-conv'!$A$3:$A$19,A12,'Src-C1-notes-conv'!$B$3:$B$19,C12)</f>
        <v>32.6</v>
      </c>
      <c r="F12" s="5" t="n">
        <f aca="false">E12-D12</f>
        <v>0</v>
      </c>
    </row>
    <row r="13" customFormat="false" ht="15" hidden="false" customHeight="false" outlineLevel="0" collapsed="false">
      <c r="A13" s="0" t="s">
        <v>106</v>
      </c>
      <c r="B13" s="0" t="s">
        <v>107</v>
      </c>
      <c r="C13" s="0" t="n">
        <v>6</v>
      </c>
      <c r="D13" s="5" t="n">
        <f aca="false">SUMIFS('Src-E1-DEL-conv'!$C$3:$C$104,'Src-E1-DEL-conv'!$A$3:$A$104,A13,'Src-E1-DEL-conv'!$B$3:$B$104,B13)</f>
        <v>43.8</v>
      </c>
      <c r="E13" s="5" t="n">
        <f aca="false">SUMIFS('Src-C1-notes-conv'!$H$3:$H$19,'Src-C1-notes-conv'!$A$3:$A$19,A13,'Src-C1-notes-conv'!$B$3:$B$19,C13)</f>
        <v>43.8</v>
      </c>
      <c r="F13" s="5" t="n">
        <f aca="false">E13-D13</f>
        <v>0</v>
      </c>
    </row>
    <row r="14" customFormat="false" ht="15" hidden="false" customHeight="false" outlineLevel="0" collapsed="false">
      <c r="A14" s="0" t="s">
        <v>31</v>
      </c>
      <c r="B14" s="0" t="s">
        <v>39</v>
      </c>
      <c r="C14" s="0" t="n">
        <v>3</v>
      </c>
      <c r="D14" s="5" t="n">
        <f aca="false">SUMIFS('Src-E1-DEL-conv'!$C$3:$C$104,'Src-E1-DEL-conv'!$A$3:$A$104,A14,'Src-E1-DEL-conv'!$B$3:$B$104,B14)</f>
        <v>76.9</v>
      </c>
      <c r="E14" s="5" t="n">
        <f aca="false">SUMIFS('Src-C1-notes-conv'!$H$3:$H$19,'Src-C1-notes-conv'!$A$3:$A$19,A14,'Src-C1-notes-conv'!$B$3:$B$19,C14)</f>
        <v>76.9</v>
      </c>
      <c r="F14" s="5" t="n">
        <f aca="false">E14-D14</f>
        <v>0</v>
      </c>
    </row>
    <row r="15" customFormat="false" ht="15" hidden="false" customHeight="false" outlineLevel="0" collapsed="false">
      <c r="A15" s="0" t="s">
        <v>31</v>
      </c>
      <c r="B15" s="0" t="s">
        <v>40</v>
      </c>
      <c r="C15" s="0" t="n">
        <v>8</v>
      </c>
      <c r="D15" s="5" t="n">
        <f aca="false">SUMIFS('Src-E1-DEL-conv'!$C$3:$C$104,'Src-E1-DEL-conv'!$A$3:$A$104,A15,'Src-E1-DEL-conv'!$B$3:$B$104,B15)</f>
        <v>207</v>
      </c>
      <c r="E15" s="5" t="n">
        <f aca="false">SUMIFS('Src-C1-notes-conv'!$H$3:$H$19,'Src-C1-notes-conv'!$A$3:$A$19,A15,'Src-C1-notes-conv'!$B$3:$B$19,C15)</f>
        <v>207</v>
      </c>
      <c r="F15" s="5" t="n">
        <f aca="false">E15-D15</f>
        <v>0</v>
      </c>
    </row>
    <row r="16" customFormat="false" ht="15" hidden="false" customHeight="false" outlineLevel="0" collapsed="false">
      <c r="A16" s="0" t="s">
        <v>108</v>
      </c>
      <c r="B16" s="0" t="s">
        <v>109</v>
      </c>
      <c r="C16" s="0" t="n">
        <v>3</v>
      </c>
      <c r="D16" s="5" t="n">
        <f aca="false">SUMIFS('Src-E1-DEL-conv'!$C$3:$C$104,'Src-E1-DEL-conv'!$A$3:$A$104,A16,'Src-E1-DEL-conv'!$B$3:$B$104,B16)</f>
        <v>186.3</v>
      </c>
      <c r="E16" s="5" t="n">
        <f aca="false">SUMIFS('Src-C1-notes-conv'!$H$3:$H$19,'Src-C1-notes-conv'!$A$3:$A$19,A16,'Src-C1-notes-conv'!$B$3:$B$19,C16)</f>
        <v>186.3</v>
      </c>
      <c r="F16" s="5" t="n">
        <f aca="false">E16-D16</f>
        <v>0</v>
      </c>
    </row>
    <row r="17" customFormat="false" ht="15" hidden="false" customHeight="false" outlineLevel="0" collapsed="false">
      <c r="A17" s="0" t="s">
        <v>110</v>
      </c>
      <c r="B17" s="0" t="s">
        <v>111</v>
      </c>
      <c r="C17" s="0" t="n">
        <v>5</v>
      </c>
      <c r="D17" s="5" t="n">
        <f aca="false">SUMIFS('Src-E1-DEL-conv'!$C$3:$C$104,'Src-E1-DEL-conv'!$A$3:$A$104,A17,'Src-E1-DEL-conv'!$B$3:$B$104,B17)</f>
        <v>82.2</v>
      </c>
      <c r="E17" s="5" t="n">
        <f aca="false">SUMIFS('Src-C1-notes-conv'!$H$3:$H$19,'Src-C1-notes-conv'!$A$3:$A$19,A17,'Src-C1-notes-conv'!$B$3:$B$19,C17)</f>
        <v>82.2</v>
      </c>
      <c r="F17" s="5" t="n">
        <f aca="false">E17-D17</f>
        <v>0</v>
      </c>
    </row>
    <row r="18" customFormat="false" ht="15" hidden="false" customHeight="false" outlineLevel="0" collapsed="false">
      <c r="A18" s="0" t="s">
        <v>110</v>
      </c>
      <c r="B18" s="0" t="s">
        <v>112</v>
      </c>
      <c r="C18" s="0" t="n">
        <v>7</v>
      </c>
      <c r="D18" s="5" t="n">
        <f aca="false">SUMIFS('Src-E1-DEL-conv'!$C$3:$C$104,'Src-E1-DEL-conv'!$A$3:$A$104,A18,'Src-E1-DEL-conv'!$B$3:$B$104,B18)</f>
        <v>78.4</v>
      </c>
      <c r="E18" s="5" t="n">
        <f aca="false">SUMIFS('Src-C1-notes-conv'!$H$3:$H$19,'Src-C1-notes-conv'!$A$3:$A$19,A18,'Src-C1-notes-conv'!$B$3:$B$19,C18)</f>
        <v>78.4</v>
      </c>
      <c r="F18" s="5" t="n">
        <f aca="false">E18-D18</f>
        <v>0</v>
      </c>
    </row>
    <row r="19" customFormat="false" ht="15" hidden="false" customHeight="false" outlineLevel="0" collapsed="false">
      <c r="A19" s="0" t="s">
        <v>113</v>
      </c>
      <c r="B19" s="0" t="s">
        <v>114</v>
      </c>
      <c r="C19" s="0" t="n">
        <v>12</v>
      </c>
      <c r="D19" s="5" t="n">
        <f aca="false">SUMIFS('Src-E1-DEL-conv'!$C$3:$C$104,'Src-E1-DEL-conv'!$A$3:$A$104,A19,'Src-E1-DEL-conv'!$B$3:$B$104,B19)</f>
        <v>194.3</v>
      </c>
      <c r="E19" s="5" t="n">
        <f aca="false">SUMIFS('Src-C1-notes-conv'!$H$3:$H$19,'Src-C1-notes-conv'!$A$3:$A$19,A19,'Src-C1-notes-conv'!$B$3:$B$19,C19)</f>
        <v>194.3</v>
      </c>
      <c r="F19" s="5" t="n">
        <f aca="false">E19-D19</f>
        <v>0</v>
      </c>
    </row>
    <row r="20" customFormat="false" ht="15" hidden="false" customHeight="false" outlineLevel="0" collapsed="false">
      <c r="A20" s="9" t="s">
        <v>84</v>
      </c>
      <c r="B20" s="12"/>
      <c r="C20" s="9" t="n">
        <f aca="false">COUNTA(A4:A19)</f>
        <v>16</v>
      </c>
      <c r="D20" s="10" t="n">
        <f aca="false">SUM(D4:D19)</f>
        <v>1492.8</v>
      </c>
      <c r="E20" s="10" t="n">
        <f aca="false">SUM(E4:E19)</f>
        <v>1492.8</v>
      </c>
      <c r="F20" s="10" t="n">
        <f aca="false">SUM(F4:F19)</f>
        <v>0</v>
      </c>
    </row>
    <row r="22" customFormat="false" ht="15" hidden="false" customHeight="false" outlineLevel="0" collapsed="false">
      <c r="A22" s="0" t="s">
        <v>129</v>
      </c>
      <c r="D22" s="5" t="n">
        <f aca="false">SUMIF('Src-C1-notes-conv'!$D$3:$D$19,"0196",'Src-C1-notes-conv'!$F$3:$F$19)</f>
        <v>39</v>
      </c>
    </row>
    <row r="23" customFormat="false" ht="15" hidden="false" customHeight="false" outlineLevel="0" collapsed="false">
      <c r="A23" s="0" t="s">
        <v>130</v>
      </c>
      <c r="D23" s="5" t="n">
        <f aca="false">COUNTA('Src-E1-DEL-conv'!$C$3:$C$104)</f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3" t="s">
        <v>131</v>
      </c>
    </row>
    <row r="2" customFormat="false" ht="15" hidden="false" customHeight="false" outlineLevel="0" collapsed="false">
      <c r="A2" s="4" t="s">
        <v>26</v>
      </c>
      <c r="B2" s="4" t="s">
        <v>27</v>
      </c>
      <c r="C2" s="4" t="s">
        <v>29</v>
      </c>
      <c r="D2" s="4" t="s">
        <v>30</v>
      </c>
    </row>
    <row r="3" customFormat="false" ht="15" hidden="false" customHeight="false" outlineLevel="0" collapsed="false">
      <c r="A3" s="0" t="s">
        <v>132</v>
      </c>
      <c r="B3" s="0" t="s">
        <v>133</v>
      </c>
      <c r="C3" s="5" t="n">
        <v>8.3</v>
      </c>
      <c r="D3" s="0" t="n">
        <v>46319</v>
      </c>
    </row>
    <row r="4" customFormat="false" ht="15" hidden="false" customHeight="false" outlineLevel="0" collapsed="false">
      <c r="A4" s="0" t="s">
        <v>132</v>
      </c>
      <c r="B4" s="0" t="s">
        <v>133</v>
      </c>
      <c r="C4" s="5" t="n">
        <v>25.5</v>
      </c>
      <c r="D4" s="0" t="n">
        <v>46320</v>
      </c>
    </row>
    <row r="5" customFormat="false" ht="15" hidden="false" customHeight="false" outlineLevel="0" collapsed="false">
      <c r="A5" s="0" t="s">
        <v>132</v>
      </c>
      <c r="B5" s="0" t="s">
        <v>133</v>
      </c>
      <c r="C5" s="5" t="n">
        <v>4.2</v>
      </c>
      <c r="D5" s="0" t="n">
        <v>46321</v>
      </c>
    </row>
    <row r="6" customFormat="false" ht="15" hidden="false" customHeight="false" outlineLevel="0" collapsed="false">
      <c r="A6" s="0" t="s">
        <v>134</v>
      </c>
      <c r="B6" s="0" t="s">
        <v>135</v>
      </c>
      <c r="C6" s="5" t="n">
        <v>6.5</v>
      </c>
      <c r="D6" s="0" t="n">
        <v>46328</v>
      </c>
    </row>
    <row r="7" customFormat="false" ht="15" hidden="false" customHeight="false" outlineLevel="0" collapsed="false">
      <c r="A7" s="0" t="s">
        <v>134</v>
      </c>
      <c r="B7" s="0" t="s">
        <v>135</v>
      </c>
      <c r="C7" s="5" t="n">
        <v>4.4</v>
      </c>
      <c r="D7" s="0" t="n">
        <v>46329</v>
      </c>
    </row>
    <row r="8" customFormat="false" ht="15" hidden="false" customHeight="false" outlineLevel="0" collapsed="false">
      <c r="A8" s="0" t="s">
        <v>134</v>
      </c>
      <c r="B8" s="0" t="s">
        <v>135</v>
      </c>
      <c r="C8" s="5" t="n">
        <v>9</v>
      </c>
      <c r="D8" s="0" t="n">
        <v>46330</v>
      </c>
    </row>
    <row r="9" customFormat="false" ht="15" hidden="false" customHeight="false" outlineLevel="0" collapsed="false">
      <c r="A9" s="0" t="s">
        <v>134</v>
      </c>
      <c r="B9" s="0" t="s">
        <v>135</v>
      </c>
      <c r="C9" s="5" t="n">
        <v>32.2</v>
      </c>
      <c r="D9" s="0" t="n">
        <v>46331</v>
      </c>
    </row>
    <row r="10" customFormat="false" ht="15" hidden="false" customHeight="false" outlineLevel="0" collapsed="false">
      <c r="A10" s="0" t="s">
        <v>134</v>
      </c>
      <c r="B10" s="0" t="s">
        <v>135</v>
      </c>
      <c r="C10" s="5" t="n">
        <v>18.6</v>
      </c>
      <c r="D10" s="0" t="n">
        <v>46332</v>
      </c>
    </row>
    <row r="11" customFormat="false" ht="15" hidden="false" customHeight="false" outlineLevel="0" collapsed="false">
      <c r="A11" s="0" t="s">
        <v>134</v>
      </c>
      <c r="B11" s="0" t="s">
        <v>135</v>
      </c>
      <c r="C11" s="5" t="n">
        <v>17.4</v>
      </c>
      <c r="D11" s="0" t="n">
        <v>46333</v>
      </c>
    </row>
    <row r="12" customFormat="false" ht="15" hidden="false" customHeight="false" outlineLevel="0" collapsed="false">
      <c r="A12" s="0" t="s">
        <v>134</v>
      </c>
      <c r="B12" s="0" t="s">
        <v>135</v>
      </c>
      <c r="C12" s="5" t="n">
        <v>5.2</v>
      </c>
      <c r="D12" s="0" t="n">
        <v>46334</v>
      </c>
    </row>
    <row r="13" customFormat="false" ht="15" hidden="false" customHeight="false" outlineLevel="0" collapsed="false">
      <c r="A13" s="0" t="s">
        <v>134</v>
      </c>
      <c r="B13" s="0" t="s">
        <v>135</v>
      </c>
      <c r="C13" s="5" t="n">
        <v>4.8</v>
      </c>
      <c r="D13" s="0" t="n">
        <v>46335</v>
      </c>
    </row>
    <row r="14" customFormat="false" ht="15" hidden="false" customHeight="false" outlineLevel="0" collapsed="false">
      <c r="A14" s="0" t="s">
        <v>136</v>
      </c>
      <c r="B14" s="0" t="s">
        <v>137</v>
      </c>
      <c r="C14" s="5" t="n">
        <v>2.2</v>
      </c>
      <c r="D14" s="0" t="n">
        <v>46363</v>
      </c>
    </row>
    <row r="15" customFormat="false" ht="15" hidden="false" customHeight="false" outlineLevel="0" collapsed="false">
      <c r="A15" s="0" t="s">
        <v>136</v>
      </c>
      <c r="B15" s="0" t="s">
        <v>137</v>
      </c>
      <c r="C15" s="5" t="n">
        <v>9.3</v>
      </c>
      <c r="D15" s="0" t="n">
        <v>46364</v>
      </c>
    </row>
    <row r="16" customFormat="false" ht="15" hidden="false" customHeight="false" outlineLevel="0" collapsed="false">
      <c r="A16" s="0" t="s">
        <v>136</v>
      </c>
      <c r="B16" s="0" t="s">
        <v>137</v>
      </c>
      <c r="C16" s="5" t="n">
        <v>13</v>
      </c>
      <c r="D16" s="0" t="n">
        <v>46365</v>
      </c>
    </row>
    <row r="17" customFormat="false" ht="15" hidden="false" customHeight="false" outlineLevel="0" collapsed="false">
      <c r="A17" s="0" t="s">
        <v>136</v>
      </c>
      <c r="B17" s="0" t="s">
        <v>137</v>
      </c>
      <c r="C17" s="5" t="n">
        <v>18.6</v>
      </c>
      <c r="D17" s="0" t="n">
        <v>46366</v>
      </c>
    </row>
    <row r="18" customFormat="false" ht="15" hidden="false" customHeight="false" outlineLevel="0" collapsed="false">
      <c r="A18" s="0" t="s">
        <v>136</v>
      </c>
      <c r="B18" s="0" t="s">
        <v>137</v>
      </c>
      <c r="C18" s="5" t="n">
        <v>19</v>
      </c>
      <c r="D18" s="0" t="n">
        <v>46367</v>
      </c>
    </row>
    <row r="19" customFormat="false" ht="15" hidden="false" customHeight="false" outlineLevel="0" collapsed="false">
      <c r="A19" s="0" t="s">
        <v>136</v>
      </c>
      <c r="B19" s="0" t="s">
        <v>137</v>
      </c>
      <c r="C19" s="5" t="n">
        <v>5.9</v>
      </c>
      <c r="D19" s="0" t="n">
        <v>46368</v>
      </c>
    </row>
    <row r="20" customFormat="false" ht="15" hidden="false" customHeight="false" outlineLevel="0" collapsed="false">
      <c r="A20" s="0" t="s">
        <v>136</v>
      </c>
      <c r="B20" s="0" t="s">
        <v>137</v>
      </c>
      <c r="C20" s="5" t="n">
        <v>6.9</v>
      </c>
      <c r="D20" s="0" t="n">
        <v>46369</v>
      </c>
    </row>
    <row r="21" customFormat="false" ht="15" hidden="false" customHeight="false" outlineLevel="0" collapsed="false">
      <c r="A21" s="0" t="s">
        <v>136</v>
      </c>
      <c r="B21" s="0" t="s">
        <v>137</v>
      </c>
      <c r="C21" s="5" t="n">
        <v>6.9</v>
      </c>
      <c r="D21" s="0" t="n">
        <v>46370</v>
      </c>
    </row>
    <row r="22" customFormat="false" ht="15" hidden="false" customHeight="false" outlineLevel="0" collapsed="false">
      <c r="A22" s="0" t="s">
        <v>136</v>
      </c>
      <c r="B22" s="0" t="s">
        <v>137</v>
      </c>
      <c r="C22" s="5" t="n">
        <v>8.3</v>
      </c>
      <c r="D22" s="0" t="n">
        <v>46371</v>
      </c>
    </row>
    <row r="23" customFormat="false" ht="15" hidden="false" customHeight="false" outlineLevel="0" collapsed="false">
      <c r="A23" s="0" t="s">
        <v>138</v>
      </c>
      <c r="B23" s="0" t="s">
        <v>139</v>
      </c>
      <c r="C23" s="5" t="n">
        <v>8.8</v>
      </c>
      <c r="D23" s="0" t="n">
        <v>46882</v>
      </c>
    </row>
    <row r="24" customFormat="false" ht="15" hidden="false" customHeight="false" outlineLevel="0" collapsed="false">
      <c r="A24" s="0" t="s">
        <v>138</v>
      </c>
      <c r="B24" s="0" t="s">
        <v>139</v>
      </c>
      <c r="C24" s="5" t="n">
        <v>2.9</v>
      </c>
      <c r="D24" s="0" t="n">
        <v>46883</v>
      </c>
    </row>
    <row r="25" customFormat="false" ht="15" hidden="false" customHeight="false" outlineLevel="0" collapsed="false">
      <c r="A25" s="0" t="s">
        <v>138</v>
      </c>
      <c r="B25" s="0" t="s">
        <v>139</v>
      </c>
      <c r="C25" s="5" t="n">
        <v>17.8</v>
      </c>
      <c r="D25" s="0" t="n">
        <v>46884</v>
      </c>
    </row>
    <row r="26" customFormat="false" ht="15" hidden="false" customHeight="false" outlineLevel="0" collapsed="false">
      <c r="A26" s="0" t="s">
        <v>138</v>
      </c>
      <c r="B26" s="0" t="s">
        <v>139</v>
      </c>
      <c r="C26" s="5" t="n">
        <v>19.9</v>
      </c>
      <c r="D26" s="0" t="n">
        <v>46885</v>
      </c>
    </row>
    <row r="27" customFormat="false" ht="15" hidden="false" customHeight="false" outlineLevel="0" collapsed="false">
      <c r="A27" s="0" t="s">
        <v>138</v>
      </c>
      <c r="B27" s="0" t="s">
        <v>139</v>
      </c>
      <c r="C27" s="5" t="n">
        <v>9.6</v>
      </c>
      <c r="D27" s="0" t="n">
        <v>46886</v>
      </c>
    </row>
    <row r="28" customFormat="false" ht="15" hidden="false" customHeight="false" outlineLevel="0" collapsed="false">
      <c r="A28" s="0" t="s">
        <v>138</v>
      </c>
      <c r="B28" s="0" t="s">
        <v>139</v>
      </c>
      <c r="C28" s="5" t="n">
        <v>5.8</v>
      </c>
      <c r="D28" s="0" t="n">
        <v>46887</v>
      </c>
    </row>
    <row r="29" customFormat="false" ht="15" hidden="false" customHeight="false" outlineLevel="0" collapsed="false">
      <c r="A29" s="0" t="s">
        <v>140</v>
      </c>
      <c r="B29" s="0" t="s">
        <v>141</v>
      </c>
      <c r="C29" s="5" t="n">
        <v>8.9</v>
      </c>
      <c r="D29" s="0" t="n">
        <v>48438</v>
      </c>
    </row>
    <row r="30" customFormat="false" ht="15" hidden="false" customHeight="false" outlineLevel="0" collapsed="false">
      <c r="A30" s="0" t="s">
        <v>140</v>
      </c>
      <c r="B30" s="0" t="s">
        <v>141</v>
      </c>
      <c r="C30" s="5" t="n">
        <v>33.8</v>
      </c>
      <c r="D30" s="0" t="n">
        <v>48439</v>
      </c>
    </row>
    <row r="31" customFormat="false" ht="15" hidden="false" customHeight="false" outlineLevel="0" collapsed="false">
      <c r="A31" s="0" t="s">
        <v>140</v>
      </c>
      <c r="B31" s="0" t="s">
        <v>141</v>
      </c>
      <c r="C31" s="5" t="n">
        <v>28</v>
      </c>
      <c r="D31" s="0" t="n">
        <v>48440</v>
      </c>
    </row>
    <row r="32" customFormat="false" ht="15" hidden="false" customHeight="false" outlineLevel="0" collapsed="false">
      <c r="A32" s="0" t="s">
        <v>140</v>
      </c>
      <c r="B32" s="0" t="s">
        <v>141</v>
      </c>
      <c r="C32" s="5" t="n">
        <v>3.9</v>
      </c>
      <c r="D32" s="0" t="n">
        <v>48441</v>
      </c>
    </row>
    <row r="33" customFormat="false" ht="15" hidden="false" customHeight="false" outlineLevel="0" collapsed="false">
      <c r="A33" s="0" t="s">
        <v>142</v>
      </c>
      <c r="B33" s="0" t="s">
        <v>111</v>
      </c>
      <c r="C33" s="5" t="n">
        <v>2.2</v>
      </c>
      <c r="D33" s="0" t="n">
        <v>48670</v>
      </c>
    </row>
    <row r="34" customFormat="false" ht="15" hidden="false" customHeight="false" outlineLevel="0" collapsed="false">
      <c r="A34" s="0" t="s">
        <v>142</v>
      </c>
      <c r="B34" s="0" t="s">
        <v>111</v>
      </c>
      <c r="C34" s="5" t="n">
        <v>3.9</v>
      </c>
      <c r="D34" s="0" t="n">
        <v>48671</v>
      </c>
    </row>
    <row r="35" customFormat="false" ht="15" hidden="false" customHeight="false" outlineLevel="0" collapsed="false">
      <c r="A35" s="0" t="s">
        <v>142</v>
      </c>
      <c r="B35" s="0" t="s">
        <v>111</v>
      </c>
      <c r="C35" s="5" t="n">
        <v>17.9</v>
      </c>
      <c r="D35" s="0" t="n">
        <v>48672</v>
      </c>
    </row>
    <row r="36" customFormat="false" ht="15" hidden="false" customHeight="false" outlineLevel="0" collapsed="false">
      <c r="A36" s="0" t="s">
        <v>142</v>
      </c>
      <c r="B36" s="0" t="s">
        <v>111</v>
      </c>
      <c r="C36" s="5" t="n">
        <v>18.1</v>
      </c>
      <c r="D36" s="0" t="n">
        <v>48673</v>
      </c>
    </row>
    <row r="37" customFormat="false" ht="15" hidden="false" customHeight="false" outlineLevel="0" collapsed="false">
      <c r="A37" s="0" t="s">
        <v>142</v>
      </c>
      <c r="B37" s="0" t="s">
        <v>111</v>
      </c>
      <c r="C37" s="5" t="n">
        <v>9.9</v>
      </c>
      <c r="D37" s="0" t="n">
        <v>48674</v>
      </c>
    </row>
    <row r="38" customFormat="false" ht="15" hidden="false" customHeight="false" outlineLevel="0" collapsed="false">
      <c r="A38" s="0" t="s">
        <v>143</v>
      </c>
      <c r="B38" s="0" t="s">
        <v>144</v>
      </c>
      <c r="C38" s="5" t="n">
        <v>32.2</v>
      </c>
      <c r="D38" s="0" t="n">
        <v>48834</v>
      </c>
    </row>
    <row r="39" customFormat="false" ht="15" hidden="false" customHeight="false" outlineLevel="0" collapsed="false">
      <c r="A39" s="0" t="s">
        <v>143</v>
      </c>
      <c r="B39" s="0" t="s">
        <v>144</v>
      </c>
      <c r="C39" s="5" t="n">
        <v>15.8</v>
      </c>
      <c r="D39" s="0" t="n">
        <v>48835</v>
      </c>
    </row>
    <row r="40" customFormat="false" ht="15" hidden="false" customHeight="false" outlineLevel="0" collapsed="false">
      <c r="A40" s="0" t="s">
        <v>143</v>
      </c>
      <c r="B40" s="0" t="s">
        <v>144</v>
      </c>
      <c r="C40" s="5" t="n">
        <v>18.1</v>
      </c>
      <c r="D40" s="0" t="n">
        <v>48836</v>
      </c>
    </row>
    <row r="41" customFormat="false" ht="15" hidden="false" customHeight="false" outlineLevel="0" collapsed="false">
      <c r="A41" s="0" t="s">
        <v>143</v>
      </c>
      <c r="B41" s="0" t="s">
        <v>144</v>
      </c>
      <c r="C41" s="5" t="n">
        <v>19</v>
      </c>
      <c r="D41" s="0" t="n">
        <v>48837</v>
      </c>
    </row>
    <row r="42" customFormat="false" ht="15" hidden="false" customHeight="false" outlineLevel="0" collapsed="false">
      <c r="A42" s="0" t="s">
        <v>143</v>
      </c>
      <c r="B42" s="0" t="s">
        <v>144</v>
      </c>
      <c r="C42" s="5" t="n">
        <v>9.6</v>
      </c>
      <c r="D42" s="0" t="n">
        <v>48838</v>
      </c>
    </row>
    <row r="43" customFormat="false" ht="15" hidden="false" customHeight="false" outlineLevel="0" collapsed="false">
      <c r="A43" s="0" t="s">
        <v>143</v>
      </c>
      <c r="B43" s="0" t="s">
        <v>144</v>
      </c>
      <c r="C43" s="5" t="n">
        <v>90</v>
      </c>
      <c r="D43" s="0" t="n">
        <v>48839</v>
      </c>
    </row>
    <row r="44" customFormat="false" ht="15" hidden="false" customHeight="false" outlineLevel="0" collapsed="false">
      <c r="A44" s="0" t="s">
        <v>143</v>
      </c>
      <c r="B44" s="0" t="s">
        <v>144</v>
      </c>
      <c r="C44" s="5" t="n">
        <v>3.9</v>
      </c>
      <c r="D44" s="0" t="n">
        <v>48840</v>
      </c>
    </row>
    <row r="45" customFormat="false" ht="15" hidden="false" customHeight="false" outlineLevel="0" collapsed="false">
      <c r="A45" s="0" t="s">
        <v>143</v>
      </c>
      <c r="B45" s="0" t="s">
        <v>144</v>
      </c>
      <c r="C45" s="5" t="n">
        <v>4.8</v>
      </c>
      <c r="D45" s="0" t="n">
        <v>48841</v>
      </c>
    </row>
    <row r="46" customFormat="false" ht="15" hidden="false" customHeight="false" outlineLevel="0" collapsed="false">
      <c r="A46" s="0" t="s">
        <v>143</v>
      </c>
      <c r="B46" s="0" t="s">
        <v>144</v>
      </c>
      <c r="C46" s="5" t="n">
        <v>10.4</v>
      </c>
      <c r="D46" s="0" t="n">
        <v>48842</v>
      </c>
    </row>
    <row r="47" customFormat="false" ht="15" hidden="false" customHeight="false" outlineLevel="0" collapsed="false">
      <c r="A47" s="0" t="s">
        <v>145</v>
      </c>
      <c r="B47" s="0" t="s">
        <v>146</v>
      </c>
      <c r="C47" s="5" t="n">
        <v>2.5</v>
      </c>
      <c r="D47" s="0" t="n">
        <v>49012</v>
      </c>
    </row>
    <row r="48" customFormat="false" ht="15" hidden="false" customHeight="false" outlineLevel="0" collapsed="false">
      <c r="A48" s="0" t="s">
        <v>145</v>
      </c>
      <c r="B48" s="0" t="s">
        <v>146</v>
      </c>
      <c r="C48" s="5" t="n">
        <v>8.6</v>
      </c>
      <c r="D48" s="0" t="n">
        <v>49013</v>
      </c>
    </row>
    <row r="49" customFormat="false" ht="15" hidden="false" customHeight="false" outlineLevel="0" collapsed="false">
      <c r="A49" s="0" t="s">
        <v>145</v>
      </c>
      <c r="B49" s="0" t="s">
        <v>146</v>
      </c>
      <c r="C49" s="5" t="n">
        <v>4.8</v>
      </c>
      <c r="D49" s="0" t="n">
        <v>49014</v>
      </c>
    </row>
    <row r="50" customFormat="false" ht="15" hidden="false" customHeight="false" outlineLevel="0" collapsed="false">
      <c r="A50" s="0" t="s">
        <v>145</v>
      </c>
      <c r="B50" s="0" t="s">
        <v>146</v>
      </c>
      <c r="C50" s="5" t="n">
        <v>5.9</v>
      </c>
      <c r="D50" s="0" t="n">
        <v>49015</v>
      </c>
    </row>
    <row r="51" customFormat="false" ht="15" hidden="false" customHeight="false" outlineLevel="0" collapsed="false">
      <c r="A51" s="0" t="s">
        <v>145</v>
      </c>
      <c r="B51" s="0" t="s">
        <v>146</v>
      </c>
      <c r="C51" s="5" t="n">
        <v>5.9</v>
      </c>
      <c r="D51" s="0" t="n">
        <v>49016</v>
      </c>
    </row>
    <row r="52" customFormat="false" ht="15" hidden="false" customHeight="false" outlineLevel="0" collapsed="false">
      <c r="A52" s="0" t="s">
        <v>145</v>
      </c>
      <c r="B52" s="0" t="s">
        <v>146</v>
      </c>
      <c r="C52" s="5" t="n">
        <v>17.4</v>
      </c>
      <c r="D52" s="0" t="n">
        <v>49017</v>
      </c>
    </row>
    <row r="53" customFormat="false" ht="15" hidden="false" customHeight="false" outlineLevel="0" collapsed="false">
      <c r="A53" s="0" t="s">
        <v>145</v>
      </c>
      <c r="B53" s="0" t="s">
        <v>146</v>
      </c>
      <c r="C53" s="5" t="n">
        <v>19.6</v>
      </c>
      <c r="D53" s="0" t="n">
        <v>49018</v>
      </c>
    </row>
    <row r="54" customFormat="false" ht="15" hidden="false" customHeight="false" outlineLevel="0" collapsed="false">
      <c r="A54" s="0" t="s">
        <v>145</v>
      </c>
      <c r="B54" s="0" t="s">
        <v>146</v>
      </c>
      <c r="C54" s="5" t="n">
        <v>6.9</v>
      </c>
      <c r="D54" s="0" t="n">
        <v>49019</v>
      </c>
    </row>
    <row r="55" customFormat="false" ht="15" hidden="false" customHeight="false" outlineLevel="0" collapsed="false">
      <c r="A55" s="0" t="s">
        <v>147</v>
      </c>
      <c r="B55" s="0" t="s">
        <v>148</v>
      </c>
      <c r="C55" s="5" t="n">
        <v>7.3</v>
      </c>
      <c r="D55" s="0" t="n">
        <v>50044</v>
      </c>
    </row>
    <row r="56" customFormat="false" ht="15" hidden="false" customHeight="false" outlineLevel="0" collapsed="false">
      <c r="A56" s="0" t="s">
        <v>147</v>
      </c>
      <c r="B56" s="0" t="s">
        <v>148</v>
      </c>
      <c r="C56" s="5" t="n">
        <v>9.1</v>
      </c>
      <c r="D56" s="0" t="n">
        <v>50045</v>
      </c>
    </row>
    <row r="57" customFormat="false" ht="15" hidden="false" customHeight="false" outlineLevel="0" collapsed="false">
      <c r="A57" s="0" t="s">
        <v>147</v>
      </c>
      <c r="B57" s="0" t="s">
        <v>148</v>
      </c>
      <c r="C57" s="5" t="n">
        <v>18.6</v>
      </c>
      <c r="D57" s="0" t="n">
        <v>50046</v>
      </c>
    </row>
    <row r="58" customFormat="false" ht="15" hidden="false" customHeight="false" outlineLevel="0" collapsed="false">
      <c r="A58" s="0" t="s">
        <v>147</v>
      </c>
      <c r="B58" s="0" t="s">
        <v>148</v>
      </c>
      <c r="C58" s="5" t="n">
        <v>18.6</v>
      </c>
      <c r="D58" s="0" t="n">
        <v>50047</v>
      </c>
    </row>
    <row r="59" customFormat="false" ht="15" hidden="false" customHeight="false" outlineLevel="0" collapsed="false">
      <c r="A59" s="0" t="s">
        <v>147</v>
      </c>
      <c r="B59" s="0" t="s">
        <v>148</v>
      </c>
      <c r="C59" s="5" t="n">
        <v>7</v>
      </c>
      <c r="D59" s="0" t="n">
        <v>50048</v>
      </c>
    </row>
    <row r="60" customFormat="false" ht="15" hidden="false" customHeight="false" outlineLevel="0" collapsed="false">
      <c r="A60" s="0" t="s">
        <v>149</v>
      </c>
      <c r="B60" s="0" t="s">
        <v>150</v>
      </c>
      <c r="C60" s="5" t="n">
        <v>27.8</v>
      </c>
      <c r="D60" s="0" t="n">
        <v>50993</v>
      </c>
    </row>
    <row r="61" customFormat="false" ht="15" hidden="false" customHeight="false" outlineLevel="0" collapsed="false">
      <c r="A61" s="0" t="s">
        <v>149</v>
      </c>
      <c r="B61" s="0" t="s">
        <v>150</v>
      </c>
      <c r="C61" s="5" t="n">
        <v>16.9</v>
      </c>
      <c r="D61" s="0" t="n">
        <v>50994</v>
      </c>
    </row>
    <row r="62" customFormat="false" ht="15" hidden="false" customHeight="false" outlineLevel="0" collapsed="false">
      <c r="A62" s="0" t="s">
        <v>149</v>
      </c>
      <c r="B62" s="0" t="s">
        <v>150</v>
      </c>
      <c r="C62" s="5" t="n">
        <v>45</v>
      </c>
      <c r="D62" s="0" t="n">
        <v>50995</v>
      </c>
    </row>
    <row r="63" customFormat="false" ht="15" hidden="false" customHeight="false" outlineLevel="0" collapsed="false">
      <c r="A63" s="0" t="s">
        <v>149</v>
      </c>
      <c r="B63" s="0" t="s">
        <v>150</v>
      </c>
      <c r="C63" s="5" t="n">
        <v>4</v>
      </c>
      <c r="D63" s="0" t="n">
        <v>50996</v>
      </c>
    </row>
    <row r="64" customFormat="false" ht="15" hidden="false" customHeight="false" outlineLevel="0" collapsed="false">
      <c r="A64" s="0" t="s">
        <v>149</v>
      </c>
      <c r="B64" s="0" t="s">
        <v>150</v>
      </c>
      <c r="C64" s="5" t="n">
        <v>24</v>
      </c>
      <c r="D64" s="0" t="n">
        <v>50997</v>
      </c>
    </row>
    <row r="65" customFormat="false" ht="15" hidden="false" customHeight="false" outlineLevel="0" collapsed="false">
      <c r="A65" s="0" t="s">
        <v>149</v>
      </c>
      <c r="B65" s="0" t="s">
        <v>150</v>
      </c>
      <c r="C65" s="5" t="n">
        <v>5.9</v>
      </c>
      <c r="D65" s="0" t="n">
        <v>50998</v>
      </c>
    </row>
    <row r="66" customFormat="false" ht="15" hidden="false" customHeight="false" outlineLevel="0" collapsed="false">
      <c r="A66" s="0" t="s">
        <v>149</v>
      </c>
      <c r="B66" s="0" t="s">
        <v>150</v>
      </c>
      <c r="C66" s="5" t="n">
        <v>5.2</v>
      </c>
      <c r="D66" s="0" t="n">
        <v>50999</v>
      </c>
    </row>
    <row r="67" customFormat="false" ht="15" hidden="false" customHeight="false" outlineLevel="0" collapsed="false">
      <c r="A67" s="0" t="s">
        <v>151</v>
      </c>
      <c r="B67" s="0" t="s">
        <v>152</v>
      </c>
      <c r="C67" s="5" t="n">
        <v>2.2</v>
      </c>
      <c r="D67" s="0" t="n">
        <v>51497</v>
      </c>
    </row>
    <row r="68" customFormat="false" ht="15" hidden="false" customHeight="false" outlineLevel="0" collapsed="false">
      <c r="A68" s="0" t="s">
        <v>151</v>
      </c>
      <c r="B68" s="0" t="s">
        <v>152</v>
      </c>
      <c r="C68" s="5" t="n">
        <v>8.9</v>
      </c>
      <c r="D68" s="0" t="n">
        <v>51498</v>
      </c>
    </row>
    <row r="69" customFormat="false" ht="15" hidden="false" customHeight="false" outlineLevel="0" collapsed="false">
      <c r="A69" s="0" t="s">
        <v>151</v>
      </c>
      <c r="B69" s="0" t="s">
        <v>152</v>
      </c>
      <c r="C69" s="5" t="n">
        <v>3.5</v>
      </c>
      <c r="D69" s="0" t="n">
        <v>51499</v>
      </c>
    </row>
    <row r="70" customFormat="false" ht="15" hidden="false" customHeight="false" outlineLevel="0" collapsed="false">
      <c r="A70" s="0" t="s">
        <v>151</v>
      </c>
      <c r="B70" s="0" t="s">
        <v>152</v>
      </c>
      <c r="C70" s="5" t="n">
        <v>6.4</v>
      </c>
      <c r="D70" s="0" t="n">
        <v>51500</v>
      </c>
    </row>
    <row r="71" customFormat="false" ht="15" hidden="false" customHeight="false" outlineLevel="0" collapsed="false">
      <c r="A71" s="0" t="s">
        <v>151</v>
      </c>
      <c r="B71" s="0" t="s">
        <v>152</v>
      </c>
      <c r="C71" s="5" t="n">
        <v>15.6</v>
      </c>
      <c r="D71" s="0" t="n">
        <v>51501</v>
      </c>
    </row>
    <row r="72" customFormat="false" ht="15" hidden="false" customHeight="false" outlineLevel="0" collapsed="false">
      <c r="A72" s="0" t="s">
        <v>151</v>
      </c>
      <c r="B72" s="0" t="s">
        <v>152</v>
      </c>
      <c r="C72" s="5" t="n">
        <v>128</v>
      </c>
      <c r="D72" s="0" t="n">
        <v>51502</v>
      </c>
    </row>
    <row r="73" customFormat="false" ht="15" hidden="false" customHeight="false" outlineLevel="0" collapsed="false">
      <c r="A73" s="0" t="s">
        <v>151</v>
      </c>
      <c r="B73" s="0" t="s">
        <v>152</v>
      </c>
      <c r="C73" s="5" t="n">
        <v>17.4</v>
      </c>
      <c r="D73" s="0" t="n">
        <v>51503</v>
      </c>
    </row>
    <row r="74" customFormat="false" ht="15" hidden="false" customHeight="false" outlineLevel="0" collapsed="false">
      <c r="A74" s="0" t="s">
        <v>151</v>
      </c>
      <c r="B74" s="0" t="s">
        <v>152</v>
      </c>
      <c r="C74" s="5" t="n">
        <v>4.8</v>
      </c>
      <c r="D74" s="0" t="n">
        <v>51504</v>
      </c>
    </row>
    <row r="75" customFormat="false" ht="15" hidden="false" customHeight="false" outlineLevel="0" collapsed="false">
      <c r="A75" s="0" t="s">
        <v>151</v>
      </c>
      <c r="B75" s="0" t="s">
        <v>152</v>
      </c>
      <c r="C75" s="5" t="n">
        <v>2.2</v>
      </c>
      <c r="D75" s="0" t="n">
        <v>51505</v>
      </c>
    </row>
    <row r="76" customFormat="false" ht="15" hidden="false" customHeight="false" outlineLevel="0" collapsed="false">
      <c r="A76" s="0" t="s">
        <v>151</v>
      </c>
      <c r="B76" s="0" t="s">
        <v>152</v>
      </c>
      <c r="C76" s="5" t="n">
        <v>4</v>
      </c>
      <c r="D76" s="0" t="n">
        <v>51506</v>
      </c>
    </row>
    <row r="77" customFormat="false" ht="15" hidden="false" customHeight="false" outlineLevel="0" collapsed="false">
      <c r="A77" s="0" t="s">
        <v>151</v>
      </c>
      <c r="B77" s="0" t="s">
        <v>152</v>
      </c>
      <c r="C77" s="5" t="n">
        <v>6.5</v>
      </c>
      <c r="D77" s="0" t="n">
        <v>51507</v>
      </c>
    </row>
    <row r="78" customFormat="false" ht="15" hidden="false" customHeight="false" outlineLevel="0" collapsed="false">
      <c r="A78" s="0" t="s">
        <v>151</v>
      </c>
      <c r="B78" s="0" t="s">
        <v>152</v>
      </c>
      <c r="C78" s="5" t="n">
        <v>9</v>
      </c>
      <c r="D78" s="0" t="n">
        <v>51508</v>
      </c>
    </row>
    <row r="79" customFormat="false" ht="15" hidden="false" customHeight="false" outlineLevel="0" collapsed="false">
      <c r="A79" s="0" t="s">
        <v>153</v>
      </c>
      <c r="B79" s="0" t="s">
        <v>154</v>
      </c>
      <c r="C79" s="5" t="n">
        <v>2.2</v>
      </c>
      <c r="D79" s="0" t="n">
        <v>51634</v>
      </c>
    </row>
    <row r="80" customFormat="false" ht="15" hidden="false" customHeight="false" outlineLevel="0" collapsed="false">
      <c r="A80" s="0" t="s">
        <v>153</v>
      </c>
      <c r="B80" s="0" t="s">
        <v>154</v>
      </c>
      <c r="C80" s="5" t="n">
        <v>18.6</v>
      </c>
      <c r="D80" s="0" t="n">
        <v>51635</v>
      </c>
    </row>
    <row r="81" customFormat="false" ht="15" hidden="false" customHeight="false" outlineLevel="0" collapsed="false">
      <c r="A81" s="0" t="s">
        <v>153</v>
      </c>
      <c r="B81" s="0" t="s">
        <v>154</v>
      </c>
      <c r="C81" s="5" t="n">
        <v>27.8</v>
      </c>
      <c r="D81" s="0" t="n">
        <v>51636</v>
      </c>
    </row>
    <row r="82" customFormat="false" ht="15" hidden="false" customHeight="false" outlineLevel="0" collapsed="false">
      <c r="A82" s="0" t="s">
        <v>153</v>
      </c>
      <c r="B82" s="0" t="s">
        <v>154</v>
      </c>
      <c r="C82" s="5" t="n">
        <v>16</v>
      </c>
      <c r="D82" s="0" t="n">
        <v>51637</v>
      </c>
    </row>
    <row r="83" customFormat="false" ht="15" hidden="false" customHeight="false" outlineLevel="0" collapsed="false">
      <c r="A83" s="0" t="s">
        <v>155</v>
      </c>
      <c r="B83" s="0" t="s">
        <v>156</v>
      </c>
      <c r="C83" s="5" t="n">
        <v>6.5</v>
      </c>
      <c r="D83" s="0" t="n">
        <v>51794</v>
      </c>
    </row>
    <row r="84" customFormat="false" ht="15" hidden="false" customHeight="false" outlineLevel="0" collapsed="false">
      <c r="A84" s="0" t="s">
        <v>155</v>
      </c>
      <c r="B84" s="0" t="s">
        <v>156</v>
      </c>
      <c r="C84" s="5" t="n">
        <v>6.6</v>
      </c>
      <c r="D84" s="0" t="n">
        <v>51795</v>
      </c>
    </row>
    <row r="85" customFormat="false" ht="15" hidden="false" customHeight="false" outlineLevel="0" collapsed="false">
      <c r="A85" s="0" t="s">
        <v>155</v>
      </c>
      <c r="B85" s="0" t="s">
        <v>156</v>
      </c>
      <c r="C85" s="5" t="n">
        <v>5.5</v>
      </c>
      <c r="D85" s="0" t="n">
        <v>51796</v>
      </c>
    </row>
    <row r="86" customFormat="false" ht="15" hidden="false" customHeight="false" outlineLevel="0" collapsed="false">
      <c r="A86" s="0" t="s">
        <v>155</v>
      </c>
      <c r="B86" s="0" t="s">
        <v>156</v>
      </c>
      <c r="C86" s="5" t="n">
        <v>7.1</v>
      </c>
      <c r="D86" s="0" t="n">
        <v>51797</v>
      </c>
    </row>
    <row r="87" customFormat="false" ht="15" hidden="false" customHeight="false" outlineLevel="0" collapsed="false">
      <c r="A87" s="0" t="s">
        <v>155</v>
      </c>
      <c r="B87" s="0" t="s">
        <v>156</v>
      </c>
      <c r="C87" s="5" t="n">
        <v>7.9</v>
      </c>
      <c r="D87" s="0" t="n">
        <v>51798</v>
      </c>
    </row>
    <row r="88" customFormat="false" ht="15" hidden="false" customHeight="false" outlineLevel="0" collapsed="false">
      <c r="A88" s="0" t="s">
        <v>155</v>
      </c>
      <c r="B88" s="0" t="s">
        <v>156</v>
      </c>
      <c r="C88" s="5" t="n">
        <v>15.9</v>
      </c>
      <c r="D88" s="0" t="n">
        <v>51799</v>
      </c>
    </row>
    <row r="89" customFormat="false" ht="15" hidden="false" customHeight="false" outlineLevel="0" collapsed="false">
      <c r="A89" s="0" t="s">
        <v>155</v>
      </c>
      <c r="B89" s="0" t="s">
        <v>156</v>
      </c>
      <c r="C89" s="5" t="n">
        <v>2.5</v>
      </c>
      <c r="D89" s="0" t="n">
        <v>51800</v>
      </c>
    </row>
    <row r="90" customFormat="false" ht="15" hidden="false" customHeight="false" outlineLevel="0" collapsed="false">
      <c r="A90" s="0" t="s">
        <v>155</v>
      </c>
      <c r="B90" s="0" t="s">
        <v>156</v>
      </c>
      <c r="C90" s="5" t="n">
        <v>4.9</v>
      </c>
      <c r="D90" s="0" t="n">
        <v>51801</v>
      </c>
    </row>
    <row r="91" customFormat="false" ht="15" hidden="false" customHeight="false" outlineLevel="0" collapsed="false">
      <c r="A91" s="0" t="s">
        <v>155</v>
      </c>
      <c r="B91" s="0" t="s">
        <v>156</v>
      </c>
      <c r="C91" s="5" t="n">
        <v>32.2</v>
      </c>
      <c r="D91" s="0" t="n">
        <v>51802</v>
      </c>
    </row>
    <row r="92" customFormat="false" ht="15" hidden="false" customHeight="false" outlineLevel="0" collapsed="false">
      <c r="A92" s="0" t="s">
        <v>155</v>
      </c>
      <c r="B92" s="0" t="s">
        <v>156</v>
      </c>
      <c r="C92" s="5" t="n">
        <v>28</v>
      </c>
      <c r="D92" s="0" t="n">
        <v>51803</v>
      </c>
    </row>
    <row r="93" customFormat="false" ht="15" hidden="false" customHeight="false" outlineLevel="0" collapsed="false">
      <c r="A93" s="0" t="s">
        <v>155</v>
      </c>
      <c r="B93" s="0" t="s">
        <v>156</v>
      </c>
      <c r="C93" s="5" t="n">
        <v>37.2</v>
      </c>
      <c r="D93" s="0" t="n">
        <v>51804</v>
      </c>
    </row>
    <row r="94" customFormat="false" ht="15" hidden="false" customHeight="false" outlineLevel="0" collapsed="false">
      <c r="A94" s="0" t="s">
        <v>155</v>
      </c>
      <c r="B94" s="0" t="s">
        <v>156</v>
      </c>
      <c r="C94" s="5" t="n">
        <v>5.9</v>
      </c>
      <c r="D94" s="0" t="n">
        <v>51805</v>
      </c>
    </row>
    <row r="95" customFormat="false" ht="15" hidden="false" customHeight="false" outlineLevel="0" collapsed="false">
      <c r="A95" s="0" t="s">
        <v>155</v>
      </c>
      <c r="B95" s="0" t="s">
        <v>156</v>
      </c>
      <c r="C95" s="5" t="n">
        <v>51.8</v>
      </c>
      <c r="D95" s="0" t="n">
        <v>51806</v>
      </c>
    </row>
    <row r="96" customFormat="false" ht="15" hidden="false" customHeight="false" outlineLevel="0" collapsed="false">
      <c r="A96" s="0" t="s">
        <v>155</v>
      </c>
      <c r="B96" s="0" t="s">
        <v>156</v>
      </c>
      <c r="C96" s="5" t="n">
        <v>19.9</v>
      </c>
      <c r="D96" s="0" t="n">
        <v>51807</v>
      </c>
    </row>
    <row r="97" customFormat="false" ht="15" hidden="false" customHeight="false" outlineLevel="0" collapsed="false">
      <c r="A97" s="0" t="s">
        <v>155</v>
      </c>
      <c r="B97" s="0" t="s">
        <v>156</v>
      </c>
      <c r="C97" s="5" t="n">
        <v>4.2</v>
      </c>
      <c r="D97" s="0" t="n">
        <v>51808</v>
      </c>
    </row>
    <row r="98" customFormat="false" ht="15" hidden="false" customHeight="false" outlineLevel="0" collapsed="false">
      <c r="A98" s="0" t="s">
        <v>155</v>
      </c>
      <c r="B98" s="0" t="s">
        <v>156</v>
      </c>
      <c r="C98" s="5" t="n">
        <v>4.2</v>
      </c>
      <c r="D98" s="0" t="n">
        <v>51809</v>
      </c>
    </row>
    <row r="99" customFormat="false" ht="15" hidden="false" customHeight="false" outlineLevel="0" collapsed="false">
      <c r="A99" s="0" t="s">
        <v>155</v>
      </c>
      <c r="B99" s="0" t="s">
        <v>156</v>
      </c>
      <c r="C99" s="5" t="n">
        <v>7.5</v>
      </c>
      <c r="D99" s="0" t="n">
        <v>51810</v>
      </c>
    </row>
    <row r="100" customFormat="false" ht="15" hidden="false" customHeight="false" outlineLevel="0" collapsed="false">
      <c r="A100" s="0" t="s">
        <v>157</v>
      </c>
      <c r="B100" s="0" t="s">
        <v>158</v>
      </c>
      <c r="C100" s="5" t="n">
        <v>8.8</v>
      </c>
      <c r="D100" s="0" t="n">
        <v>51905</v>
      </c>
    </row>
    <row r="101" customFormat="false" ht="15" hidden="false" customHeight="false" outlineLevel="0" collapsed="false">
      <c r="A101" s="0" t="s">
        <v>157</v>
      </c>
      <c r="B101" s="0" t="s">
        <v>158</v>
      </c>
      <c r="C101" s="5" t="n">
        <v>7.9</v>
      </c>
      <c r="D101" s="0" t="n">
        <v>51906</v>
      </c>
    </row>
    <row r="102" customFormat="false" ht="15" hidden="false" customHeight="false" outlineLevel="0" collapsed="false">
      <c r="A102" s="0" t="s">
        <v>157</v>
      </c>
      <c r="B102" s="0" t="s">
        <v>158</v>
      </c>
      <c r="C102" s="5" t="n">
        <v>8.9</v>
      </c>
      <c r="D102" s="0" t="n">
        <v>51907</v>
      </c>
    </row>
    <row r="103" customFormat="false" ht="15" hidden="false" customHeight="false" outlineLevel="0" collapsed="false">
      <c r="A103" s="0" t="s">
        <v>157</v>
      </c>
      <c r="B103" s="0" t="s">
        <v>158</v>
      </c>
      <c r="C103" s="5" t="n">
        <v>6.4</v>
      </c>
      <c r="D103" s="0" t="n">
        <v>51908</v>
      </c>
    </row>
    <row r="104" customFormat="false" ht="15" hidden="false" customHeight="false" outlineLevel="0" collapsed="false">
      <c r="A104" s="0" t="s">
        <v>157</v>
      </c>
      <c r="B104" s="0" t="s">
        <v>158</v>
      </c>
      <c r="C104" s="5" t="n">
        <v>9.8</v>
      </c>
      <c r="D104" s="0" t="n">
        <v>51909</v>
      </c>
    </row>
    <row r="105" customFormat="false" ht="15" hidden="false" customHeight="false" outlineLevel="0" collapsed="false">
      <c r="A105" s="0" t="s">
        <v>157</v>
      </c>
      <c r="B105" s="0" t="s">
        <v>158</v>
      </c>
      <c r="C105" s="5" t="n">
        <v>18.6</v>
      </c>
      <c r="D105" s="0" t="n">
        <v>51910</v>
      </c>
    </row>
    <row r="106" customFormat="false" ht="15" hidden="false" customHeight="false" outlineLevel="0" collapsed="false">
      <c r="A106" s="0" t="s">
        <v>157</v>
      </c>
      <c r="B106" s="0" t="s">
        <v>158</v>
      </c>
      <c r="C106" s="5" t="n">
        <v>18.6</v>
      </c>
      <c r="D106" s="0" t="n">
        <v>51911</v>
      </c>
    </row>
    <row r="107" customFormat="false" ht="15" hidden="false" customHeight="false" outlineLevel="0" collapsed="false">
      <c r="A107" s="0" t="s">
        <v>157</v>
      </c>
      <c r="B107" s="0" t="s">
        <v>158</v>
      </c>
      <c r="C107" s="5" t="n">
        <v>55.8</v>
      </c>
      <c r="D107" s="0" t="n">
        <v>51912</v>
      </c>
    </row>
    <row r="108" customFormat="false" ht="15" hidden="false" customHeight="false" outlineLevel="0" collapsed="false">
      <c r="A108" s="0" t="s">
        <v>157</v>
      </c>
      <c r="B108" s="0" t="s">
        <v>158</v>
      </c>
      <c r="C108" s="5" t="n">
        <v>6.9</v>
      </c>
      <c r="D108" s="0" t="n">
        <v>51913</v>
      </c>
    </row>
    <row r="109" customFormat="false" ht="15" hidden="false" customHeight="false" outlineLevel="0" collapsed="false">
      <c r="A109" s="0" t="s">
        <v>157</v>
      </c>
      <c r="B109" s="0" t="s">
        <v>158</v>
      </c>
      <c r="C109" s="5" t="n">
        <v>11.8</v>
      </c>
      <c r="D109" s="0" t="n">
        <v>51914</v>
      </c>
    </row>
    <row r="110" customFormat="false" ht="15" hidden="false" customHeight="false" outlineLevel="0" collapsed="false">
      <c r="A110" s="0" t="s">
        <v>157</v>
      </c>
      <c r="B110" s="0" t="s">
        <v>158</v>
      </c>
      <c r="C110" s="5" t="n">
        <v>4.2</v>
      </c>
      <c r="D110" s="0" t="n">
        <v>51915</v>
      </c>
    </row>
    <row r="111" customFormat="false" ht="15" hidden="false" customHeight="false" outlineLevel="0" collapsed="false">
      <c r="A111" s="0" t="s">
        <v>157</v>
      </c>
      <c r="B111" s="0" t="s">
        <v>158</v>
      </c>
      <c r="C111" s="5" t="n">
        <v>4.2</v>
      </c>
      <c r="D111" s="0" t="n">
        <v>51916</v>
      </c>
    </row>
    <row r="112" customFormat="false" ht="15" hidden="false" customHeight="false" outlineLevel="0" collapsed="false">
      <c r="A112" s="0" t="s">
        <v>157</v>
      </c>
      <c r="B112" s="0" t="s">
        <v>159</v>
      </c>
      <c r="C112" s="5" t="n">
        <v>3.4</v>
      </c>
      <c r="D112" s="0" t="n">
        <v>51917</v>
      </c>
    </row>
    <row r="113" customFormat="false" ht="15" hidden="false" customHeight="false" outlineLevel="0" collapsed="false">
      <c r="A113" s="0" t="s">
        <v>157</v>
      </c>
      <c r="B113" s="0" t="s">
        <v>159</v>
      </c>
      <c r="C113" s="5" t="n">
        <v>19.4</v>
      </c>
      <c r="D113" s="0" t="n">
        <v>51918</v>
      </c>
    </row>
    <row r="114" customFormat="false" ht="15" hidden="false" customHeight="false" outlineLevel="0" collapsed="false">
      <c r="A114" s="0" t="s">
        <v>157</v>
      </c>
      <c r="B114" s="0" t="s">
        <v>159</v>
      </c>
      <c r="C114" s="5" t="n">
        <v>68</v>
      </c>
      <c r="D114" s="0" t="n">
        <v>51919</v>
      </c>
    </row>
    <row r="115" customFormat="false" ht="15" hidden="false" customHeight="false" outlineLevel="0" collapsed="false">
      <c r="A115" s="0" t="s">
        <v>160</v>
      </c>
      <c r="B115" s="0" t="s">
        <v>70</v>
      </c>
      <c r="C115" s="5" t="n">
        <v>4.4</v>
      </c>
      <c r="D115" s="0" t="n">
        <v>51931</v>
      </c>
    </row>
    <row r="116" customFormat="false" ht="15" hidden="false" customHeight="false" outlineLevel="0" collapsed="false">
      <c r="A116" s="0" t="s">
        <v>160</v>
      </c>
      <c r="B116" s="0" t="s">
        <v>70</v>
      </c>
      <c r="C116" s="5" t="n">
        <v>8.9</v>
      </c>
      <c r="D116" s="0" t="n">
        <v>51932</v>
      </c>
    </row>
    <row r="117" customFormat="false" ht="15" hidden="false" customHeight="false" outlineLevel="0" collapsed="false">
      <c r="A117" s="0" t="s">
        <v>160</v>
      </c>
      <c r="B117" s="0" t="s">
        <v>70</v>
      </c>
      <c r="C117" s="5" t="n">
        <v>3.9</v>
      </c>
      <c r="D117" s="0" t="n">
        <v>51933</v>
      </c>
    </row>
    <row r="118" customFormat="false" ht="15" hidden="false" customHeight="false" outlineLevel="0" collapsed="false">
      <c r="A118" s="0" t="s">
        <v>160</v>
      </c>
      <c r="B118" s="0" t="s">
        <v>70</v>
      </c>
      <c r="C118" s="5" t="n">
        <v>33.8</v>
      </c>
      <c r="D118" s="0" t="n">
        <v>51934</v>
      </c>
    </row>
    <row r="119" customFormat="false" ht="15" hidden="false" customHeight="false" outlineLevel="0" collapsed="false">
      <c r="A119" s="0" t="s">
        <v>160</v>
      </c>
      <c r="B119" s="0" t="s">
        <v>70</v>
      </c>
      <c r="C119" s="5" t="n">
        <v>4</v>
      </c>
      <c r="D119" s="0" t="n">
        <v>51935</v>
      </c>
    </row>
    <row r="120" customFormat="false" ht="15" hidden="false" customHeight="false" outlineLevel="0" collapsed="false">
      <c r="A120" s="0" t="s">
        <v>160</v>
      </c>
      <c r="B120" s="0" t="s">
        <v>70</v>
      </c>
      <c r="C120" s="5" t="n">
        <v>6.9</v>
      </c>
      <c r="D120" s="0" t="n">
        <v>51936</v>
      </c>
    </row>
    <row r="121" customFormat="false" ht="15" hidden="false" customHeight="false" outlineLevel="0" collapsed="false">
      <c r="A121" s="0" t="s">
        <v>160</v>
      </c>
      <c r="B121" s="0" t="s">
        <v>70</v>
      </c>
      <c r="C121" s="5" t="n">
        <v>7.9</v>
      </c>
      <c r="D121" s="0" t="n">
        <v>51937</v>
      </c>
    </row>
    <row r="122" customFormat="false" ht="15" hidden="false" customHeight="false" outlineLevel="0" collapsed="false">
      <c r="A122" s="0" t="s">
        <v>160</v>
      </c>
      <c r="B122" s="0" t="s">
        <v>70</v>
      </c>
      <c r="C122" s="5" t="n">
        <v>9.5</v>
      </c>
      <c r="D122" s="0" t="n">
        <v>51938</v>
      </c>
    </row>
    <row r="123" customFormat="false" ht="15" hidden="false" customHeight="false" outlineLevel="0" collapsed="false">
      <c r="A123" s="0" t="s">
        <v>161</v>
      </c>
      <c r="B123" s="0" t="s">
        <v>162</v>
      </c>
      <c r="C123" s="5" t="n">
        <v>6.5</v>
      </c>
      <c r="D123" s="0" t="n">
        <v>51984</v>
      </c>
    </row>
    <row r="124" customFormat="false" ht="15" hidden="false" customHeight="false" outlineLevel="0" collapsed="false">
      <c r="A124" s="0" t="s">
        <v>161</v>
      </c>
      <c r="B124" s="0" t="s">
        <v>162</v>
      </c>
      <c r="C124" s="5" t="n">
        <v>6.5</v>
      </c>
      <c r="D124" s="0" t="n">
        <v>51985</v>
      </c>
    </row>
    <row r="125" customFormat="false" ht="15" hidden="false" customHeight="false" outlineLevel="0" collapsed="false">
      <c r="A125" s="0" t="s">
        <v>161</v>
      </c>
      <c r="B125" s="0" t="s">
        <v>162</v>
      </c>
      <c r="C125" s="5" t="n">
        <v>11.8</v>
      </c>
      <c r="D125" s="0" t="n">
        <v>51986</v>
      </c>
    </row>
    <row r="126" customFormat="false" ht="15" hidden="false" customHeight="false" outlineLevel="0" collapsed="false">
      <c r="A126" s="0" t="s">
        <v>161</v>
      </c>
      <c r="B126" s="0" t="s">
        <v>162</v>
      </c>
      <c r="C126" s="5" t="n">
        <v>12.4</v>
      </c>
      <c r="D126" s="0" t="n">
        <v>51987</v>
      </c>
    </row>
    <row r="127" customFormat="false" ht="15" hidden="false" customHeight="false" outlineLevel="0" collapsed="false">
      <c r="A127" s="0" t="s">
        <v>161</v>
      </c>
      <c r="B127" s="0" t="s">
        <v>162</v>
      </c>
      <c r="C127" s="5" t="n">
        <v>7.9</v>
      </c>
      <c r="D127" s="0" t="n">
        <v>51988</v>
      </c>
    </row>
    <row r="128" customFormat="false" ht="15" hidden="false" customHeight="false" outlineLevel="0" collapsed="false">
      <c r="A128" s="0" t="s">
        <v>161</v>
      </c>
      <c r="B128" s="0" t="s">
        <v>162</v>
      </c>
      <c r="C128" s="5" t="n">
        <v>19</v>
      </c>
      <c r="D128" s="0" t="n">
        <v>51989</v>
      </c>
    </row>
    <row r="129" customFormat="false" ht="15" hidden="false" customHeight="false" outlineLevel="0" collapsed="false">
      <c r="A129" s="0" t="s">
        <v>161</v>
      </c>
      <c r="B129" s="0" t="s">
        <v>162</v>
      </c>
      <c r="C129" s="5" t="n">
        <v>55.6</v>
      </c>
      <c r="D129" s="0" t="n">
        <v>51990</v>
      </c>
    </row>
    <row r="130" customFormat="false" ht="15" hidden="false" customHeight="false" outlineLevel="0" collapsed="false">
      <c r="A130" s="0" t="s">
        <v>161</v>
      </c>
      <c r="B130" s="0" t="s">
        <v>162</v>
      </c>
      <c r="C130" s="5" t="n">
        <v>38</v>
      </c>
      <c r="D130" s="0" t="n">
        <v>51991</v>
      </c>
    </row>
    <row r="131" customFormat="false" ht="15" hidden="false" customHeight="false" outlineLevel="0" collapsed="false">
      <c r="A131" s="0" t="s">
        <v>161</v>
      </c>
      <c r="B131" s="0" t="s">
        <v>162</v>
      </c>
      <c r="C131" s="5" t="n">
        <v>12</v>
      </c>
      <c r="D131" s="0" t="n">
        <v>51992</v>
      </c>
    </row>
    <row r="132" customFormat="false" ht="15" hidden="false" customHeight="false" outlineLevel="0" collapsed="false">
      <c r="A132" s="0" t="s">
        <v>161</v>
      </c>
      <c r="B132" s="0" t="s">
        <v>162</v>
      </c>
      <c r="C132" s="5" t="n">
        <v>8.4</v>
      </c>
      <c r="D132" s="0" t="n">
        <v>51993</v>
      </c>
    </row>
    <row r="133" customFormat="false" ht="15" hidden="false" customHeight="false" outlineLevel="0" collapsed="false">
      <c r="A133" s="0" t="s">
        <v>161</v>
      </c>
      <c r="B133" s="0" t="s">
        <v>163</v>
      </c>
      <c r="C133" s="5" t="n">
        <v>2.5</v>
      </c>
      <c r="D133" s="0" t="n">
        <v>51994</v>
      </c>
    </row>
    <row r="134" customFormat="false" ht="15" hidden="false" customHeight="false" outlineLevel="0" collapsed="false">
      <c r="A134" s="0" t="s">
        <v>161</v>
      </c>
      <c r="B134" s="0" t="s">
        <v>163</v>
      </c>
      <c r="C134" s="5" t="n">
        <v>4.9</v>
      </c>
      <c r="D134" s="0" t="n">
        <v>51995</v>
      </c>
    </row>
    <row r="135" customFormat="false" ht="15" hidden="false" customHeight="false" outlineLevel="0" collapsed="false">
      <c r="A135" s="0" t="s">
        <v>161</v>
      </c>
      <c r="B135" s="0" t="s">
        <v>163</v>
      </c>
      <c r="C135" s="5" t="n">
        <v>28.6</v>
      </c>
      <c r="D135" s="0" t="n">
        <v>51996</v>
      </c>
    </row>
    <row r="136" customFormat="false" ht="15" hidden="false" customHeight="false" outlineLevel="0" collapsed="false">
      <c r="A136" s="0" t="s">
        <v>161</v>
      </c>
      <c r="B136" s="0" t="s">
        <v>163</v>
      </c>
      <c r="C136" s="5" t="n">
        <v>45</v>
      </c>
      <c r="D136" s="0" t="n">
        <v>51997</v>
      </c>
    </row>
    <row r="137" customFormat="false" ht="15" hidden="false" customHeight="false" outlineLevel="0" collapsed="false">
      <c r="A137" s="0" t="s">
        <v>161</v>
      </c>
      <c r="B137" s="0" t="s">
        <v>163</v>
      </c>
      <c r="C137" s="5" t="n">
        <v>9.5</v>
      </c>
      <c r="D137" s="0" t="n">
        <v>51998</v>
      </c>
    </row>
    <row r="138" customFormat="false" ht="15" hidden="false" customHeight="false" outlineLevel="0" collapsed="false">
      <c r="A138" s="0" t="s">
        <v>161</v>
      </c>
      <c r="B138" s="0" t="s">
        <v>163</v>
      </c>
      <c r="C138" s="5" t="n">
        <v>5.9</v>
      </c>
      <c r="D138" s="0" t="n">
        <v>51999</v>
      </c>
    </row>
    <row r="139" customFormat="false" ht="15" hidden="false" customHeight="false" outlineLevel="0" collapsed="false">
      <c r="A139" s="0" t="s">
        <v>161</v>
      </c>
      <c r="B139" s="0" t="s">
        <v>163</v>
      </c>
      <c r="C139" s="5" t="n">
        <v>5.9</v>
      </c>
      <c r="D139" s="0" t="n">
        <v>52000</v>
      </c>
    </row>
    <row r="140" customFormat="false" ht="15" hidden="false" customHeight="false" outlineLevel="0" collapsed="false">
      <c r="A140" s="0" t="s">
        <v>164</v>
      </c>
      <c r="B140" s="0" t="s">
        <v>165</v>
      </c>
      <c r="C140" s="5" t="n">
        <v>39.5</v>
      </c>
      <c r="D140" s="0" t="n">
        <v>52130</v>
      </c>
    </row>
    <row r="141" customFormat="false" ht="15" hidden="false" customHeight="false" outlineLevel="0" collapsed="false">
      <c r="A141" s="0" t="s">
        <v>164</v>
      </c>
      <c r="B141" s="0" t="s">
        <v>165</v>
      </c>
      <c r="C141" s="5" t="n">
        <v>55.8</v>
      </c>
      <c r="D141" s="0" t="n">
        <v>52131</v>
      </c>
    </row>
    <row r="142" customFormat="false" ht="15" hidden="false" customHeight="false" outlineLevel="0" collapsed="false">
      <c r="A142" s="0" t="s">
        <v>164</v>
      </c>
      <c r="B142" s="0" t="s">
        <v>165</v>
      </c>
      <c r="C142" s="5" t="n">
        <v>18.6</v>
      </c>
      <c r="D142" s="0" t="n">
        <v>52132</v>
      </c>
    </row>
    <row r="143" customFormat="false" ht="15" hidden="false" customHeight="false" outlineLevel="0" collapsed="false">
      <c r="A143" s="0" t="s">
        <v>164</v>
      </c>
      <c r="B143" s="0" t="s">
        <v>165</v>
      </c>
      <c r="C143" s="5" t="n">
        <v>8.9</v>
      </c>
      <c r="D143" s="0" t="n">
        <v>52133</v>
      </c>
    </row>
    <row r="144" customFormat="false" ht="15" hidden="false" customHeight="false" outlineLevel="0" collapsed="false">
      <c r="A144" s="0" t="s">
        <v>164</v>
      </c>
      <c r="B144" s="0" t="s">
        <v>165</v>
      </c>
      <c r="C144" s="5" t="n">
        <v>34</v>
      </c>
      <c r="D144" s="0" t="n">
        <v>52134</v>
      </c>
    </row>
    <row r="145" customFormat="false" ht="15" hidden="false" customHeight="false" outlineLevel="0" collapsed="false">
      <c r="A145" s="0" t="s">
        <v>164</v>
      </c>
      <c r="B145" s="0" t="s">
        <v>165</v>
      </c>
      <c r="C145" s="5" t="n">
        <v>68</v>
      </c>
      <c r="D145" s="0" t="n">
        <v>52135</v>
      </c>
    </row>
    <row r="146" customFormat="false" ht="15" hidden="false" customHeight="false" outlineLevel="0" collapsed="false">
      <c r="A146" s="0" t="s">
        <v>164</v>
      </c>
      <c r="B146" s="0" t="s">
        <v>165</v>
      </c>
      <c r="C146" s="5" t="n">
        <v>90</v>
      </c>
      <c r="D146" s="0" t="n">
        <v>52136</v>
      </c>
    </row>
    <row r="147" customFormat="false" ht="15" hidden="false" customHeight="false" outlineLevel="0" collapsed="false">
      <c r="A147" s="0" t="s">
        <v>164</v>
      </c>
      <c r="B147" s="0" t="s">
        <v>165</v>
      </c>
      <c r="C147" s="5" t="n">
        <v>11.8</v>
      </c>
      <c r="D147" s="0" t="n">
        <v>52137</v>
      </c>
    </row>
    <row r="148" customFormat="false" ht="15" hidden="false" customHeight="false" outlineLevel="0" collapsed="false">
      <c r="A148" s="0" t="s">
        <v>164</v>
      </c>
      <c r="B148" s="0" t="s">
        <v>165</v>
      </c>
      <c r="C148" s="5" t="n">
        <v>4.2</v>
      </c>
      <c r="D148" s="0" t="n">
        <v>52138</v>
      </c>
    </row>
    <row r="149" customFormat="false" ht="15" hidden="false" customHeight="false" outlineLevel="0" collapsed="false">
      <c r="A149" s="0" t="s">
        <v>164</v>
      </c>
      <c r="B149" s="0" t="s">
        <v>165</v>
      </c>
      <c r="C149" s="5" t="n">
        <v>24</v>
      </c>
      <c r="D149" s="0" t="n">
        <v>52139</v>
      </c>
    </row>
    <row r="150" customFormat="false" ht="15" hidden="false" customHeight="false" outlineLevel="0" collapsed="false">
      <c r="A150" s="0" t="s">
        <v>164</v>
      </c>
      <c r="B150" s="0" t="s">
        <v>165</v>
      </c>
      <c r="C150" s="5" t="n">
        <v>9</v>
      </c>
      <c r="D150" s="0" t="n">
        <v>52140</v>
      </c>
    </row>
    <row r="151" customFormat="false" ht="15" hidden="false" customHeight="false" outlineLevel="0" collapsed="false">
      <c r="A151" s="0" t="s">
        <v>164</v>
      </c>
      <c r="B151" s="0" t="s">
        <v>165</v>
      </c>
      <c r="C151" s="5" t="n">
        <v>3.9</v>
      </c>
      <c r="D151" s="0" t="n">
        <v>52141</v>
      </c>
    </row>
    <row r="152" customFormat="false" ht="15" hidden="false" customHeight="false" outlineLevel="0" collapsed="false">
      <c r="A152" s="0" t="s">
        <v>164</v>
      </c>
      <c r="B152" s="0" t="s">
        <v>165</v>
      </c>
      <c r="C152" s="5" t="n">
        <v>3.9</v>
      </c>
      <c r="D152" s="0" t="n">
        <v>52142</v>
      </c>
    </row>
    <row r="153" customFormat="false" ht="15" hidden="false" customHeight="false" outlineLevel="0" collapsed="false">
      <c r="A153" s="0" t="s">
        <v>164</v>
      </c>
      <c r="B153" s="0" t="s">
        <v>165</v>
      </c>
      <c r="C153" s="5" t="n">
        <v>5.9</v>
      </c>
      <c r="D153" s="0" t="n">
        <v>52143</v>
      </c>
    </row>
    <row r="154" customFormat="false" ht="15" hidden="false" customHeight="false" outlineLevel="0" collapsed="false">
      <c r="A154" s="0" t="s">
        <v>164</v>
      </c>
      <c r="B154" s="0" t="s">
        <v>165</v>
      </c>
      <c r="C154" s="5" t="n">
        <v>5.9</v>
      </c>
      <c r="D154" s="0" t="n">
        <v>52144</v>
      </c>
    </row>
    <row r="155" customFormat="false" ht="15" hidden="false" customHeight="false" outlineLevel="0" collapsed="false">
      <c r="A155" s="0" t="s">
        <v>164</v>
      </c>
      <c r="B155" s="0" t="s">
        <v>165</v>
      </c>
      <c r="C155" s="5" t="n">
        <v>9.8</v>
      </c>
      <c r="D155" s="0" t="n">
        <v>52145</v>
      </c>
    </row>
    <row r="156" customFormat="false" ht="15" hidden="false" customHeight="false" outlineLevel="0" collapsed="false">
      <c r="A156" s="0" t="s">
        <v>164</v>
      </c>
      <c r="B156" s="0" t="s">
        <v>165</v>
      </c>
      <c r="C156" s="5" t="n">
        <v>8.9</v>
      </c>
      <c r="D156" s="0" t="n">
        <v>52146</v>
      </c>
    </row>
    <row r="157" customFormat="false" ht="15" hidden="false" customHeight="false" outlineLevel="0" collapsed="false">
      <c r="A157" s="0" t="s">
        <v>164</v>
      </c>
      <c r="B157" s="0" t="s">
        <v>165</v>
      </c>
      <c r="C157" s="5" t="n">
        <v>15.8</v>
      </c>
      <c r="D157" s="0" t="n">
        <v>52147</v>
      </c>
    </row>
    <row r="158" customFormat="false" ht="15" hidden="false" customHeight="false" outlineLevel="0" collapsed="false">
      <c r="A158" s="0" t="s">
        <v>164</v>
      </c>
      <c r="B158" s="0" t="s">
        <v>165</v>
      </c>
      <c r="C158" s="5" t="n">
        <v>15.4</v>
      </c>
      <c r="D158" s="0" t="n">
        <v>52148</v>
      </c>
    </row>
    <row r="159" customFormat="false" ht="15" hidden="false" customHeight="false" outlineLevel="0" collapsed="false">
      <c r="A159" s="0" t="s">
        <v>166</v>
      </c>
      <c r="B159" s="0" t="s">
        <v>40</v>
      </c>
      <c r="C159" s="5" t="n">
        <v>18.6</v>
      </c>
      <c r="D159" s="0" t="n">
        <v>52313</v>
      </c>
    </row>
    <row r="160" customFormat="false" ht="15" hidden="false" customHeight="false" outlineLevel="0" collapsed="false">
      <c r="A160" s="0" t="s">
        <v>166</v>
      </c>
      <c r="B160" s="0" t="s">
        <v>40</v>
      </c>
      <c r="C160" s="5" t="n">
        <v>19</v>
      </c>
      <c r="D160" s="0" t="n">
        <v>52314</v>
      </c>
    </row>
    <row r="161" customFormat="false" ht="15" hidden="false" customHeight="false" outlineLevel="0" collapsed="false">
      <c r="A161" s="0" t="s">
        <v>166</v>
      </c>
      <c r="B161" s="0" t="s">
        <v>40</v>
      </c>
      <c r="C161" s="5" t="n">
        <v>6.9</v>
      </c>
      <c r="D161" s="0" t="n">
        <v>52315</v>
      </c>
    </row>
    <row r="162" customFormat="false" ht="15" hidden="false" customHeight="false" outlineLevel="0" collapsed="false">
      <c r="A162" s="0" t="s">
        <v>166</v>
      </c>
      <c r="B162" s="0" t="s">
        <v>40</v>
      </c>
      <c r="C162" s="5" t="n">
        <v>4.2</v>
      </c>
      <c r="D162" s="0" t="n">
        <v>52316</v>
      </c>
    </row>
    <row r="163" customFormat="false" ht="15" hidden="false" customHeight="false" outlineLevel="0" collapsed="false">
      <c r="A163" s="0" t="s">
        <v>167</v>
      </c>
      <c r="B163" s="0" t="s">
        <v>168</v>
      </c>
      <c r="C163" s="5" t="n">
        <v>4.4</v>
      </c>
      <c r="D163" s="0" t="n">
        <v>52393</v>
      </c>
    </row>
    <row r="164" customFormat="false" ht="15" hidden="false" customHeight="false" outlineLevel="0" collapsed="false">
      <c r="A164" s="0" t="s">
        <v>167</v>
      </c>
      <c r="B164" s="0" t="s">
        <v>168</v>
      </c>
      <c r="C164" s="5" t="n">
        <v>4.8</v>
      </c>
      <c r="D164" s="0" t="n">
        <v>52394</v>
      </c>
    </row>
    <row r="165" customFormat="false" ht="15" hidden="false" customHeight="false" outlineLevel="0" collapsed="false">
      <c r="A165" s="0" t="s">
        <v>167</v>
      </c>
      <c r="B165" s="0" t="s">
        <v>168</v>
      </c>
      <c r="C165" s="5" t="n">
        <v>3.9</v>
      </c>
      <c r="D165" s="0" t="n">
        <v>52395</v>
      </c>
    </row>
    <row r="166" customFormat="false" ht="15" hidden="false" customHeight="false" outlineLevel="0" collapsed="false">
      <c r="A166" s="0" t="s">
        <v>167</v>
      </c>
      <c r="B166" s="0" t="s">
        <v>168</v>
      </c>
      <c r="C166" s="5" t="n">
        <v>3.9</v>
      </c>
      <c r="D166" s="0" t="n">
        <v>52396</v>
      </c>
    </row>
    <row r="167" customFormat="false" ht="15" hidden="false" customHeight="false" outlineLevel="0" collapsed="false">
      <c r="A167" s="0" t="s">
        <v>167</v>
      </c>
      <c r="B167" s="0" t="s">
        <v>168</v>
      </c>
      <c r="C167" s="5" t="n">
        <v>17.4</v>
      </c>
      <c r="D167" s="0" t="n">
        <v>52397</v>
      </c>
    </row>
    <row r="168" customFormat="false" ht="15" hidden="false" customHeight="false" outlineLevel="0" collapsed="false">
      <c r="A168" s="0" t="s">
        <v>167</v>
      </c>
      <c r="B168" s="0" t="s">
        <v>168</v>
      </c>
      <c r="C168" s="5" t="n">
        <v>36.2</v>
      </c>
      <c r="D168" s="0" t="n">
        <v>52398</v>
      </c>
    </row>
    <row r="169" customFormat="false" ht="15" hidden="false" customHeight="false" outlineLevel="0" collapsed="false">
      <c r="A169" s="0" t="s">
        <v>167</v>
      </c>
      <c r="B169" s="0" t="s">
        <v>42</v>
      </c>
      <c r="C169" s="5" t="n">
        <v>3.4</v>
      </c>
      <c r="D169" s="0" t="n">
        <v>52400</v>
      </c>
    </row>
    <row r="170" customFormat="false" ht="15" hidden="false" customHeight="false" outlineLevel="0" collapsed="false">
      <c r="A170" s="0" t="s">
        <v>167</v>
      </c>
      <c r="B170" s="0" t="s">
        <v>42</v>
      </c>
      <c r="C170" s="5" t="n">
        <v>8.9</v>
      </c>
      <c r="D170" s="0" t="n">
        <v>52401</v>
      </c>
    </row>
    <row r="171" customFormat="false" ht="15" hidden="false" customHeight="false" outlineLevel="0" collapsed="false">
      <c r="A171" s="0" t="s">
        <v>167</v>
      </c>
      <c r="B171" s="0" t="s">
        <v>42</v>
      </c>
      <c r="C171" s="5" t="n">
        <v>5.9</v>
      </c>
      <c r="D171" s="0" t="n">
        <v>52402</v>
      </c>
    </row>
    <row r="172" customFormat="false" ht="15" hidden="false" customHeight="false" outlineLevel="0" collapsed="false">
      <c r="A172" s="0" t="s">
        <v>167</v>
      </c>
      <c r="B172" s="0" t="s">
        <v>42</v>
      </c>
      <c r="C172" s="5" t="n">
        <v>28.6</v>
      </c>
      <c r="D172" s="0" t="n">
        <v>52403</v>
      </c>
    </row>
    <row r="173" customFormat="false" ht="15" hidden="false" customHeight="false" outlineLevel="0" collapsed="false">
      <c r="A173" s="0" t="s">
        <v>167</v>
      </c>
      <c r="B173" s="0" t="s">
        <v>42</v>
      </c>
      <c r="C173" s="5" t="n">
        <v>16.9</v>
      </c>
      <c r="D173" s="0" t="n">
        <v>52404</v>
      </c>
    </row>
    <row r="174" customFormat="false" ht="15" hidden="false" customHeight="false" outlineLevel="0" collapsed="false">
      <c r="A174" s="0" t="s">
        <v>167</v>
      </c>
      <c r="B174" s="0" t="s">
        <v>42</v>
      </c>
      <c r="C174" s="5" t="n">
        <v>19</v>
      </c>
      <c r="D174" s="0" t="n">
        <v>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5" min="5" style="0" width="20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3" t="s">
        <v>169</v>
      </c>
    </row>
    <row r="2" customFormat="false" ht="15" hidden="false" customHeight="false" outlineLevel="0" collapsed="false">
      <c r="A2" s="4" t="s">
        <v>26</v>
      </c>
      <c r="B2" s="4" t="s">
        <v>48</v>
      </c>
      <c r="C2" s="4" t="s">
        <v>27</v>
      </c>
      <c r="D2" s="4" t="s">
        <v>116</v>
      </c>
      <c r="E2" s="4" t="s">
        <v>117</v>
      </c>
      <c r="F2" s="4" t="s">
        <v>118</v>
      </c>
      <c r="G2" s="4" t="s">
        <v>119</v>
      </c>
      <c r="H2" s="4" t="s">
        <v>120</v>
      </c>
    </row>
    <row r="3" customFormat="false" ht="15" hidden="false" customHeight="false" outlineLevel="0" collapsed="false">
      <c r="A3" s="0" t="s">
        <v>132</v>
      </c>
      <c r="B3" s="0" t="n">
        <v>12</v>
      </c>
      <c r="C3" s="0" t="s">
        <v>133</v>
      </c>
      <c r="D3" s="0" t="s">
        <v>122</v>
      </c>
      <c r="E3" s="0" t="s">
        <v>123</v>
      </c>
      <c r="F3" s="0" t="n">
        <v>1</v>
      </c>
      <c r="G3" s="5" t="n">
        <v>38</v>
      </c>
      <c r="H3" s="5" t="n">
        <f aca="false">F3*G3</f>
        <v>38</v>
      </c>
    </row>
    <row r="4" customFormat="false" ht="15" hidden="false" customHeight="false" outlineLevel="0" collapsed="false">
      <c r="A4" s="0" t="s">
        <v>134</v>
      </c>
      <c r="B4" s="0" t="n">
        <v>14</v>
      </c>
      <c r="C4" s="0" t="s">
        <v>170</v>
      </c>
      <c r="D4" s="0" t="s">
        <v>122</v>
      </c>
      <c r="E4" s="0" t="s">
        <v>123</v>
      </c>
      <c r="F4" s="0" t="n">
        <v>3</v>
      </c>
      <c r="G4" s="5" t="n">
        <v>32.7</v>
      </c>
      <c r="H4" s="5" t="n">
        <f aca="false">F4*G4</f>
        <v>98.1</v>
      </c>
    </row>
    <row r="5" customFormat="false" ht="15" hidden="false" customHeight="false" outlineLevel="0" collapsed="false">
      <c r="A5" s="0" t="s">
        <v>136</v>
      </c>
      <c r="B5" s="0" t="n">
        <v>1</v>
      </c>
      <c r="C5" s="0" t="s">
        <v>171</v>
      </c>
      <c r="D5" s="0" t="s">
        <v>122</v>
      </c>
      <c r="E5" s="0" t="s">
        <v>123</v>
      </c>
      <c r="F5" s="0" t="n">
        <v>2</v>
      </c>
      <c r="G5" s="5" t="n">
        <v>45.05</v>
      </c>
      <c r="H5" s="5" t="n">
        <f aca="false">F5*G5</f>
        <v>90.1</v>
      </c>
    </row>
    <row r="6" customFormat="false" ht="15" hidden="false" customHeight="false" outlineLevel="0" collapsed="false">
      <c r="A6" s="0" t="s">
        <v>138</v>
      </c>
      <c r="B6" s="0" t="n">
        <v>10</v>
      </c>
      <c r="C6" s="0" t="s">
        <v>139</v>
      </c>
      <c r="D6" s="0" t="s">
        <v>122</v>
      </c>
      <c r="E6" s="0" t="s">
        <v>123</v>
      </c>
      <c r="F6" s="0" t="n">
        <v>2</v>
      </c>
      <c r="G6" s="5" t="n">
        <v>32.4</v>
      </c>
      <c r="H6" s="5" t="n">
        <f aca="false">F6*G6</f>
        <v>64.8</v>
      </c>
    </row>
    <row r="7" customFormat="false" ht="15" hidden="false" customHeight="false" outlineLevel="0" collapsed="false">
      <c r="A7" s="0" t="s">
        <v>140</v>
      </c>
      <c r="B7" s="0" t="n">
        <v>21</v>
      </c>
      <c r="C7" s="0" t="s">
        <v>172</v>
      </c>
      <c r="D7" s="0" t="s">
        <v>122</v>
      </c>
      <c r="E7" s="0" t="s">
        <v>123</v>
      </c>
      <c r="F7" s="0" t="n">
        <v>2</v>
      </c>
      <c r="G7" s="5" t="n">
        <v>37.3</v>
      </c>
      <c r="H7" s="5" t="n">
        <f aca="false">F7*G7</f>
        <v>74.6</v>
      </c>
    </row>
    <row r="8" customFormat="false" ht="15" hidden="false" customHeight="false" outlineLevel="0" collapsed="false">
      <c r="A8" s="0" t="s">
        <v>142</v>
      </c>
      <c r="B8" s="0" t="n">
        <v>3</v>
      </c>
      <c r="C8" s="0" t="s">
        <v>111</v>
      </c>
      <c r="D8" s="0" t="s">
        <v>122</v>
      </c>
      <c r="E8" s="0" t="s">
        <v>123</v>
      </c>
      <c r="F8" s="0" t="n">
        <v>1</v>
      </c>
      <c r="G8" s="5" t="n">
        <v>52</v>
      </c>
      <c r="H8" s="5" t="n">
        <f aca="false">F8*G8</f>
        <v>52</v>
      </c>
    </row>
    <row r="9" customFormat="false" ht="15" hidden="false" customHeight="false" outlineLevel="0" collapsed="false">
      <c r="A9" s="0" t="s">
        <v>143</v>
      </c>
      <c r="B9" s="0" t="n">
        <v>22</v>
      </c>
      <c r="C9" s="0" t="s">
        <v>144</v>
      </c>
      <c r="D9" s="0" t="s">
        <v>122</v>
      </c>
      <c r="E9" s="0" t="s">
        <v>123</v>
      </c>
      <c r="F9" s="0" t="n">
        <v>4</v>
      </c>
      <c r="G9" s="5" t="n">
        <v>50.95</v>
      </c>
      <c r="H9" s="5" t="n">
        <f aca="false">F9*G9</f>
        <v>203.8</v>
      </c>
    </row>
    <row r="10" customFormat="false" ht="15" hidden="false" customHeight="false" outlineLevel="0" collapsed="false">
      <c r="A10" s="0" t="s">
        <v>145</v>
      </c>
      <c r="B10" s="0" t="n">
        <v>15</v>
      </c>
      <c r="C10" s="0" t="s">
        <v>146</v>
      </c>
      <c r="D10" s="0" t="s">
        <v>122</v>
      </c>
      <c r="E10" s="0" t="s">
        <v>123</v>
      </c>
      <c r="F10" s="0" t="n">
        <v>2</v>
      </c>
      <c r="G10" s="5" t="n">
        <v>35.8</v>
      </c>
      <c r="H10" s="5" t="n">
        <f aca="false">F10*G10</f>
        <v>71.6</v>
      </c>
    </row>
    <row r="11" customFormat="false" ht="15" hidden="false" customHeight="false" outlineLevel="0" collapsed="false">
      <c r="A11" s="0" t="s">
        <v>147</v>
      </c>
      <c r="B11" s="0" t="n">
        <v>25</v>
      </c>
      <c r="C11" s="0" t="s">
        <v>148</v>
      </c>
      <c r="D11" s="0" t="s">
        <v>122</v>
      </c>
      <c r="E11" s="0" t="s">
        <v>123</v>
      </c>
      <c r="F11" s="0" t="n">
        <v>2</v>
      </c>
      <c r="G11" s="5" t="n">
        <v>30.3</v>
      </c>
      <c r="H11" s="5" t="n">
        <f aca="false">F11*G11</f>
        <v>60.6</v>
      </c>
    </row>
    <row r="12" customFormat="false" ht="15" hidden="false" customHeight="false" outlineLevel="0" collapsed="false">
      <c r="A12" s="0" t="s">
        <v>149</v>
      </c>
      <c r="B12" s="0" t="n">
        <v>15</v>
      </c>
      <c r="C12" s="0" t="s">
        <v>158</v>
      </c>
      <c r="D12" s="0" t="s">
        <v>122</v>
      </c>
      <c r="E12" s="0" t="s">
        <v>123</v>
      </c>
      <c r="F12" s="0" t="n">
        <v>2</v>
      </c>
      <c r="G12" s="5" t="n">
        <v>64.4</v>
      </c>
      <c r="H12" s="5" t="n">
        <f aca="false">F12*G12</f>
        <v>128.8</v>
      </c>
    </row>
    <row r="13" customFormat="false" ht="15" hidden="false" customHeight="false" outlineLevel="0" collapsed="false">
      <c r="A13" s="0" t="s">
        <v>151</v>
      </c>
      <c r="B13" s="0" t="n">
        <v>27</v>
      </c>
      <c r="C13" s="0" t="s">
        <v>152</v>
      </c>
      <c r="D13" s="0" t="s">
        <v>122</v>
      </c>
      <c r="E13" s="0" t="s">
        <v>123</v>
      </c>
      <c r="F13" s="0" t="n">
        <v>5</v>
      </c>
      <c r="G13" s="5" t="n">
        <v>41.7</v>
      </c>
      <c r="H13" s="5" t="n">
        <f aca="false">F13*G13</f>
        <v>208.5</v>
      </c>
    </row>
    <row r="14" customFormat="false" ht="15" hidden="false" customHeight="false" outlineLevel="0" collapsed="false">
      <c r="A14" s="0" t="s">
        <v>153</v>
      </c>
      <c r="B14" s="0" t="n">
        <v>3</v>
      </c>
      <c r="C14" s="0" t="s">
        <v>173</v>
      </c>
      <c r="D14" s="0" t="s">
        <v>122</v>
      </c>
      <c r="E14" s="0" t="s">
        <v>123</v>
      </c>
      <c r="F14" s="0" t="n">
        <v>2</v>
      </c>
      <c r="G14" s="5" t="n">
        <v>32.3</v>
      </c>
      <c r="H14" s="5" t="n">
        <f aca="false">F14*G14</f>
        <v>64.6</v>
      </c>
    </row>
    <row r="15" customFormat="false" ht="15" hidden="false" customHeight="false" outlineLevel="0" collapsed="false">
      <c r="A15" s="0" t="s">
        <v>155</v>
      </c>
      <c r="B15" s="0" t="n">
        <v>10</v>
      </c>
      <c r="C15" s="0" t="s">
        <v>156</v>
      </c>
      <c r="D15" s="0" t="s">
        <v>122</v>
      </c>
      <c r="E15" s="0" t="s">
        <v>123</v>
      </c>
      <c r="F15" s="0" t="n">
        <v>7</v>
      </c>
      <c r="G15" s="5" t="n">
        <v>35.4</v>
      </c>
      <c r="H15" s="5" t="n">
        <f aca="false">F15*G15</f>
        <v>247.8</v>
      </c>
    </row>
    <row r="16" customFormat="false" ht="15" hidden="false" customHeight="false" outlineLevel="0" collapsed="false">
      <c r="A16" s="0" t="s">
        <v>157</v>
      </c>
      <c r="B16" s="0" t="n">
        <v>3</v>
      </c>
      <c r="C16" s="0" t="s">
        <v>158</v>
      </c>
      <c r="D16" s="0" t="s">
        <v>122</v>
      </c>
      <c r="E16" s="0" t="s">
        <v>123</v>
      </c>
      <c r="F16" s="0" t="n">
        <v>5</v>
      </c>
      <c r="G16" s="5" t="n">
        <v>32.38</v>
      </c>
      <c r="H16" s="5" t="n">
        <f aca="false">F16*G16</f>
        <v>161.9</v>
      </c>
    </row>
    <row r="17" customFormat="false" ht="15" hidden="false" customHeight="false" outlineLevel="0" collapsed="false">
      <c r="A17" s="0" t="s">
        <v>157</v>
      </c>
      <c r="B17" s="0" t="n">
        <v>4</v>
      </c>
      <c r="C17" s="0" t="s">
        <v>159</v>
      </c>
      <c r="D17" s="0" t="s">
        <v>122</v>
      </c>
      <c r="E17" s="0" t="s">
        <v>123</v>
      </c>
      <c r="F17" s="0" t="n">
        <v>2</v>
      </c>
      <c r="G17" s="5" t="n">
        <v>45.4</v>
      </c>
      <c r="H17" s="5" t="n">
        <f aca="false">F17*G17</f>
        <v>90.8</v>
      </c>
    </row>
    <row r="18" customFormat="false" ht="15" hidden="false" customHeight="false" outlineLevel="0" collapsed="false">
      <c r="A18" s="0" t="s">
        <v>160</v>
      </c>
      <c r="B18" s="0" t="n">
        <v>5</v>
      </c>
      <c r="C18" s="0" t="s">
        <v>70</v>
      </c>
      <c r="D18" s="0" t="s">
        <v>122</v>
      </c>
      <c r="E18" s="0" t="s">
        <v>123</v>
      </c>
      <c r="F18" s="0" t="n">
        <v>2</v>
      </c>
      <c r="G18" s="5" t="n">
        <v>39.65</v>
      </c>
      <c r="H18" s="5" t="n">
        <f aca="false">F18*G18</f>
        <v>79.3</v>
      </c>
    </row>
    <row r="19" customFormat="false" ht="15" hidden="false" customHeight="false" outlineLevel="0" collapsed="false">
      <c r="A19" s="0" t="s">
        <v>161</v>
      </c>
      <c r="B19" s="0" t="n">
        <v>11</v>
      </c>
      <c r="C19" s="0" t="s">
        <v>162</v>
      </c>
      <c r="D19" s="0" t="s">
        <v>122</v>
      </c>
      <c r="E19" s="0" t="s">
        <v>123</v>
      </c>
      <c r="F19" s="0" t="n">
        <v>2</v>
      </c>
      <c r="G19" s="5" t="n">
        <v>45.05</v>
      </c>
      <c r="H19" s="5" t="n">
        <f aca="false">F19*G19</f>
        <v>90.1</v>
      </c>
    </row>
    <row r="20" customFormat="false" ht="15" hidden="false" customHeight="false" outlineLevel="0" collapsed="false">
      <c r="A20" s="0" t="s">
        <v>161</v>
      </c>
      <c r="B20" s="0" t="n">
        <v>11</v>
      </c>
      <c r="C20" s="0" t="s">
        <v>162</v>
      </c>
      <c r="D20" s="0" t="s">
        <v>174</v>
      </c>
      <c r="E20" s="0" t="s">
        <v>175</v>
      </c>
      <c r="F20" s="0" t="n">
        <v>2</v>
      </c>
      <c r="G20" s="5" t="n">
        <v>44</v>
      </c>
      <c r="H20" s="5" t="n">
        <f aca="false">F20*G20</f>
        <v>88</v>
      </c>
    </row>
    <row r="21" customFormat="false" ht="15" hidden="false" customHeight="false" outlineLevel="0" collapsed="false">
      <c r="A21" s="0" t="s">
        <v>161</v>
      </c>
      <c r="B21" s="0" t="n">
        <v>12</v>
      </c>
      <c r="C21" s="0" t="s">
        <v>163</v>
      </c>
      <c r="D21" s="0" t="s">
        <v>122</v>
      </c>
      <c r="E21" s="0" t="s">
        <v>123</v>
      </c>
      <c r="F21" s="0" t="n">
        <v>2</v>
      </c>
      <c r="G21" s="5" t="n">
        <v>51.15</v>
      </c>
      <c r="H21" s="5" t="n">
        <f aca="false">F21*G21</f>
        <v>102.3</v>
      </c>
    </row>
    <row r="22" customFormat="false" ht="15" hidden="false" customHeight="false" outlineLevel="0" collapsed="false">
      <c r="A22" s="0" t="s">
        <v>164</v>
      </c>
      <c r="B22" s="0" t="n">
        <v>7</v>
      </c>
      <c r="C22" s="0" t="s">
        <v>165</v>
      </c>
      <c r="D22" s="0" t="s">
        <v>122</v>
      </c>
      <c r="E22" s="0" t="s">
        <v>123</v>
      </c>
      <c r="F22" s="0" t="n">
        <v>8</v>
      </c>
      <c r="G22" s="5" t="n">
        <v>49</v>
      </c>
      <c r="H22" s="5" t="n">
        <f aca="false">F22*G22</f>
        <v>392</v>
      </c>
    </row>
    <row r="23" customFormat="false" ht="15" hidden="false" customHeight="false" outlineLevel="0" collapsed="false">
      <c r="A23" s="0" t="s">
        <v>164</v>
      </c>
      <c r="B23" s="0" t="n">
        <v>7</v>
      </c>
      <c r="C23" s="0" t="s">
        <v>165</v>
      </c>
      <c r="D23" s="0" t="s">
        <v>176</v>
      </c>
      <c r="E23" s="0" t="s">
        <v>177</v>
      </c>
      <c r="F23" s="0" t="n">
        <v>1</v>
      </c>
      <c r="G23" s="5" t="n">
        <v>41.3</v>
      </c>
      <c r="H23" s="5" t="n">
        <f aca="false">F23*G23</f>
        <v>41.3</v>
      </c>
    </row>
    <row r="24" customFormat="false" ht="15" hidden="false" customHeight="false" outlineLevel="0" collapsed="false">
      <c r="A24" s="0" t="s">
        <v>166</v>
      </c>
      <c r="B24" s="0" t="n">
        <v>7</v>
      </c>
      <c r="C24" s="0" t="s">
        <v>40</v>
      </c>
      <c r="D24" s="0" t="s">
        <v>122</v>
      </c>
      <c r="E24" s="0" t="s">
        <v>123</v>
      </c>
      <c r="F24" s="0" t="n">
        <v>2</v>
      </c>
      <c r="G24" s="5" t="n">
        <v>24.35</v>
      </c>
      <c r="H24" s="5" t="n">
        <f aca="false">F24*G24</f>
        <v>48.7</v>
      </c>
    </row>
    <row r="25" customFormat="false" ht="15" hidden="false" customHeight="false" outlineLevel="0" collapsed="false">
      <c r="A25" s="0" t="s">
        <v>167</v>
      </c>
      <c r="B25" s="0" t="n">
        <v>1</v>
      </c>
      <c r="C25" s="0" t="s">
        <v>168</v>
      </c>
      <c r="D25" s="0" t="s">
        <v>178</v>
      </c>
      <c r="E25" s="0" t="s">
        <v>179</v>
      </c>
      <c r="F25" s="0" t="n">
        <v>2</v>
      </c>
      <c r="G25" s="5" t="n">
        <v>23.5</v>
      </c>
      <c r="H25" s="5" t="n">
        <f aca="false">F25*G25</f>
        <v>47</v>
      </c>
    </row>
    <row r="26" customFormat="false" ht="15" hidden="false" customHeight="false" outlineLevel="0" collapsed="false">
      <c r="A26" s="0" t="s">
        <v>167</v>
      </c>
      <c r="B26" s="0" t="n">
        <v>1</v>
      </c>
      <c r="C26" s="0" t="s">
        <v>168</v>
      </c>
      <c r="D26" s="0" t="s">
        <v>122</v>
      </c>
      <c r="E26" s="0" t="s">
        <v>123</v>
      </c>
      <c r="F26" s="0" t="n">
        <v>1</v>
      </c>
      <c r="G26" s="5" t="n">
        <v>23.6</v>
      </c>
      <c r="H26" s="5" t="n">
        <f aca="false">F26*G26</f>
        <v>23.6</v>
      </c>
    </row>
    <row r="27" customFormat="false" ht="15" hidden="false" customHeight="false" outlineLevel="0" collapsed="false">
      <c r="A27" s="0" t="s">
        <v>167</v>
      </c>
      <c r="B27" s="0" t="n">
        <v>10</v>
      </c>
      <c r="C27" s="0" t="s">
        <v>180</v>
      </c>
      <c r="D27" s="0" t="s">
        <v>122</v>
      </c>
      <c r="E27" s="0" t="s">
        <v>123</v>
      </c>
      <c r="F27" s="0" t="n">
        <v>2</v>
      </c>
      <c r="G27" s="5" t="n">
        <v>41.35</v>
      </c>
      <c r="H27" s="5" t="n">
        <f aca="false">F27*G27</f>
        <v>82.7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3" customFormat="false" ht="28.35" hidden="false" customHeight="false" outlineLevel="0" collapsed="false">
      <c r="A3" s="4" t="s">
        <v>26</v>
      </c>
      <c r="B3" s="4" t="s">
        <v>127</v>
      </c>
      <c r="C3" s="4" t="s">
        <v>48</v>
      </c>
      <c r="D3" s="4" t="s">
        <v>78</v>
      </c>
      <c r="E3" s="4" t="s">
        <v>50</v>
      </c>
      <c r="F3" s="4" t="s">
        <v>128</v>
      </c>
    </row>
    <row r="4" customFormat="false" ht="15" hidden="false" customHeight="false" outlineLevel="0" collapsed="false">
      <c r="A4" s="0" t="s">
        <v>132</v>
      </c>
      <c r="B4" s="0" t="s">
        <v>133</v>
      </c>
      <c r="C4" s="0" t="n">
        <v>12</v>
      </c>
      <c r="D4" s="5" t="n">
        <f aca="false">SUMIFS('Src-E2-DEL-conv'!$C$3:$C$174,'Src-E2-DEL-conv'!$A$3:$A$174,A4,'Src-E2-DEL-conv'!$B$3:$B$174,B4)</f>
        <v>38</v>
      </c>
      <c r="E4" s="5" t="n">
        <f aca="false">SUMIFS('Src-C2-notes-conv'!$H$3:$H$27,'Src-C2-notes-conv'!$A$3:$A$27,A4,'Src-C2-notes-conv'!$B$3:$B$27,C4)</f>
        <v>38</v>
      </c>
      <c r="F4" s="5" t="n">
        <f aca="false">E4-D4</f>
        <v>0</v>
      </c>
    </row>
    <row r="5" customFormat="false" ht="15" hidden="false" customHeight="false" outlineLevel="0" collapsed="false">
      <c r="A5" s="0" t="s">
        <v>134</v>
      </c>
      <c r="B5" s="0" t="s">
        <v>135</v>
      </c>
      <c r="C5" s="0" t="n">
        <v>14</v>
      </c>
      <c r="D5" s="5" t="n">
        <f aca="false">SUMIFS('Src-E2-DEL-conv'!$C$3:$C$174,'Src-E2-DEL-conv'!$A$3:$A$174,A5,'Src-E2-DEL-conv'!$B$3:$B$174,B5)</f>
        <v>98.1</v>
      </c>
      <c r="E5" s="5" t="n">
        <f aca="false">SUMIFS('Src-C2-notes-conv'!$H$3:$H$27,'Src-C2-notes-conv'!$A$3:$A$27,A5,'Src-C2-notes-conv'!$B$3:$B$27,C5)</f>
        <v>98.1</v>
      </c>
      <c r="F5" s="5" t="n">
        <f aca="false">E5-D5</f>
        <v>0</v>
      </c>
    </row>
    <row r="6" customFormat="false" ht="15" hidden="false" customHeight="false" outlineLevel="0" collapsed="false">
      <c r="A6" s="0" t="s">
        <v>136</v>
      </c>
      <c r="B6" s="0" t="s">
        <v>137</v>
      </c>
      <c r="C6" s="0" t="n">
        <v>1</v>
      </c>
      <c r="D6" s="5" t="n">
        <f aca="false">SUMIFS('Src-E2-DEL-conv'!$C$3:$C$174,'Src-E2-DEL-conv'!$A$3:$A$174,A6,'Src-E2-DEL-conv'!$B$3:$B$174,B6)</f>
        <v>90.1</v>
      </c>
      <c r="E6" s="5" t="n">
        <f aca="false">SUMIFS('Src-C2-notes-conv'!$H$3:$H$27,'Src-C2-notes-conv'!$A$3:$A$27,A6,'Src-C2-notes-conv'!$B$3:$B$27,C6)</f>
        <v>90.1</v>
      </c>
      <c r="F6" s="5" t="n">
        <f aca="false">E6-D6</f>
        <v>0</v>
      </c>
    </row>
    <row r="7" customFormat="false" ht="15" hidden="false" customHeight="false" outlineLevel="0" collapsed="false">
      <c r="A7" s="0" t="s">
        <v>138</v>
      </c>
      <c r="B7" s="0" t="s">
        <v>139</v>
      </c>
      <c r="C7" s="0" t="n">
        <v>10</v>
      </c>
      <c r="D7" s="5" t="n">
        <f aca="false">SUMIFS('Src-E2-DEL-conv'!$C$3:$C$174,'Src-E2-DEL-conv'!$A$3:$A$174,A7,'Src-E2-DEL-conv'!$B$3:$B$174,B7)</f>
        <v>64.8</v>
      </c>
      <c r="E7" s="5" t="n">
        <f aca="false">SUMIFS('Src-C2-notes-conv'!$H$3:$H$27,'Src-C2-notes-conv'!$A$3:$A$27,A7,'Src-C2-notes-conv'!$B$3:$B$27,C7)</f>
        <v>64.8</v>
      </c>
      <c r="F7" s="5" t="n">
        <f aca="false">E7-D7</f>
        <v>0</v>
      </c>
    </row>
    <row r="8" customFormat="false" ht="15" hidden="false" customHeight="false" outlineLevel="0" collapsed="false">
      <c r="A8" s="0" t="s">
        <v>140</v>
      </c>
      <c r="B8" s="0" t="s">
        <v>141</v>
      </c>
      <c r="C8" s="0" t="n">
        <v>21</v>
      </c>
      <c r="D8" s="5" t="n">
        <f aca="false">SUMIFS('Src-E2-DEL-conv'!$C$3:$C$174,'Src-E2-DEL-conv'!$A$3:$A$174,A8,'Src-E2-DEL-conv'!$B$3:$B$174,B8)</f>
        <v>74.6</v>
      </c>
      <c r="E8" s="5" t="n">
        <f aca="false">SUMIFS('Src-C2-notes-conv'!$H$3:$H$27,'Src-C2-notes-conv'!$A$3:$A$27,A8,'Src-C2-notes-conv'!$B$3:$B$27,C8)</f>
        <v>74.6</v>
      </c>
      <c r="F8" s="5" t="n">
        <f aca="false">E8-D8</f>
        <v>0</v>
      </c>
    </row>
    <row r="9" customFormat="false" ht="15" hidden="false" customHeight="false" outlineLevel="0" collapsed="false">
      <c r="A9" s="0" t="s">
        <v>142</v>
      </c>
      <c r="B9" s="0" t="s">
        <v>111</v>
      </c>
      <c r="C9" s="0" t="n">
        <v>3</v>
      </c>
      <c r="D9" s="5" t="n">
        <f aca="false">SUMIFS('Src-E2-DEL-conv'!$C$3:$C$174,'Src-E2-DEL-conv'!$A$3:$A$174,A9,'Src-E2-DEL-conv'!$B$3:$B$174,B9)</f>
        <v>52</v>
      </c>
      <c r="E9" s="5" t="n">
        <f aca="false">SUMIFS('Src-C2-notes-conv'!$H$3:$H$27,'Src-C2-notes-conv'!$A$3:$A$27,A9,'Src-C2-notes-conv'!$B$3:$B$27,C9)</f>
        <v>52</v>
      </c>
      <c r="F9" s="5" t="n">
        <f aca="false">E9-D9</f>
        <v>0</v>
      </c>
    </row>
    <row r="10" customFormat="false" ht="15" hidden="false" customHeight="false" outlineLevel="0" collapsed="false">
      <c r="A10" s="0" t="s">
        <v>143</v>
      </c>
      <c r="B10" s="0" t="s">
        <v>144</v>
      </c>
      <c r="C10" s="0" t="n">
        <v>22</v>
      </c>
      <c r="D10" s="5" t="n">
        <f aca="false">SUMIFS('Src-E2-DEL-conv'!$C$3:$C$174,'Src-E2-DEL-conv'!$A$3:$A$174,A10,'Src-E2-DEL-conv'!$B$3:$B$174,B10)</f>
        <v>203.8</v>
      </c>
      <c r="E10" s="5" t="n">
        <f aca="false">SUMIFS('Src-C2-notes-conv'!$H$3:$H$27,'Src-C2-notes-conv'!$A$3:$A$27,A10,'Src-C2-notes-conv'!$B$3:$B$27,C10)</f>
        <v>203.8</v>
      </c>
      <c r="F10" s="5" t="n">
        <f aca="false">E10-D10</f>
        <v>0</v>
      </c>
    </row>
    <row r="11" customFormat="false" ht="15" hidden="false" customHeight="false" outlineLevel="0" collapsed="false">
      <c r="A11" s="0" t="s">
        <v>145</v>
      </c>
      <c r="B11" s="0" t="s">
        <v>146</v>
      </c>
      <c r="C11" s="0" t="n">
        <v>15</v>
      </c>
      <c r="D11" s="5" t="n">
        <f aca="false">SUMIFS('Src-E2-DEL-conv'!$C$3:$C$174,'Src-E2-DEL-conv'!$A$3:$A$174,A11,'Src-E2-DEL-conv'!$B$3:$B$174,B11)</f>
        <v>71.6</v>
      </c>
      <c r="E11" s="5" t="n">
        <f aca="false">SUMIFS('Src-C2-notes-conv'!$H$3:$H$27,'Src-C2-notes-conv'!$A$3:$A$27,A11,'Src-C2-notes-conv'!$B$3:$B$27,C11)</f>
        <v>71.6</v>
      </c>
      <c r="F11" s="5" t="n">
        <f aca="false">E11-D11</f>
        <v>0</v>
      </c>
    </row>
    <row r="12" customFormat="false" ht="15" hidden="false" customHeight="false" outlineLevel="0" collapsed="false">
      <c r="A12" s="0" t="s">
        <v>147</v>
      </c>
      <c r="B12" s="0" t="s">
        <v>148</v>
      </c>
      <c r="C12" s="0" t="n">
        <v>25</v>
      </c>
      <c r="D12" s="5" t="n">
        <f aca="false">SUMIFS('Src-E2-DEL-conv'!$C$3:$C$174,'Src-E2-DEL-conv'!$A$3:$A$174,A12,'Src-E2-DEL-conv'!$B$3:$B$174,B12)</f>
        <v>60.6</v>
      </c>
      <c r="E12" s="5" t="n">
        <f aca="false">SUMIFS('Src-C2-notes-conv'!$H$3:$H$27,'Src-C2-notes-conv'!$A$3:$A$27,A12,'Src-C2-notes-conv'!$B$3:$B$27,C12)</f>
        <v>60.6</v>
      </c>
      <c r="F12" s="5" t="n">
        <f aca="false">E12-D12</f>
        <v>0</v>
      </c>
    </row>
    <row r="13" customFormat="false" ht="15" hidden="false" customHeight="false" outlineLevel="0" collapsed="false">
      <c r="A13" s="0" t="s">
        <v>149</v>
      </c>
      <c r="B13" s="0" t="s">
        <v>150</v>
      </c>
      <c r="C13" s="0" t="n">
        <v>15</v>
      </c>
      <c r="D13" s="5" t="n">
        <f aca="false">SUMIFS('Src-E2-DEL-conv'!$C$3:$C$174,'Src-E2-DEL-conv'!$A$3:$A$174,A13,'Src-E2-DEL-conv'!$B$3:$B$174,B13)</f>
        <v>128.8</v>
      </c>
      <c r="E13" s="5" t="n">
        <f aca="false">SUMIFS('Src-C2-notes-conv'!$H$3:$H$27,'Src-C2-notes-conv'!$A$3:$A$27,A13,'Src-C2-notes-conv'!$B$3:$B$27,C13)</f>
        <v>128.8</v>
      </c>
      <c r="F13" s="5" t="n">
        <f aca="false">E13-D13</f>
        <v>0</v>
      </c>
    </row>
    <row r="14" customFormat="false" ht="15" hidden="false" customHeight="false" outlineLevel="0" collapsed="false">
      <c r="A14" s="0" t="s">
        <v>151</v>
      </c>
      <c r="B14" s="0" t="s">
        <v>152</v>
      </c>
      <c r="C14" s="0" t="n">
        <v>27</v>
      </c>
      <c r="D14" s="5" t="n">
        <f aca="false">SUMIFS('Src-E2-DEL-conv'!$C$3:$C$174,'Src-E2-DEL-conv'!$A$3:$A$174,A14,'Src-E2-DEL-conv'!$B$3:$B$174,B14)</f>
        <v>208.5</v>
      </c>
      <c r="E14" s="5" t="n">
        <f aca="false">SUMIFS('Src-C2-notes-conv'!$H$3:$H$27,'Src-C2-notes-conv'!$A$3:$A$27,A14,'Src-C2-notes-conv'!$B$3:$B$27,C14)</f>
        <v>208.5</v>
      </c>
      <c r="F14" s="5" t="n">
        <f aca="false">E14-D14</f>
        <v>0</v>
      </c>
    </row>
    <row r="15" customFormat="false" ht="15" hidden="false" customHeight="false" outlineLevel="0" collapsed="false">
      <c r="A15" s="0" t="s">
        <v>153</v>
      </c>
      <c r="B15" s="0" t="s">
        <v>154</v>
      </c>
      <c r="C15" s="0" t="n">
        <v>3</v>
      </c>
      <c r="D15" s="5" t="n">
        <f aca="false">SUMIFS('Src-E2-DEL-conv'!$C$3:$C$174,'Src-E2-DEL-conv'!$A$3:$A$174,A15,'Src-E2-DEL-conv'!$B$3:$B$174,B15)</f>
        <v>64.6</v>
      </c>
      <c r="E15" s="5" t="n">
        <f aca="false">SUMIFS('Src-C2-notes-conv'!$H$3:$H$27,'Src-C2-notes-conv'!$A$3:$A$27,A15,'Src-C2-notes-conv'!$B$3:$B$27,C15)</f>
        <v>64.6</v>
      </c>
      <c r="F15" s="5" t="n">
        <f aca="false">E15-D15</f>
        <v>0</v>
      </c>
    </row>
    <row r="16" customFormat="false" ht="15" hidden="false" customHeight="false" outlineLevel="0" collapsed="false">
      <c r="A16" s="0" t="s">
        <v>155</v>
      </c>
      <c r="B16" s="0" t="s">
        <v>156</v>
      </c>
      <c r="C16" s="0" t="n">
        <v>10</v>
      </c>
      <c r="D16" s="5" t="n">
        <f aca="false">SUMIFS('Src-E2-DEL-conv'!$C$3:$C$174,'Src-E2-DEL-conv'!$A$3:$A$174,A16,'Src-E2-DEL-conv'!$B$3:$B$174,B16)</f>
        <v>247.8</v>
      </c>
      <c r="E16" s="5" t="n">
        <f aca="false">SUMIFS('Src-C2-notes-conv'!$H$3:$H$27,'Src-C2-notes-conv'!$A$3:$A$27,A16,'Src-C2-notes-conv'!$B$3:$B$27,C16)</f>
        <v>247.8</v>
      </c>
      <c r="F16" s="5" t="n">
        <f aca="false">E16-D16</f>
        <v>0</v>
      </c>
    </row>
    <row r="17" customFormat="false" ht="15" hidden="false" customHeight="false" outlineLevel="0" collapsed="false">
      <c r="A17" s="0" t="s">
        <v>157</v>
      </c>
      <c r="B17" s="0" t="s">
        <v>158</v>
      </c>
      <c r="C17" s="0" t="n">
        <v>3</v>
      </c>
      <c r="D17" s="5" t="n">
        <f aca="false">SUMIFS('Src-E2-DEL-conv'!$C$3:$C$174,'Src-E2-DEL-conv'!$A$3:$A$174,A17,'Src-E2-DEL-conv'!$B$3:$B$174,B17)</f>
        <v>161.9</v>
      </c>
      <c r="E17" s="5" t="n">
        <f aca="false">SUMIFS('Src-C2-notes-conv'!$H$3:$H$27,'Src-C2-notes-conv'!$A$3:$A$27,A17,'Src-C2-notes-conv'!$B$3:$B$27,C17)</f>
        <v>161.9</v>
      </c>
      <c r="F17" s="5" t="n">
        <f aca="false">E17-D17</f>
        <v>0</v>
      </c>
    </row>
    <row r="18" customFormat="false" ht="15" hidden="false" customHeight="false" outlineLevel="0" collapsed="false">
      <c r="A18" s="0" t="s">
        <v>157</v>
      </c>
      <c r="B18" s="0" t="s">
        <v>159</v>
      </c>
      <c r="C18" s="0" t="n">
        <v>4</v>
      </c>
      <c r="D18" s="5" t="n">
        <f aca="false">SUMIFS('Src-E2-DEL-conv'!$C$3:$C$174,'Src-E2-DEL-conv'!$A$3:$A$174,A18,'Src-E2-DEL-conv'!$B$3:$B$174,B18)</f>
        <v>90.8</v>
      </c>
      <c r="E18" s="5" t="n">
        <f aca="false">SUMIFS('Src-C2-notes-conv'!$H$3:$H$27,'Src-C2-notes-conv'!$A$3:$A$27,A18,'Src-C2-notes-conv'!$B$3:$B$27,C18)</f>
        <v>90.8</v>
      </c>
      <c r="F18" s="5" t="n">
        <f aca="false">E18-D18</f>
        <v>0</v>
      </c>
    </row>
    <row r="19" customFormat="false" ht="15" hidden="false" customHeight="false" outlineLevel="0" collapsed="false">
      <c r="A19" s="0" t="s">
        <v>160</v>
      </c>
      <c r="B19" s="0" t="s">
        <v>70</v>
      </c>
      <c r="C19" s="0" t="n">
        <v>5</v>
      </c>
      <c r="D19" s="5" t="n">
        <f aca="false">SUMIFS('Src-E2-DEL-conv'!$C$3:$C$174,'Src-E2-DEL-conv'!$A$3:$A$174,A19,'Src-E2-DEL-conv'!$B$3:$B$174,B19)</f>
        <v>79.3</v>
      </c>
      <c r="E19" s="5" t="n">
        <f aca="false">SUMIFS('Src-C2-notes-conv'!$H$3:$H$27,'Src-C2-notes-conv'!$A$3:$A$27,A19,'Src-C2-notes-conv'!$B$3:$B$27,C19)</f>
        <v>79.3</v>
      </c>
      <c r="F19" s="5" t="n">
        <f aca="false">E19-D19</f>
        <v>0</v>
      </c>
    </row>
    <row r="20" customFormat="false" ht="15" hidden="false" customHeight="false" outlineLevel="0" collapsed="false">
      <c r="A20" s="0" t="s">
        <v>161</v>
      </c>
      <c r="B20" s="0" t="s">
        <v>162</v>
      </c>
      <c r="C20" s="0" t="n">
        <v>11</v>
      </c>
      <c r="D20" s="5" t="n">
        <f aca="false">SUMIFS('Src-E2-DEL-conv'!$C$3:$C$174,'Src-E2-DEL-conv'!$A$3:$A$174,A20,'Src-E2-DEL-conv'!$B$3:$B$174,B20)</f>
        <v>178.1</v>
      </c>
      <c r="E20" s="5" t="n">
        <f aca="false">SUMIFS('Src-C2-notes-conv'!$H$3:$H$27,'Src-C2-notes-conv'!$A$3:$A$27,A20,'Src-C2-notes-conv'!$B$3:$B$27,C20)</f>
        <v>178.1</v>
      </c>
      <c r="F20" s="5" t="n">
        <f aca="false">E20-D20</f>
        <v>0</v>
      </c>
    </row>
    <row r="21" customFormat="false" ht="15" hidden="false" customHeight="false" outlineLevel="0" collapsed="false">
      <c r="A21" s="0" t="s">
        <v>161</v>
      </c>
      <c r="B21" s="0" t="s">
        <v>163</v>
      </c>
      <c r="C21" s="0" t="n">
        <v>12</v>
      </c>
      <c r="D21" s="5" t="n">
        <f aca="false">SUMIFS('Src-E2-DEL-conv'!$C$3:$C$174,'Src-E2-DEL-conv'!$A$3:$A$174,A21,'Src-E2-DEL-conv'!$B$3:$B$174,B21)</f>
        <v>102.3</v>
      </c>
      <c r="E21" s="5" t="n">
        <f aca="false">SUMIFS('Src-C2-notes-conv'!$H$3:$H$27,'Src-C2-notes-conv'!$A$3:$A$27,A21,'Src-C2-notes-conv'!$B$3:$B$27,C21)</f>
        <v>102.3</v>
      </c>
      <c r="F21" s="5" t="n">
        <f aca="false">E21-D21</f>
        <v>0</v>
      </c>
    </row>
    <row r="22" customFormat="false" ht="15" hidden="false" customHeight="false" outlineLevel="0" collapsed="false">
      <c r="A22" s="0" t="s">
        <v>164</v>
      </c>
      <c r="B22" s="0" t="s">
        <v>165</v>
      </c>
      <c r="C22" s="0" t="n">
        <v>7</v>
      </c>
      <c r="D22" s="5" t="n">
        <f aca="false">SUMIFS('Src-E2-DEL-conv'!$C$3:$C$174,'Src-E2-DEL-conv'!$A$3:$A$174,A22,'Src-E2-DEL-conv'!$B$3:$B$174,B22)</f>
        <v>433.3</v>
      </c>
      <c r="E22" s="5" t="n">
        <f aca="false">SUMIFS('Src-C2-notes-conv'!$H$3:$H$27,'Src-C2-notes-conv'!$A$3:$A$27,A22,'Src-C2-notes-conv'!$B$3:$B$27,C22)</f>
        <v>433.3</v>
      </c>
      <c r="F22" s="5" t="n">
        <f aca="false">E22-D22</f>
        <v>0</v>
      </c>
    </row>
    <row r="23" customFormat="false" ht="15" hidden="false" customHeight="false" outlineLevel="0" collapsed="false">
      <c r="A23" s="0" t="s">
        <v>166</v>
      </c>
      <c r="B23" s="0" t="s">
        <v>40</v>
      </c>
      <c r="C23" s="0" t="n">
        <v>7</v>
      </c>
      <c r="D23" s="5" t="n">
        <f aca="false">SUMIFS('Src-E2-DEL-conv'!$C$3:$C$174,'Src-E2-DEL-conv'!$A$3:$A$174,A23,'Src-E2-DEL-conv'!$B$3:$B$174,B23)</f>
        <v>48.7</v>
      </c>
      <c r="E23" s="5" t="n">
        <f aca="false">SUMIFS('Src-C2-notes-conv'!$H$3:$H$27,'Src-C2-notes-conv'!$A$3:$A$27,A23,'Src-C2-notes-conv'!$B$3:$B$27,C23)</f>
        <v>48.7</v>
      </c>
      <c r="F23" s="5" t="n">
        <f aca="false">E23-D23</f>
        <v>0</v>
      </c>
    </row>
    <row r="24" customFormat="false" ht="15" hidden="false" customHeight="false" outlineLevel="0" collapsed="false">
      <c r="A24" s="0" t="s">
        <v>167</v>
      </c>
      <c r="B24" s="0" t="s">
        <v>168</v>
      </c>
      <c r="C24" s="0" t="n">
        <v>1</v>
      </c>
      <c r="D24" s="5" t="n">
        <f aca="false">SUMIFS('Src-E2-DEL-conv'!$C$3:$C$174,'Src-E2-DEL-conv'!$A$3:$A$174,A24,'Src-E2-DEL-conv'!$B$3:$B$174,B24)</f>
        <v>70.6</v>
      </c>
      <c r="E24" s="5" t="n">
        <f aca="false">SUMIFS('Src-C2-notes-conv'!$H$3:$H$27,'Src-C2-notes-conv'!$A$3:$A$27,A24,'Src-C2-notes-conv'!$B$3:$B$27,C24)</f>
        <v>70.6</v>
      </c>
      <c r="F24" s="5" t="n">
        <f aca="false">E24-D24</f>
        <v>0</v>
      </c>
    </row>
    <row r="25" customFormat="false" ht="15" hidden="false" customHeight="false" outlineLevel="0" collapsed="false">
      <c r="A25" s="0" t="s">
        <v>167</v>
      </c>
      <c r="B25" s="0" t="s">
        <v>42</v>
      </c>
      <c r="C25" s="0" t="n">
        <v>10</v>
      </c>
      <c r="D25" s="5" t="n">
        <f aca="false">SUMIFS('Src-E2-DEL-conv'!$C$3:$C$174,'Src-E2-DEL-conv'!$A$3:$A$174,A25,'Src-E2-DEL-conv'!$B$3:$B$174,B25)</f>
        <v>82.7</v>
      </c>
      <c r="E25" s="5" t="n">
        <f aca="false">SUMIFS('Src-C2-notes-conv'!$H$3:$H$27,'Src-C2-notes-conv'!$A$3:$A$27,A25,'Src-C2-notes-conv'!$B$3:$B$27,C25)</f>
        <v>82.7</v>
      </c>
      <c r="F25" s="5" t="n">
        <f aca="false">E25-D25</f>
        <v>0</v>
      </c>
    </row>
    <row r="26" customFormat="false" ht="15" hidden="false" customHeight="false" outlineLevel="0" collapsed="false">
      <c r="A26" s="9" t="s">
        <v>84</v>
      </c>
      <c r="B26" s="12"/>
      <c r="C26" s="9" t="n">
        <f aca="false">COUNTA(A4:A25)</f>
        <v>22</v>
      </c>
      <c r="D26" s="10" t="n">
        <f aca="false">SUM(D4:D25)</f>
        <v>2651</v>
      </c>
      <c r="E26" s="10" t="n">
        <f aca="false">SUM(E4:E25)</f>
        <v>2651</v>
      </c>
      <c r="F26" s="10" t="n">
        <f aca="false">SUM(F4:F25)</f>
        <v>0</v>
      </c>
    </row>
    <row r="28" customFormat="false" ht="15" hidden="false" customHeight="false" outlineLevel="0" collapsed="false">
      <c r="A28" s="0" t="s">
        <v>129</v>
      </c>
      <c r="D28" s="5" t="n">
        <f aca="false">SUMIF('Src-C2-notes-conv'!$D$3:$D$27,"0196",'Src-C2-notes-conv'!$F$3:$F$27)</f>
        <v>61</v>
      </c>
    </row>
    <row r="29" customFormat="false" ht="15" hidden="false" customHeight="false" outlineLevel="0" collapsed="false">
      <c r="A29" s="0" t="s">
        <v>130</v>
      </c>
      <c r="D29" s="5" t="n">
        <f aca="false">COUNTA('Src-E2-DEL-conv'!$C$3:$C$174)</f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3" t="s">
        <v>183</v>
      </c>
    </row>
    <row r="2" customFormat="false" ht="15" hidden="false" customHeight="false" outlineLevel="0" collapsed="false">
      <c r="A2" s="4" t="s">
        <v>26</v>
      </c>
      <c r="B2" s="4" t="s">
        <v>27</v>
      </c>
      <c r="C2" s="4" t="s">
        <v>29</v>
      </c>
      <c r="D2" s="4" t="s">
        <v>30</v>
      </c>
    </row>
    <row r="3" customFormat="false" ht="15" hidden="false" customHeight="false" outlineLevel="0" collapsed="false">
      <c r="A3" s="0" t="s">
        <v>184</v>
      </c>
      <c r="B3" s="0" t="s">
        <v>185</v>
      </c>
      <c r="C3" s="5" t="n">
        <v>2.2</v>
      </c>
      <c r="D3" s="0" t="n">
        <v>53180</v>
      </c>
    </row>
    <row r="4" customFormat="false" ht="15" hidden="false" customHeight="false" outlineLevel="0" collapsed="false">
      <c r="A4" s="0" t="s">
        <v>184</v>
      </c>
      <c r="B4" s="0" t="s">
        <v>185</v>
      </c>
      <c r="C4" s="5" t="n">
        <v>5.5</v>
      </c>
      <c r="D4" s="0" t="n">
        <v>53181</v>
      </c>
    </row>
    <row r="5" customFormat="false" ht="15" hidden="false" customHeight="false" outlineLevel="0" collapsed="false">
      <c r="A5" s="0" t="s">
        <v>184</v>
      </c>
      <c r="B5" s="0" t="s">
        <v>185</v>
      </c>
      <c r="C5" s="5" t="n">
        <v>18.6</v>
      </c>
      <c r="D5" s="0" t="n">
        <v>53182</v>
      </c>
    </row>
    <row r="6" customFormat="false" ht="15" hidden="false" customHeight="false" outlineLevel="0" collapsed="false">
      <c r="A6" s="0" t="s">
        <v>184</v>
      </c>
      <c r="B6" s="0" t="s">
        <v>185</v>
      </c>
      <c r="C6" s="5" t="n">
        <v>4</v>
      </c>
      <c r="D6" s="0" t="n">
        <v>53183</v>
      </c>
    </row>
    <row r="7" customFormat="false" ht="15" hidden="false" customHeight="false" outlineLevel="0" collapsed="false">
      <c r="A7" s="0" t="s">
        <v>186</v>
      </c>
      <c r="B7" s="0" t="s">
        <v>187</v>
      </c>
      <c r="C7" s="5" t="n">
        <v>8.9</v>
      </c>
      <c r="D7" s="0" t="n">
        <v>53549</v>
      </c>
    </row>
    <row r="8" customFormat="false" ht="15" hidden="false" customHeight="false" outlineLevel="0" collapsed="false">
      <c r="A8" s="0" t="s">
        <v>186</v>
      </c>
      <c r="B8" s="0" t="s">
        <v>187</v>
      </c>
      <c r="C8" s="5" t="n">
        <v>2.5</v>
      </c>
      <c r="D8" s="0" t="n">
        <v>53550</v>
      </c>
    </row>
    <row r="9" customFormat="false" ht="15" hidden="false" customHeight="false" outlineLevel="0" collapsed="false">
      <c r="A9" s="0" t="s">
        <v>186</v>
      </c>
      <c r="B9" s="0" t="s">
        <v>187</v>
      </c>
      <c r="C9" s="5" t="n">
        <v>6.4</v>
      </c>
      <c r="D9" s="0" t="n">
        <v>53551</v>
      </c>
    </row>
    <row r="10" customFormat="false" ht="15" hidden="false" customHeight="false" outlineLevel="0" collapsed="false">
      <c r="A10" s="0" t="s">
        <v>186</v>
      </c>
      <c r="B10" s="0" t="s">
        <v>187</v>
      </c>
      <c r="C10" s="5" t="n">
        <v>1.4</v>
      </c>
      <c r="D10" s="0" t="n">
        <v>53552</v>
      </c>
    </row>
    <row r="11" customFormat="false" ht="15" hidden="false" customHeight="false" outlineLevel="0" collapsed="false">
      <c r="A11" s="0" t="s">
        <v>186</v>
      </c>
      <c r="B11" s="0" t="s">
        <v>187</v>
      </c>
      <c r="C11" s="5" t="n">
        <v>6.4</v>
      </c>
      <c r="D11" s="0" t="n">
        <v>53553</v>
      </c>
    </row>
    <row r="12" customFormat="false" ht="15" hidden="false" customHeight="false" outlineLevel="0" collapsed="false">
      <c r="A12" s="0" t="s">
        <v>186</v>
      </c>
      <c r="B12" s="0" t="s">
        <v>187</v>
      </c>
      <c r="C12" s="5" t="n">
        <v>28.6</v>
      </c>
      <c r="D12" s="0" t="n">
        <v>53554</v>
      </c>
    </row>
    <row r="13" customFormat="false" ht="15" hidden="false" customHeight="false" outlineLevel="0" collapsed="false">
      <c r="A13" s="0" t="s">
        <v>186</v>
      </c>
      <c r="B13" s="0" t="s">
        <v>187</v>
      </c>
      <c r="C13" s="5" t="n">
        <v>69.6</v>
      </c>
      <c r="D13" s="0" t="n">
        <v>53555</v>
      </c>
    </row>
    <row r="14" customFormat="false" ht="15" hidden="false" customHeight="false" outlineLevel="0" collapsed="false">
      <c r="A14" s="0" t="s">
        <v>186</v>
      </c>
      <c r="B14" s="0" t="s">
        <v>187</v>
      </c>
      <c r="C14" s="5" t="n">
        <v>4</v>
      </c>
      <c r="D14" s="0" t="n">
        <v>53556</v>
      </c>
    </row>
    <row r="15" customFormat="false" ht="15" hidden="false" customHeight="false" outlineLevel="0" collapsed="false">
      <c r="A15" s="0" t="s">
        <v>186</v>
      </c>
      <c r="B15" s="0" t="s">
        <v>187</v>
      </c>
      <c r="C15" s="5" t="n">
        <v>16.6</v>
      </c>
      <c r="D15" s="0" t="n">
        <v>53557</v>
      </c>
    </row>
    <row r="16" customFormat="false" ht="15" hidden="false" customHeight="false" outlineLevel="0" collapsed="false">
      <c r="A16" s="0" t="s">
        <v>186</v>
      </c>
      <c r="B16" s="0" t="s">
        <v>187</v>
      </c>
      <c r="C16" s="5" t="n">
        <v>13.8</v>
      </c>
      <c r="D16" s="0" t="n">
        <v>53558</v>
      </c>
    </row>
    <row r="17" customFormat="false" ht="15" hidden="false" customHeight="false" outlineLevel="0" collapsed="false">
      <c r="A17" s="0" t="s">
        <v>188</v>
      </c>
      <c r="B17" s="0" t="s">
        <v>46</v>
      </c>
      <c r="C17" s="5" t="n">
        <v>2.2</v>
      </c>
      <c r="D17" s="0" t="n">
        <v>53721</v>
      </c>
    </row>
    <row r="18" customFormat="false" ht="15" hidden="false" customHeight="false" outlineLevel="0" collapsed="false">
      <c r="A18" s="0" t="s">
        <v>188</v>
      </c>
      <c r="B18" s="0" t="s">
        <v>46</v>
      </c>
      <c r="C18" s="5" t="n">
        <v>9</v>
      </c>
      <c r="D18" s="0" t="n">
        <v>53722</v>
      </c>
    </row>
    <row r="19" customFormat="false" ht="15" hidden="false" customHeight="false" outlineLevel="0" collapsed="false">
      <c r="A19" s="0" t="s">
        <v>188</v>
      </c>
      <c r="B19" s="0" t="s">
        <v>46</v>
      </c>
      <c r="C19" s="5" t="n">
        <v>3.5</v>
      </c>
      <c r="D19" s="0" t="n">
        <v>53723</v>
      </c>
    </row>
    <row r="20" customFormat="false" ht="15" hidden="false" customHeight="false" outlineLevel="0" collapsed="false">
      <c r="A20" s="0" t="s">
        <v>188</v>
      </c>
      <c r="B20" s="0" t="s">
        <v>46</v>
      </c>
      <c r="C20" s="5" t="n">
        <v>19</v>
      </c>
      <c r="D20" s="0" t="n">
        <v>53724</v>
      </c>
    </row>
    <row r="21" customFormat="false" ht="15" hidden="false" customHeight="false" outlineLevel="0" collapsed="false">
      <c r="A21" s="0" t="s">
        <v>188</v>
      </c>
      <c r="B21" s="0" t="s">
        <v>46</v>
      </c>
      <c r="C21" s="5" t="n">
        <v>14</v>
      </c>
      <c r="D21" s="0" t="n">
        <v>53725</v>
      </c>
    </row>
    <row r="22" customFormat="false" ht="15" hidden="false" customHeight="false" outlineLevel="0" collapsed="false">
      <c r="A22" s="0" t="s">
        <v>188</v>
      </c>
      <c r="B22" s="0" t="s">
        <v>46</v>
      </c>
      <c r="C22" s="5" t="n">
        <v>4</v>
      </c>
      <c r="D22" s="0" t="n">
        <v>53726</v>
      </c>
    </row>
    <row r="23" customFormat="false" ht="15" hidden="false" customHeight="false" outlineLevel="0" collapsed="false">
      <c r="A23" s="0" t="s">
        <v>188</v>
      </c>
      <c r="B23" s="0" t="s">
        <v>46</v>
      </c>
      <c r="C23" s="5" t="n">
        <v>9.6</v>
      </c>
      <c r="D23" s="0" t="n">
        <v>53727</v>
      </c>
    </row>
    <row r="24" customFormat="false" ht="15" hidden="false" customHeight="false" outlineLevel="0" collapsed="false">
      <c r="A24" s="0" t="s">
        <v>189</v>
      </c>
      <c r="B24" s="0" t="s">
        <v>148</v>
      </c>
      <c r="C24" s="5" t="n">
        <v>9.7</v>
      </c>
      <c r="D24" s="0" t="n">
        <v>53862</v>
      </c>
    </row>
    <row r="25" customFormat="false" ht="15" hidden="false" customHeight="false" outlineLevel="0" collapsed="false">
      <c r="A25" s="0" t="s">
        <v>189</v>
      </c>
      <c r="B25" s="0" t="s">
        <v>148</v>
      </c>
      <c r="C25" s="5" t="n">
        <v>7.2</v>
      </c>
      <c r="D25" s="0" t="n">
        <v>53863</v>
      </c>
    </row>
    <row r="26" customFormat="false" ht="15" hidden="false" customHeight="false" outlineLevel="0" collapsed="false">
      <c r="A26" s="0" t="s">
        <v>189</v>
      </c>
      <c r="B26" s="0" t="s">
        <v>148</v>
      </c>
      <c r="C26" s="5" t="n">
        <v>18.6</v>
      </c>
      <c r="D26" s="0" t="n">
        <v>53864</v>
      </c>
    </row>
    <row r="27" customFormat="false" ht="15" hidden="false" customHeight="false" outlineLevel="0" collapsed="false">
      <c r="A27" s="0" t="s">
        <v>189</v>
      </c>
      <c r="B27" s="0" t="s">
        <v>148</v>
      </c>
      <c r="C27" s="5" t="n">
        <v>8</v>
      </c>
      <c r="D27" s="0" t="n">
        <v>53865</v>
      </c>
    </row>
    <row r="28" customFormat="false" ht="15" hidden="false" customHeight="false" outlineLevel="0" collapsed="false">
      <c r="A28" s="0" t="s">
        <v>189</v>
      </c>
      <c r="B28" s="0" t="s">
        <v>148</v>
      </c>
      <c r="C28" s="5" t="n">
        <v>34</v>
      </c>
      <c r="D28" s="0" t="n">
        <v>53866</v>
      </c>
    </row>
    <row r="29" customFormat="false" ht="15" hidden="false" customHeight="false" outlineLevel="0" collapsed="false">
      <c r="A29" s="0" t="s">
        <v>189</v>
      </c>
      <c r="B29" s="0" t="s">
        <v>148</v>
      </c>
      <c r="C29" s="5" t="n">
        <v>11.8</v>
      </c>
      <c r="D29" s="0" t="n">
        <v>53867</v>
      </c>
    </row>
    <row r="30" customFormat="false" ht="15" hidden="false" customHeight="false" outlineLevel="0" collapsed="false">
      <c r="A30" s="0" t="s">
        <v>190</v>
      </c>
      <c r="B30" s="0" t="s">
        <v>191</v>
      </c>
      <c r="C30" s="5" t="n">
        <v>3.5</v>
      </c>
      <c r="D30" s="0" t="n">
        <v>54059</v>
      </c>
    </row>
    <row r="31" customFormat="false" ht="15" hidden="false" customHeight="false" outlineLevel="0" collapsed="false">
      <c r="A31" s="0" t="s">
        <v>190</v>
      </c>
      <c r="B31" s="0" t="s">
        <v>191</v>
      </c>
      <c r="C31" s="5" t="n">
        <v>4</v>
      </c>
      <c r="D31" s="0" t="n">
        <v>54060</v>
      </c>
    </row>
    <row r="32" customFormat="false" ht="15" hidden="false" customHeight="false" outlineLevel="0" collapsed="false">
      <c r="A32" s="0" t="s">
        <v>190</v>
      </c>
      <c r="B32" s="0" t="s">
        <v>191</v>
      </c>
      <c r="C32" s="5" t="n">
        <v>7.2</v>
      </c>
      <c r="D32" s="0" t="n">
        <v>54061</v>
      </c>
    </row>
    <row r="33" customFormat="false" ht="15" hidden="false" customHeight="false" outlineLevel="0" collapsed="false">
      <c r="A33" s="0" t="s">
        <v>190</v>
      </c>
      <c r="B33" s="0" t="s">
        <v>191</v>
      </c>
      <c r="C33" s="5" t="n">
        <v>18.6</v>
      </c>
      <c r="D33" s="0" t="n">
        <v>54062</v>
      </c>
    </row>
    <row r="34" customFormat="false" ht="15" hidden="false" customHeight="false" outlineLevel="0" collapsed="false">
      <c r="A34" s="0" t="s">
        <v>192</v>
      </c>
      <c r="B34" s="0" t="s">
        <v>91</v>
      </c>
      <c r="C34" s="5" t="n">
        <v>78</v>
      </c>
      <c r="D34" s="0" t="n">
        <v>54262</v>
      </c>
    </row>
    <row r="35" customFormat="false" ht="15" hidden="false" customHeight="false" outlineLevel="0" collapsed="false">
      <c r="A35" s="0" t="s">
        <v>192</v>
      </c>
      <c r="B35" s="0" t="s">
        <v>91</v>
      </c>
      <c r="C35" s="5" t="n">
        <v>16.6</v>
      </c>
      <c r="D35" s="0" t="n">
        <v>54263</v>
      </c>
    </row>
    <row r="36" customFormat="false" ht="15" hidden="false" customHeight="false" outlineLevel="0" collapsed="false">
      <c r="A36" s="0" t="s">
        <v>192</v>
      </c>
      <c r="B36" s="0" t="s">
        <v>91</v>
      </c>
      <c r="C36" s="5" t="n">
        <v>9.7</v>
      </c>
      <c r="D36" s="0" t="n">
        <v>54264</v>
      </c>
    </row>
    <row r="37" customFormat="false" ht="15" hidden="false" customHeight="false" outlineLevel="0" collapsed="false">
      <c r="A37" s="0" t="s">
        <v>192</v>
      </c>
      <c r="B37" s="0" t="s">
        <v>91</v>
      </c>
      <c r="C37" s="5" t="n">
        <v>4.4</v>
      </c>
      <c r="D37" s="0" t="n">
        <v>54265</v>
      </c>
    </row>
    <row r="38" customFormat="false" ht="15" hidden="false" customHeight="false" outlineLevel="0" collapsed="false">
      <c r="A38" s="0" t="s">
        <v>193</v>
      </c>
      <c r="B38" s="0" t="s">
        <v>194</v>
      </c>
      <c r="C38" s="5" t="n">
        <v>4.4</v>
      </c>
      <c r="D38" s="0" t="n">
        <v>54291</v>
      </c>
    </row>
    <row r="39" customFormat="false" ht="15" hidden="false" customHeight="false" outlineLevel="0" collapsed="false">
      <c r="A39" s="0" t="s">
        <v>193</v>
      </c>
      <c r="B39" s="0" t="s">
        <v>194</v>
      </c>
      <c r="C39" s="5" t="n">
        <v>7.9</v>
      </c>
      <c r="D39" s="0" t="n">
        <v>54292</v>
      </c>
    </row>
    <row r="40" customFormat="false" ht="15" hidden="false" customHeight="false" outlineLevel="0" collapsed="false">
      <c r="A40" s="0" t="s">
        <v>193</v>
      </c>
      <c r="B40" s="0" t="s">
        <v>194</v>
      </c>
      <c r="C40" s="5" t="n">
        <v>8.9</v>
      </c>
      <c r="D40" s="0" t="n">
        <v>54293</v>
      </c>
    </row>
    <row r="41" customFormat="false" ht="15" hidden="false" customHeight="false" outlineLevel="0" collapsed="false">
      <c r="A41" s="0" t="s">
        <v>193</v>
      </c>
      <c r="B41" s="0" t="s">
        <v>194</v>
      </c>
      <c r="C41" s="5" t="n">
        <v>24</v>
      </c>
      <c r="D41" s="0" t="n">
        <v>54294</v>
      </c>
    </row>
    <row r="42" customFormat="false" ht="15" hidden="false" customHeight="false" outlineLevel="0" collapsed="false">
      <c r="A42" s="0" t="s">
        <v>193</v>
      </c>
      <c r="B42" s="0" t="s">
        <v>194</v>
      </c>
      <c r="C42" s="5" t="n">
        <v>19.9</v>
      </c>
      <c r="D42" s="0" t="n">
        <v>54295</v>
      </c>
    </row>
    <row r="43" customFormat="false" ht="15" hidden="false" customHeight="false" outlineLevel="0" collapsed="false">
      <c r="A43" s="0" t="s">
        <v>193</v>
      </c>
      <c r="B43" s="0" t="s">
        <v>194</v>
      </c>
      <c r="C43" s="5" t="n">
        <v>28.6</v>
      </c>
      <c r="D43" s="0" t="n">
        <v>54296</v>
      </c>
    </row>
    <row r="44" customFormat="false" ht="15" hidden="false" customHeight="false" outlineLevel="0" collapsed="false">
      <c r="A44" s="0" t="s">
        <v>193</v>
      </c>
      <c r="B44" s="0" t="s">
        <v>194</v>
      </c>
      <c r="C44" s="5" t="n">
        <v>36</v>
      </c>
      <c r="D44" s="0" t="n">
        <v>54297</v>
      </c>
    </row>
    <row r="45" customFormat="false" ht="15" hidden="false" customHeight="false" outlineLevel="0" collapsed="false">
      <c r="A45" s="0" t="s">
        <v>195</v>
      </c>
      <c r="B45" s="0" t="s">
        <v>196</v>
      </c>
      <c r="C45" s="5" t="n">
        <v>2.2</v>
      </c>
      <c r="D45" s="0" t="n">
        <v>54468</v>
      </c>
    </row>
    <row r="46" customFormat="false" ht="15" hidden="false" customHeight="false" outlineLevel="0" collapsed="false">
      <c r="A46" s="0" t="s">
        <v>195</v>
      </c>
      <c r="B46" s="0" t="s">
        <v>196</v>
      </c>
      <c r="C46" s="5" t="n">
        <v>4</v>
      </c>
      <c r="D46" s="0" t="n">
        <v>54469</v>
      </c>
    </row>
    <row r="47" customFormat="false" ht="15" hidden="false" customHeight="false" outlineLevel="0" collapsed="false">
      <c r="A47" s="0" t="s">
        <v>195</v>
      </c>
      <c r="B47" s="0" t="s">
        <v>196</v>
      </c>
      <c r="C47" s="5" t="n">
        <v>11.8</v>
      </c>
      <c r="D47" s="0" t="n">
        <v>54470</v>
      </c>
    </row>
    <row r="48" customFormat="false" ht="15" hidden="false" customHeight="false" outlineLevel="0" collapsed="false">
      <c r="A48" s="0" t="s">
        <v>195</v>
      </c>
      <c r="B48" s="0" t="s">
        <v>196</v>
      </c>
      <c r="C48" s="5" t="n">
        <v>43.8</v>
      </c>
      <c r="D48" s="0" t="n">
        <v>54471</v>
      </c>
    </row>
    <row r="49" customFormat="false" ht="15" hidden="false" customHeight="false" outlineLevel="0" collapsed="false">
      <c r="A49" s="0" t="s">
        <v>197</v>
      </c>
      <c r="B49" s="0" t="s">
        <v>198</v>
      </c>
      <c r="C49" s="5" t="n">
        <v>18</v>
      </c>
      <c r="D49" s="0" t="n">
        <v>54572</v>
      </c>
    </row>
    <row r="50" customFormat="false" ht="15" hidden="false" customHeight="false" outlineLevel="0" collapsed="false">
      <c r="A50" s="0" t="s">
        <v>197</v>
      </c>
      <c r="B50" s="0" t="s">
        <v>198</v>
      </c>
      <c r="C50" s="5" t="n">
        <v>68</v>
      </c>
      <c r="D50" s="0" t="n">
        <v>54573</v>
      </c>
    </row>
    <row r="51" customFormat="false" ht="15" hidden="false" customHeight="false" outlineLevel="0" collapsed="false">
      <c r="A51" s="0" t="s">
        <v>197</v>
      </c>
      <c r="B51" s="0" t="s">
        <v>198</v>
      </c>
      <c r="C51" s="5" t="n">
        <v>48.5</v>
      </c>
      <c r="D51" s="0" t="n">
        <v>54574</v>
      </c>
    </row>
    <row r="52" customFormat="false" ht="15" hidden="false" customHeight="false" outlineLevel="0" collapsed="false">
      <c r="A52" s="0" t="s">
        <v>199</v>
      </c>
      <c r="B52" s="0" t="s">
        <v>101</v>
      </c>
      <c r="C52" s="5" t="n">
        <v>4.4</v>
      </c>
      <c r="D52" s="0" t="n">
        <v>54604</v>
      </c>
    </row>
    <row r="53" customFormat="false" ht="15" hidden="false" customHeight="false" outlineLevel="0" collapsed="false">
      <c r="A53" s="0" t="s">
        <v>199</v>
      </c>
      <c r="B53" s="0" t="s">
        <v>101</v>
      </c>
      <c r="C53" s="5" t="n">
        <v>28.6</v>
      </c>
      <c r="D53" s="0" t="n">
        <v>54605</v>
      </c>
    </row>
    <row r="54" customFormat="false" ht="15" hidden="false" customHeight="false" outlineLevel="0" collapsed="false">
      <c r="A54" s="0" t="s">
        <v>199</v>
      </c>
      <c r="B54" s="0" t="s">
        <v>101</v>
      </c>
      <c r="C54" s="5" t="n">
        <v>18.6</v>
      </c>
      <c r="D54" s="0" t="n">
        <v>54606</v>
      </c>
    </row>
    <row r="55" customFormat="false" ht="15" hidden="false" customHeight="false" outlineLevel="0" collapsed="false">
      <c r="A55" s="0" t="s">
        <v>199</v>
      </c>
      <c r="B55" s="0" t="s">
        <v>101</v>
      </c>
      <c r="C55" s="5" t="n">
        <v>9.7</v>
      </c>
      <c r="D55" s="0" t="n">
        <v>54607</v>
      </c>
    </row>
    <row r="56" customFormat="false" ht="15" hidden="false" customHeight="false" outlineLevel="0" collapsed="false">
      <c r="A56" s="0" t="s">
        <v>199</v>
      </c>
      <c r="B56" s="0" t="s">
        <v>101</v>
      </c>
      <c r="C56" s="5" t="n">
        <v>3.9</v>
      </c>
      <c r="D56" s="0" t="n">
        <v>54608</v>
      </c>
    </row>
    <row r="57" customFormat="false" ht="15" hidden="false" customHeight="false" outlineLevel="0" collapsed="false">
      <c r="A57" s="0" t="s">
        <v>200</v>
      </c>
      <c r="B57" s="0" t="s">
        <v>201</v>
      </c>
      <c r="C57" s="5" t="n">
        <v>13</v>
      </c>
      <c r="D57" s="0" t="n">
        <v>54826</v>
      </c>
    </row>
    <row r="58" customFormat="false" ht="15" hidden="false" customHeight="false" outlineLevel="0" collapsed="false">
      <c r="A58" s="0" t="s">
        <v>200</v>
      </c>
      <c r="B58" s="0" t="s">
        <v>201</v>
      </c>
      <c r="C58" s="5" t="n">
        <v>9.7</v>
      </c>
      <c r="D58" s="0" t="n">
        <v>54827</v>
      </c>
    </row>
    <row r="59" customFormat="false" ht="15" hidden="false" customHeight="false" outlineLevel="0" collapsed="false">
      <c r="A59" s="0" t="s">
        <v>200</v>
      </c>
      <c r="B59" s="0" t="s">
        <v>201</v>
      </c>
      <c r="C59" s="5" t="n">
        <v>69.6</v>
      </c>
      <c r="D59" s="0" t="n">
        <v>54828</v>
      </c>
    </row>
    <row r="60" customFormat="false" ht="15" hidden="false" customHeight="false" outlineLevel="0" collapsed="false">
      <c r="A60" s="0" t="s">
        <v>200</v>
      </c>
      <c r="B60" s="0" t="s">
        <v>201</v>
      </c>
      <c r="C60" s="5" t="n">
        <v>33.8</v>
      </c>
      <c r="D60" s="0" t="n">
        <v>54829</v>
      </c>
    </row>
    <row r="61" customFormat="false" ht="15" hidden="false" customHeight="false" outlineLevel="0" collapsed="false">
      <c r="A61" s="0" t="s">
        <v>200</v>
      </c>
      <c r="B61" s="0" t="s">
        <v>201</v>
      </c>
      <c r="C61" s="5" t="n">
        <v>39.5</v>
      </c>
      <c r="D61" s="0" t="n">
        <v>54830</v>
      </c>
    </row>
    <row r="62" customFormat="false" ht="15" hidden="false" customHeight="false" outlineLevel="0" collapsed="false">
      <c r="A62" s="0" t="s">
        <v>200</v>
      </c>
      <c r="B62" s="0" t="s">
        <v>201</v>
      </c>
      <c r="C62" s="5" t="n">
        <v>16.6</v>
      </c>
      <c r="D62" s="0" t="n">
        <v>54831</v>
      </c>
    </row>
    <row r="63" customFormat="false" ht="15" hidden="false" customHeight="false" outlineLevel="0" collapsed="false">
      <c r="A63" s="0" t="s">
        <v>202</v>
      </c>
      <c r="B63" s="0" t="s">
        <v>54</v>
      </c>
      <c r="C63" s="5" t="n">
        <v>2.2</v>
      </c>
      <c r="D63" s="0" t="n">
        <v>56983</v>
      </c>
    </row>
    <row r="64" customFormat="false" ht="15" hidden="false" customHeight="false" outlineLevel="0" collapsed="false">
      <c r="A64" s="0" t="s">
        <v>202</v>
      </c>
      <c r="B64" s="0" t="s">
        <v>54</v>
      </c>
      <c r="C64" s="5" t="n">
        <v>15.5</v>
      </c>
      <c r="D64" s="0" t="n">
        <v>56984</v>
      </c>
    </row>
    <row r="65" customFormat="false" ht="15" hidden="false" customHeight="false" outlineLevel="0" collapsed="false">
      <c r="A65" s="0" t="s">
        <v>202</v>
      </c>
      <c r="B65" s="0" t="s">
        <v>54</v>
      </c>
      <c r="C65" s="5" t="n">
        <v>3.9</v>
      </c>
      <c r="D65" s="0" t="n">
        <v>56985</v>
      </c>
    </row>
    <row r="66" customFormat="false" ht="15" hidden="false" customHeight="false" outlineLevel="0" collapsed="false">
      <c r="A66" s="0" t="s">
        <v>203</v>
      </c>
      <c r="B66" s="0" t="s">
        <v>204</v>
      </c>
      <c r="C66" s="5" t="n">
        <v>69.6</v>
      </c>
      <c r="D66" s="0" t="n">
        <v>57042</v>
      </c>
    </row>
    <row r="67" customFormat="false" ht="15" hidden="false" customHeight="false" outlineLevel="0" collapsed="false">
      <c r="A67" s="0" t="s">
        <v>203</v>
      </c>
      <c r="B67" s="0" t="s">
        <v>204</v>
      </c>
      <c r="C67" s="5" t="n">
        <v>4.4</v>
      </c>
      <c r="D67" s="0" t="n">
        <v>57043</v>
      </c>
    </row>
    <row r="68" customFormat="false" ht="15" hidden="false" customHeight="false" outlineLevel="0" collapsed="false">
      <c r="A68" s="0" t="s">
        <v>203</v>
      </c>
      <c r="B68" s="0" t="s">
        <v>204</v>
      </c>
      <c r="C68" s="5" t="n">
        <v>29</v>
      </c>
      <c r="D68" s="0" t="n">
        <v>57044</v>
      </c>
    </row>
    <row r="69" customFormat="false" ht="15" hidden="false" customHeight="false" outlineLevel="0" collapsed="false">
      <c r="A69" s="0" t="s">
        <v>205</v>
      </c>
      <c r="B69" s="0" t="s">
        <v>206</v>
      </c>
      <c r="C69" s="5" t="n">
        <v>7.2</v>
      </c>
      <c r="D69" s="0" t="n">
        <v>57303</v>
      </c>
    </row>
    <row r="70" customFormat="false" ht="15" hidden="false" customHeight="false" outlineLevel="0" collapsed="false">
      <c r="A70" s="0" t="s">
        <v>205</v>
      </c>
      <c r="B70" s="0" t="s">
        <v>206</v>
      </c>
      <c r="C70" s="5" t="n">
        <v>10.5</v>
      </c>
      <c r="D70" s="0" t="n">
        <v>57304</v>
      </c>
    </row>
    <row r="71" customFormat="false" ht="15" hidden="false" customHeight="false" outlineLevel="0" collapsed="false">
      <c r="A71" s="0" t="s">
        <v>205</v>
      </c>
      <c r="B71" s="0" t="s">
        <v>206</v>
      </c>
      <c r="C71" s="5" t="n">
        <v>4.2</v>
      </c>
      <c r="D71" s="0" t="n">
        <v>57305</v>
      </c>
    </row>
    <row r="72" customFormat="false" ht="15" hidden="false" customHeight="false" outlineLevel="0" collapsed="false">
      <c r="A72" s="0" t="s">
        <v>205</v>
      </c>
      <c r="B72" s="0" t="s">
        <v>206</v>
      </c>
      <c r="C72" s="5" t="n">
        <v>11.8</v>
      </c>
      <c r="D72" s="0" t="n">
        <v>57306</v>
      </c>
    </row>
    <row r="73" customFormat="false" ht="15" hidden="false" customHeight="false" outlineLevel="0" collapsed="false">
      <c r="A73" s="0" t="s">
        <v>205</v>
      </c>
      <c r="B73" s="0" t="s">
        <v>206</v>
      </c>
      <c r="C73" s="5" t="n">
        <v>17.4</v>
      </c>
      <c r="D73" s="0" t="n">
        <v>57307</v>
      </c>
    </row>
    <row r="74" customFormat="false" ht="15" hidden="false" customHeight="false" outlineLevel="0" collapsed="false">
      <c r="A74" s="0" t="s">
        <v>205</v>
      </c>
      <c r="B74" s="0" t="s">
        <v>206</v>
      </c>
      <c r="C74" s="5" t="n">
        <v>34.8</v>
      </c>
      <c r="D74" s="0" t="n">
        <v>57308</v>
      </c>
    </row>
    <row r="75" customFormat="false" ht="15" hidden="false" customHeight="false" outlineLevel="0" collapsed="false">
      <c r="A75" s="0" t="s">
        <v>207</v>
      </c>
      <c r="B75" s="0" t="s">
        <v>208</v>
      </c>
      <c r="C75" s="5" t="n">
        <v>15</v>
      </c>
      <c r="D75" s="0" t="n">
        <v>57330</v>
      </c>
    </row>
    <row r="76" customFormat="false" ht="15" hidden="false" customHeight="false" outlineLevel="0" collapsed="false">
      <c r="A76" s="0" t="s">
        <v>207</v>
      </c>
      <c r="B76" s="0" t="s">
        <v>208</v>
      </c>
      <c r="C76" s="5" t="n">
        <v>11</v>
      </c>
      <c r="D76" s="0" t="n">
        <v>57331</v>
      </c>
    </row>
    <row r="77" customFormat="false" ht="15" hidden="false" customHeight="false" outlineLevel="0" collapsed="false">
      <c r="A77" s="0" t="s">
        <v>207</v>
      </c>
      <c r="B77" s="0" t="s">
        <v>208</v>
      </c>
      <c r="C77" s="5" t="n">
        <v>7.9</v>
      </c>
      <c r="D77" s="0" t="n">
        <v>57332</v>
      </c>
    </row>
    <row r="78" customFormat="false" ht="15" hidden="false" customHeight="false" outlineLevel="0" collapsed="false">
      <c r="A78" s="0" t="s">
        <v>207</v>
      </c>
      <c r="B78" s="0" t="s">
        <v>208</v>
      </c>
      <c r="C78" s="5" t="n">
        <v>7.9</v>
      </c>
      <c r="D78" s="0" t="n">
        <v>57333</v>
      </c>
    </row>
    <row r="79" customFormat="false" ht="15" hidden="false" customHeight="false" outlineLevel="0" collapsed="false">
      <c r="A79" s="0" t="s">
        <v>207</v>
      </c>
      <c r="B79" s="0" t="s">
        <v>208</v>
      </c>
      <c r="C79" s="5" t="n">
        <v>7.2</v>
      </c>
      <c r="D79" s="0" t="n">
        <v>57334</v>
      </c>
    </row>
    <row r="80" customFormat="false" ht="15" hidden="false" customHeight="false" outlineLevel="0" collapsed="false">
      <c r="A80" s="0" t="s">
        <v>207</v>
      </c>
      <c r="B80" s="0" t="s">
        <v>208</v>
      </c>
      <c r="C80" s="5" t="n">
        <v>8.9</v>
      </c>
      <c r="D80" s="0" t="n">
        <v>57335</v>
      </c>
    </row>
    <row r="81" customFormat="false" ht="15" hidden="false" customHeight="false" outlineLevel="0" collapsed="false">
      <c r="A81" s="0" t="s">
        <v>207</v>
      </c>
      <c r="B81" s="0" t="s">
        <v>208</v>
      </c>
      <c r="C81" s="5" t="n">
        <v>18.6</v>
      </c>
      <c r="D81" s="0" t="n">
        <v>57336</v>
      </c>
    </row>
    <row r="82" customFormat="false" ht="15" hidden="false" customHeight="false" outlineLevel="0" collapsed="false">
      <c r="A82" s="0" t="s">
        <v>207</v>
      </c>
      <c r="B82" s="0" t="s">
        <v>208</v>
      </c>
      <c r="C82" s="5" t="n">
        <v>7.8</v>
      </c>
      <c r="D82" s="0" t="n">
        <v>57337</v>
      </c>
    </row>
    <row r="83" customFormat="false" ht="15" hidden="false" customHeight="false" outlineLevel="0" collapsed="false">
      <c r="A83" s="0" t="s">
        <v>207</v>
      </c>
      <c r="B83" s="0" t="s">
        <v>208</v>
      </c>
      <c r="C83" s="5" t="n">
        <v>51.8</v>
      </c>
      <c r="D83" s="0" t="n">
        <v>57338</v>
      </c>
    </row>
    <row r="84" customFormat="false" ht="15" hidden="false" customHeight="false" outlineLevel="0" collapsed="false">
      <c r="A84" s="0" t="s">
        <v>207</v>
      </c>
      <c r="B84" s="0" t="s">
        <v>208</v>
      </c>
      <c r="C84" s="5" t="n">
        <v>102</v>
      </c>
      <c r="D84" s="0" t="n">
        <v>57339</v>
      </c>
    </row>
    <row r="85" customFormat="false" ht="15" hidden="false" customHeight="false" outlineLevel="0" collapsed="false">
      <c r="A85" s="0" t="s">
        <v>207</v>
      </c>
      <c r="B85" s="0" t="s">
        <v>208</v>
      </c>
      <c r="C85" s="5" t="n">
        <v>10.5</v>
      </c>
      <c r="D85" s="0" t="n">
        <v>57340</v>
      </c>
    </row>
    <row r="86" customFormat="false" ht="15" hidden="false" customHeight="false" outlineLevel="0" collapsed="false">
      <c r="A86" s="0" t="s">
        <v>207</v>
      </c>
      <c r="B86" s="0" t="s">
        <v>208</v>
      </c>
      <c r="C86" s="5" t="n">
        <v>6.9</v>
      </c>
      <c r="D86" s="0" t="n">
        <v>57341</v>
      </c>
    </row>
    <row r="87" customFormat="false" ht="15" hidden="false" customHeight="false" outlineLevel="0" collapsed="false">
      <c r="A87" s="0" t="s">
        <v>207</v>
      </c>
      <c r="B87" s="0" t="s">
        <v>208</v>
      </c>
      <c r="C87" s="5" t="n">
        <v>3.9</v>
      </c>
      <c r="D87" s="0" t="n">
        <v>57342</v>
      </c>
    </row>
    <row r="88" customFormat="false" ht="15" hidden="false" customHeight="false" outlineLevel="0" collapsed="false">
      <c r="A88" s="0" t="s">
        <v>207</v>
      </c>
      <c r="B88" s="0" t="s">
        <v>208</v>
      </c>
      <c r="C88" s="5" t="n">
        <v>4.8</v>
      </c>
      <c r="D88" s="0" t="n">
        <v>57343</v>
      </c>
    </row>
    <row r="89" customFormat="false" ht="15" hidden="false" customHeight="false" outlineLevel="0" collapsed="false">
      <c r="A89" s="0" t="s">
        <v>207</v>
      </c>
      <c r="B89" s="0" t="s">
        <v>208</v>
      </c>
      <c r="C89" s="5" t="n">
        <v>8.4</v>
      </c>
      <c r="D89" s="0" t="n">
        <v>57344</v>
      </c>
    </row>
    <row r="90" customFormat="false" ht="15" hidden="false" customHeight="false" outlineLevel="0" collapsed="false">
      <c r="A90" s="0" t="s">
        <v>207</v>
      </c>
      <c r="B90" s="0" t="s">
        <v>208</v>
      </c>
      <c r="C90" s="5" t="n">
        <v>24</v>
      </c>
      <c r="D90" s="0" t="n">
        <v>57345</v>
      </c>
    </row>
    <row r="91" customFormat="false" ht="15" hidden="false" customHeight="false" outlineLevel="0" collapsed="false">
      <c r="A91" s="0" t="s">
        <v>207</v>
      </c>
      <c r="B91" s="0" t="s">
        <v>208</v>
      </c>
      <c r="C91" s="5" t="n">
        <v>8.9</v>
      </c>
      <c r="D91" s="0" t="n">
        <v>57346</v>
      </c>
    </row>
    <row r="92" customFormat="false" ht="15" hidden="false" customHeight="false" outlineLevel="0" collapsed="false">
      <c r="A92" s="0" t="s">
        <v>207</v>
      </c>
      <c r="B92" s="0" t="s">
        <v>208</v>
      </c>
      <c r="C92" s="5" t="n">
        <v>3.9</v>
      </c>
      <c r="D92" s="0" t="n">
        <v>57347</v>
      </c>
    </row>
    <row r="93" customFormat="false" ht="15" hidden="false" customHeight="false" outlineLevel="0" collapsed="false">
      <c r="A93" s="0" t="s">
        <v>207</v>
      </c>
      <c r="B93" s="0" t="s">
        <v>208</v>
      </c>
      <c r="C93" s="5" t="n">
        <v>11</v>
      </c>
      <c r="D93" s="0" t="n">
        <v>57348</v>
      </c>
    </row>
    <row r="94" customFormat="false" ht="15" hidden="false" customHeight="false" outlineLevel="0" collapsed="false">
      <c r="A94" s="0" t="s">
        <v>209</v>
      </c>
      <c r="B94" s="0" t="s">
        <v>210</v>
      </c>
      <c r="C94" s="5" t="n">
        <v>8.9</v>
      </c>
      <c r="D94" s="0" t="n">
        <v>57741</v>
      </c>
    </row>
    <row r="95" customFormat="false" ht="15" hidden="false" customHeight="false" outlineLevel="0" collapsed="false">
      <c r="A95" s="0" t="s">
        <v>209</v>
      </c>
      <c r="B95" s="0" t="s">
        <v>210</v>
      </c>
      <c r="C95" s="5" t="n">
        <v>8.9</v>
      </c>
      <c r="D95" s="0" t="n">
        <v>57742</v>
      </c>
    </row>
    <row r="96" customFormat="false" ht="15" hidden="false" customHeight="false" outlineLevel="0" collapsed="false">
      <c r="A96" s="0" t="s">
        <v>209</v>
      </c>
      <c r="B96" s="0" t="s">
        <v>210</v>
      </c>
      <c r="C96" s="5" t="n">
        <v>8.3</v>
      </c>
      <c r="D96" s="0" t="n">
        <v>57743</v>
      </c>
    </row>
    <row r="97" customFormat="false" ht="15" hidden="false" customHeight="false" outlineLevel="0" collapsed="false">
      <c r="A97" s="0" t="s">
        <v>209</v>
      </c>
      <c r="B97" s="0" t="s">
        <v>210</v>
      </c>
      <c r="C97" s="5" t="n">
        <v>4.2</v>
      </c>
      <c r="D97" s="0" t="n">
        <v>57744</v>
      </c>
    </row>
    <row r="98" customFormat="false" ht="15" hidden="false" customHeight="false" outlineLevel="0" collapsed="false">
      <c r="A98" s="0" t="s">
        <v>209</v>
      </c>
      <c r="B98" s="0" t="s">
        <v>210</v>
      </c>
      <c r="C98" s="5" t="n">
        <v>5.9</v>
      </c>
      <c r="D98" s="0" t="n">
        <v>57745</v>
      </c>
    </row>
    <row r="99" customFormat="false" ht="15" hidden="false" customHeight="false" outlineLevel="0" collapsed="false">
      <c r="A99" s="0" t="s">
        <v>209</v>
      </c>
      <c r="B99" s="0" t="s">
        <v>210</v>
      </c>
      <c r="C99" s="5" t="n">
        <v>3.9</v>
      </c>
      <c r="D99" s="0" t="n">
        <v>57746</v>
      </c>
    </row>
    <row r="100" customFormat="false" ht="15" hidden="false" customHeight="false" outlineLevel="0" collapsed="false">
      <c r="A100" s="0" t="s">
        <v>209</v>
      </c>
      <c r="B100" s="0" t="s">
        <v>210</v>
      </c>
      <c r="C100" s="5" t="n">
        <v>64</v>
      </c>
      <c r="D100" s="0" t="n">
        <v>57747</v>
      </c>
    </row>
    <row r="101" customFormat="false" ht="15" hidden="false" customHeight="false" outlineLevel="0" collapsed="false">
      <c r="A101" s="0" t="s">
        <v>209</v>
      </c>
      <c r="B101" s="0" t="s">
        <v>210</v>
      </c>
      <c r="C101" s="5" t="n">
        <v>11.8</v>
      </c>
      <c r="D101" s="0" t="n">
        <v>57748</v>
      </c>
    </row>
    <row r="102" customFormat="false" ht="15" hidden="false" customHeight="false" outlineLevel="0" collapsed="false">
      <c r="A102" s="0" t="s">
        <v>211</v>
      </c>
      <c r="B102" s="0" t="s">
        <v>150</v>
      </c>
      <c r="C102" s="5" t="n">
        <v>3.5</v>
      </c>
      <c r="D102" s="0" t="n">
        <v>57863</v>
      </c>
    </row>
    <row r="103" customFormat="false" ht="15" hidden="false" customHeight="false" outlineLevel="0" collapsed="false">
      <c r="A103" s="0" t="s">
        <v>211</v>
      </c>
      <c r="B103" s="0" t="s">
        <v>150</v>
      </c>
      <c r="C103" s="5" t="n">
        <v>4.4</v>
      </c>
      <c r="D103" s="0" t="n">
        <v>57864</v>
      </c>
    </row>
    <row r="104" customFormat="false" ht="15" hidden="false" customHeight="false" outlineLevel="0" collapsed="false">
      <c r="A104" s="0" t="s">
        <v>211</v>
      </c>
      <c r="B104" s="0" t="s">
        <v>150</v>
      </c>
      <c r="C104" s="5" t="n">
        <v>7.9</v>
      </c>
      <c r="D104" s="0" t="n">
        <v>57865</v>
      </c>
    </row>
    <row r="105" customFormat="false" ht="15" hidden="false" customHeight="false" outlineLevel="0" collapsed="false">
      <c r="A105" s="0" t="s">
        <v>211</v>
      </c>
      <c r="B105" s="0" t="s">
        <v>150</v>
      </c>
      <c r="C105" s="5" t="n">
        <v>8.9</v>
      </c>
      <c r="D105" s="0" t="n">
        <v>57866</v>
      </c>
    </row>
    <row r="106" customFormat="false" ht="15" hidden="false" customHeight="false" outlineLevel="0" collapsed="false">
      <c r="A106" s="0" t="s">
        <v>211</v>
      </c>
      <c r="B106" s="0" t="s">
        <v>150</v>
      </c>
      <c r="C106" s="5" t="n">
        <v>4</v>
      </c>
      <c r="D106" s="0" t="n">
        <v>57867</v>
      </c>
    </row>
    <row r="107" customFormat="false" ht="15" hidden="false" customHeight="false" outlineLevel="0" collapsed="false">
      <c r="A107" s="0" t="s">
        <v>211</v>
      </c>
      <c r="B107" s="0" t="s">
        <v>150</v>
      </c>
      <c r="C107" s="5" t="n">
        <v>4.2</v>
      </c>
      <c r="D107" s="0" t="n">
        <v>57868</v>
      </c>
    </row>
    <row r="108" customFormat="false" ht="15" hidden="false" customHeight="false" outlineLevel="0" collapsed="false">
      <c r="A108" s="0" t="s">
        <v>211</v>
      </c>
      <c r="B108" s="0" t="s">
        <v>150</v>
      </c>
      <c r="C108" s="5" t="n">
        <v>75</v>
      </c>
      <c r="D108" s="0" t="n">
        <v>57869</v>
      </c>
    </row>
    <row r="109" customFormat="false" ht="15" hidden="false" customHeight="false" outlineLevel="0" collapsed="false">
      <c r="A109" s="0" t="s">
        <v>211</v>
      </c>
      <c r="B109" s="0" t="s">
        <v>150</v>
      </c>
      <c r="C109" s="5" t="n">
        <v>21.6</v>
      </c>
      <c r="D109" s="0" t="n">
        <v>57870</v>
      </c>
    </row>
    <row r="110" customFormat="false" ht="15" hidden="false" customHeight="false" outlineLevel="0" collapsed="false">
      <c r="A110" s="0" t="s">
        <v>211</v>
      </c>
      <c r="B110" s="0" t="s">
        <v>150</v>
      </c>
      <c r="C110" s="5" t="n">
        <v>16</v>
      </c>
      <c r="D110" s="0" t="n">
        <v>57871</v>
      </c>
    </row>
    <row r="111" customFormat="false" ht="15" hidden="false" customHeight="false" outlineLevel="0" collapsed="false">
      <c r="A111" s="0" t="s">
        <v>211</v>
      </c>
      <c r="B111" s="0" t="s">
        <v>150</v>
      </c>
      <c r="C111" s="5" t="n">
        <v>11.8</v>
      </c>
      <c r="D111" s="0" t="n">
        <v>57872</v>
      </c>
    </row>
    <row r="112" customFormat="false" ht="15" hidden="false" customHeight="false" outlineLevel="0" collapsed="false">
      <c r="A112" s="0" t="s">
        <v>212</v>
      </c>
      <c r="B112" s="0" t="s">
        <v>64</v>
      </c>
      <c r="C112" s="5" t="n">
        <v>6.6</v>
      </c>
      <c r="D112" s="0" t="n">
        <v>58322</v>
      </c>
    </row>
    <row r="113" customFormat="false" ht="15" hidden="false" customHeight="false" outlineLevel="0" collapsed="false">
      <c r="A113" s="0" t="s">
        <v>212</v>
      </c>
      <c r="B113" s="0" t="s">
        <v>64</v>
      </c>
      <c r="C113" s="5" t="n">
        <v>20.7</v>
      </c>
      <c r="D113" s="0" t="n">
        <v>58323</v>
      </c>
    </row>
    <row r="114" customFormat="false" ht="15" hidden="false" customHeight="false" outlineLevel="0" collapsed="false">
      <c r="A114" s="0" t="s">
        <v>212</v>
      </c>
      <c r="B114" s="0" t="s">
        <v>64</v>
      </c>
      <c r="C114" s="5" t="n">
        <v>4.9</v>
      </c>
      <c r="D114" s="0" t="n">
        <v>58324</v>
      </c>
    </row>
    <row r="115" customFormat="false" ht="15" hidden="false" customHeight="false" outlineLevel="0" collapsed="false">
      <c r="A115" s="0" t="s">
        <v>212</v>
      </c>
      <c r="B115" s="0" t="s">
        <v>64</v>
      </c>
      <c r="C115" s="5" t="n">
        <v>6.4</v>
      </c>
      <c r="D115" s="0" t="n">
        <v>58325</v>
      </c>
    </row>
    <row r="116" customFormat="false" ht="15" hidden="false" customHeight="false" outlineLevel="0" collapsed="false">
      <c r="A116" s="0" t="s">
        <v>212</v>
      </c>
      <c r="B116" s="0" t="s">
        <v>64</v>
      </c>
      <c r="C116" s="5" t="n">
        <v>10.5</v>
      </c>
      <c r="D116" s="0" t="n">
        <v>58326</v>
      </c>
    </row>
    <row r="117" customFormat="false" ht="15" hidden="false" customHeight="false" outlineLevel="0" collapsed="false">
      <c r="A117" s="0" t="s">
        <v>212</v>
      </c>
      <c r="B117" s="0" t="s">
        <v>64</v>
      </c>
      <c r="C117" s="5" t="n">
        <v>7.2</v>
      </c>
      <c r="D117" s="0" t="n">
        <v>58327</v>
      </c>
    </row>
    <row r="118" customFormat="false" ht="15" hidden="false" customHeight="false" outlineLevel="0" collapsed="false">
      <c r="A118" s="0" t="s">
        <v>212</v>
      </c>
      <c r="B118" s="0" t="s">
        <v>64</v>
      </c>
      <c r="C118" s="5" t="n">
        <v>39.8</v>
      </c>
      <c r="D118" s="0" t="n">
        <v>58328</v>
      </c>
    </row>
    <row r="119" customFormat="false" ht="15" hidden="false" customHeight="false" outlineLevel="0" collapsed="false">
      <c r="A119" s="0" t="s">
        <v>212</v>
      </c>
      <c r="B119" s="0" t="s">
        <v>64</v>
      </c>
      <c r="C119" s="5" t="n">
        <v>50</v>
      </c>
      <c r="D119" s="0" t="n">
        <v>58329</v>
      </c>
    </row>
    <row r="120" customFormat="false" ht="15" hidden="false" customHeight="false" outlineLevel="0" collapsed="false">
      <c r="A120" s="0" t="s">
        <v>212</v>
      </c>
      <c r="B120" s="0" t="s">
        <v>64</v>
      </c>
      <c r="C120" s="5" t="n">
        <v>38</v>
      </c>
      <c r="D120" s="0" t="n">
        <v>58330</v>
      </c>
    </row>
    <row r="121" customFormat="false" ht="15" hidden="false" customHeight="false" outlineLevel="0" collapsed="false">
      <c r="A121" s="0" t="s">
        <v>212</v>
      </c>
      <c r="B121" s="0" t="s">
        <v>64</v>
      </c>
      <c r="C121" s="5" t="n">
        <v>4.2</v>
      </c>
      <c r="D121" s="0" t="n">
        <v>58331</v>
      </c>
    </row>
    <row r="122" customFormat="false" ht="15" hidden="false" customHeight="false" outlineLevel="0" collapsed="false">
      <c r="A122" s="0" t="s">
        <v>212</v>
      </c>
      <c r="B122" s="0" t="s">
        <v>64</v>
      </c>
      <c r="C122" s="5" t="n">
        <v>3.9</v>
      </c>
      <c r="D122" s="0" t="n">
        <v>58332</v>
      </c>
    </row>
    <row r="123" customFormat="false" ht="15" hidden="false" customHeight="false" outlineLevel="0" collapsed="false">
      <c r="A123" s="0" t="s">
        <v>212</v>
      </c>
      <c r="B123" s="0" t="s">
        <v>64</v>
      </c>
      <c r="C123" s="5" t="n">
        <v>4.2</v>
      </c>
      <c r="D123" s="0" t="n">
        <v>58333</v>
      </c>
    </row>
    <row r="124" customFormat="false" ht="15" hidden="false" customHeight="false" outlineLevel="0" collapsed="false">
      <c r="A124" s="0" t="s">
        <v>212</v>
      </c>
      <c r="B124" s="0" t="s">
        <v>64</v>
      </c>
      <c r="C124" s="5" t="n">
        <v>47</v>
      </c>
      <c r="D124" s="0" t="n">
        <v>58334</v>
      </c>
    </row>
    <row r="125" customFormat="false" ht="15" hidden="false" customHeight="false" outlineLevel="0" collapsed="false">
      <c r="A125" s="0" t="s">
        <v>213</v>
      </c>
      <c r="B125" s="0" t="s">
        <v>59</v>
      </c>
      <c r="C125" s="5" t="n">
        <v>4.4</v>
      </c>
      <c r="D125" s="0" t="n">
        <v>58731</v>
      </c>
    </row>
    <row r="126" customFormat="false" ht="15" hidden="false" customHeight="false" outlineLevel="0" collapsed="false">
      <c r="A126" s="0" t="s">
        <v>213</v>
      </c>
      <c r="B126" s="0" t="s">
        <v>59</v>
      </c>
      <c r="C126" s="5" t="n">
        <v>38</v>
      </c>
      <c r="D126" s="0" t="n">
        <v>58732</v>
      </c>
    </row>
    <row r="127" customFormat="false" ht="15" hidden="false" customHeight="false" outlineLevel="0" collapsed="false">
      <c r="A127" s="0" t="s">
        <v>213</v>
      </c>
      <c r="B127" s="0" t="s">
        <v>59</v>
      </c>
      <c r="C127" s="5" t="n">
        <v>16</v>
      </c>
      <c r="D127" s="0" t="n">
        <v>58733</v>
      </c>
    </row>
    <row r="128" customFormat="false" ht="15" hidden="false" customHeight="false" outlineLevel="0" collapsed="false">
      <c r="A128" s="0" t="s">
        <v>214</v>
      </c>
      <c r="B128" s="0" t="s">
        <v>112</v>
      </c>
      <c r="C128" s="5" t="n">
        <v>2.2</v>
      </c>
      <c r="D128" s="0" t="n">
        <v>58791</v>
      </c>
    </row>
    <row r="129" customFormat="false" ht="15" hidden="false" customHeight="false" outlineLevel="0" collapsed="false">
      <c r="A129" s="0" t="s">
        <v>214</v>
      </c>
      <c r="B129" s="0" t="s">
        <v>112</v>
      </c>
      <c r="C129" s="5" t="n">
        <v>4</v>
      </c>
      <c r="D129" s="0" t="n">
        <v>58792</v>
      </c>
    </row>
    <row r="130" customFormat="false" ht="15" hidden="false" customHeight="false" outlineLevel="0" collapsed="false">
      <c r="A130" s="0" t="s">
        <v>214</v>
      </c>
      <c r="B130" s="0" t="s">
        <v>112</v>
      </c>
      <c r="C130" s="5" t="n">
        <v>8</v>
      </c>
      <c r="D130" s="0" t="n">
        <v>58793</v>
      </c>
    </row>
    <row r="131" customFormat="false" ht="15" hidden="false" customHeight="false" outlineLevel="0" collapsed="false">
      <c r="A131" s="0" t="s">
        <v>214</v>
      </c>
      <c r="B131" s="0" t="s">
        <v>112</v>
      </c>
      <c r="C131" s="5" t="n">
        <v>37.2</v>
      </c>
      <c r="D131" s="0" t="n">
        <v>58794</v>
      </c>
    </row>
    <row r="132" customFormat="false" ht="15" hidden="false" customHeight="false" outlineLevel="0" collapsed="false">
      <c r="A132" s="0" t="s">
        <v>215</v>
      </c>
      <c r="B132" s="0" t="s">
        <v>114</v>
      </c>
      <c r="C132" s="5" t="n">
        <v>2.2</v>
      </c>
      <c r="D132" s="0" t="n">
        <v>58973</v>
      </c>
    </row>
    <row r="133" customFormat="false" ht="15" hidden="false" customHeight="false" outlineLevel="0" collapsed="false">
      <c r="A133" s="0" t="s">
        <v>215</v>
      </c>
      <c r="B133" s="0" t="s">
        <v>114</v>
      </c>
      <c r="C133" s="5" t="n">
        <v>5.5</v>
      </c>
      <c r="D133" s="0" t="n">
        <v>58974</v>
      </c>
    </row>
    <row r="134" customFormat="false" ht="15" hidden="false" customHeight="false" outlineLevel="0" collapsed="false">
      <c r="A134" s="0" t="s">
        <v>215</v>
      </c>
      <c r="B134" s="0" t="s">
        <v>114</v>
      </c>
      <c r="C134" s="5" t="n">
        <v>7.9</v>
      </c>
      <c r="D134" s="0" t="n">
        <v>58975</v>
      </c>
    </row>
    <row r="135" customFormat="false" ht="15" hidden="false" customHeight="false" outlineLevel="0" collapsed="false">
      <c r="A135" s="0" t="s">
        <v>215</v>
      </c>
      <c r="B135" s="0" t="s">
        <v>114</v>
      </c>
      <c r="C135" s="5" t="n">
        <v>9.7</v>
      </c>
      <c r="D135" s="0" t="n">
        <v>58976</v>
      </c>
    </row>
    <row r="136" customFormat="false" ht="15" hidden="false" customHeight="false" outlineLevel="0" collapsed="false">
      <c r="A136" s="0" t="s">
        <v>215</v>
      </c>
      <c r="B136" s="0" t="s">
        <v>114</v>
      </c>
      <c r="C136" s="5" t="n">
        <v>10.5</v>
      </c>
      <c r="D136" s="0" t="n">
        <v>58977</v>
      </c>
    </row>
    <row r="137" customFormat="false" ht="15" hidden="false" customHeight="false" outlineLevel="0" collapsed="false">
      <c r="A137" s="0" t="s">
        <v>215</v>
      </c>
      <c r="B137" s="0" t="s">
        <v>114</v>
      </c>
      <c r="C137" s="5" t="n">
        <v>21</v>
      </c>
      <c r="D137" s="0" t="n">
        <v>58978</v>
      </c>
    </row>
    <row r="138" customFormat="false" ht="15" hidden="false" customHeight="false" outlineLevel="0" collapsed="false">
      <c r="A138" s="0" t="s">
        <v>215</v>
      </c>
      <c r="B138" s="0" t="s">
        <v>114</v>
      </c>
      <c r="C138" s="5" t="n">
        <v>85.8</v>
      </c>
      <c r="D138" s="0" t="n">
        <v>58979</v>
      </c>
    </row>
    <row r="139" customFormat="false" ht="15" hidden="false" customHeight="false" outlineLevel="0" collapsed="false">
      <c r="A139" s="0" t="s">
        <v>215</v>
      </c>
      <c r="B139" s="0" t="s">
        <v>114</v>
      </c>
      <c r="C139" s="5" t="n">
        <v>19</v>
      </c>
      <c r="D139" s="0" t="n">
        <v>58980</v>
      </c>
    </row>
    <row r="140" customFormat="false" ht="15" hidden="false" customHeight="false" outlineLevel="0" collapsed="false">
      <c r="A140" s="0" t="s">
        <v>215</v>
      </c>
      <c r="B140" s="0" t="s">
        <v>114</v>
      </c>
      <c r="C140" s="5" t="n">
        <v>16.9</v>
      </c>
      <c r="D140" s="0" t="n">
        <v>58981</v>
      </c>
    </row>
    <row r="141" customFormat="false" ht="15" hidden="false" customHeight="false" outlineLevel="0" collapsed="false">
      <c r="A141" s="0" t="s">
        <v>215</v>
      </c>
      <c r="B141" s="0" t="s">
        <v>114</v>
      </c>
      <c r="C141" s="5" t="n">
        <v>23.6</v>
      </c>
      <c r="D141" s="0" t="n">
        <v>58982</v>
      </c>
    </row>
    <row r="142" customFormat="false" ht="15" hidden="false" customHeight="false" outlineLevel="0" collapsed="false">
      <c r="A142" s="0" t="s">
        <v>216</v>
      </c>
      <c r="B142" s="0" t="s">
        <v>217</v>
      </c>
      <c r="C142" s="5" t="n">
        <v>6.5</v>
      </c>
      <c r="D142" s="0" t="n">
        <v>59134</v>
      </c>
    </row>
    <row r="143" customFormat="false" ht="15" hidden="false" customHeight="false" outlineLevel="0" collapsed="false">
      <c r="A143" s="0" t="s">
        <v>216</v>
      </c>
      <c r="B143" s="0" t="s">
        <v>217</v>
      </c>
      <c r="C143" s="5" t="n">
        <v>6.5</v>
      </c>
      <c r="D143" s="0" t="n">
        <v>59135</v>
      </c>
    </row>
    <row r="144" customFormat="false" ht="15" hidden="false" customHeight="false" outlineLevel="0" collapsed="false">
      <c r="A144" s="0" t="s">
        <v>216</v>
      </c>
      <c r="B144" s="0" t="s">
        <v>217</v>
      </c>
      <c r="C144" s="5" t="n">
        <v>49</v>
      </c>
      <c r="D144" s="0" t="n">
        <v>59136</v>
      </c>
    </row>
    <row r="145" customFormat="false" ht="15" hidden="false" customHeight="false" outlineLevel="0" collapsed="false">
      <c r="A145" s="0" t="s">
        <v>216</v>
      </c>
      <c r="B145" s="0" t="s">
        <v>217</v>
      </c>
      <c r="C145" s="5" t="n">
        <v>55.6</v>
      </c>
      <c r="D145" s="0" t="n">
        <v>59137</v>
      </c>
    </row>
    <row r="146" customFormat="false" ht="15" hidden="false" customHeight="false" outlineLevel="0" collapsed="false">
      <c r="A146" s="0" t="s">
        <v>216</v>
      </c>
      <c r="B146" s="0" t="s">
        <v>217</v>
      </c>
      <c r="C146" s="5" t="n">
        <v>16</v>
      </c>
      <c r="D146" s="0" t="n">
        <v>59138</v>
      </c>
    </row>
    <row r="147" customFormat="false" ht="15" hidden="false" customHeight="false" outlineLevel="0" collapsed="false">
      <c r="A147" s="0" t="s">
        <v>218</v>
      </c>
      <c r="B147" s="0" t="s">
        <v>219</v>
      </c>
      <c r="C147" s="5" t="n">
        <v>14.4</v>
      </c>
      <c r="D147" s="0" t="n">
        <v>59552</v>
      </c>
    </row>
    <row r="148" customFormat="false" ht="15" hidden="false" customHeight="false" outlineLevel="0" collapsed="false">
      <c r="A148" s="0" t="s">
        <v>218</v>
      </c>
      <c r="B148" s="0" t="s">
        <v>219</v>
      </c>
      <c r="C148" s="5" t="n">
        <v>18.6</v>
      </c>
      <c r="D148" s="0" t="n">
        <v>59553</v>
      </c>
    </row>
    <row r="149" customFormat="false" ht="15" hidden="false" customHeight="false" outlineLevel="0" collapsed="false">
      <c r="A149" s="0" t="s">
        <v>218</v>
      </c>
      <c r="B149" s="0" t="s">
        <v>219</v>
      </c>
      <c r="C149" s="5" t="n">
        <v>4.2</v>
      </c>
      <c r="D149" s="0" t="n">
        <v>59554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8"/>
    <col collapsed="false" customWidth="true" hidden="false" outlineLevel="0" max="5" min="5" style="0" width="20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3" t="s">
        <v>220</v>
      </c>
    </row>
    <row r="2" customFormat="false" ht="15" hidden="false" customHeight="false" outlineLevel="0" collapsed="false">
      <c r="A2" s="4" t="s">
        <v>26</v>
      </c>
      <c r="B2" s="4" t="s">
        <v>48</v>
      </c>
      <c r="C2" s="4" t="s">
        <v>27</v>
      </c>
      <c r="D2" s="4" t="s">
        <v>116</v>
      </c>
      <c r="E2" s="4" t="s">
        <v>117</v>
      </c>
      <c r="F2" s="4" t="s">
        <v>118</v>
      </c>
      <c r="G2" s="4" t="s">
        <v>119</v>
      </c>
      <c r="H2" s="4" t="s">
        <v>120</v>
      </c>
    </row>
    <row r="3" customFormat="false" ht="15" hidden="false" customHeight="false" outlineLevel="0" collapsed="false">
      <c r="A3" s="0" t="s">
        <v>184</v>
      </c>
      <c r="B3" s="0" t="n">
        <v>5</v>
      </c>
      <c r="C3" s="0" t="s">
        <v>221</v>
      </c>
      <c r="D3" s="0" t="s">
        <v>122</v>
      </c>
      <c r="E3" s="0" t="s">
        <v>123</v>
      </c>
      <c r="F3" s="0" t="n">
        <v>1</v>
      </c>
      <c r="G3" s="5" t="n">
        <v>30.3</v>
      </c>
      <c r="H3" s="5" t="n">
        <f aca="false">F3*G3</f>
        <v>30.3</v>
      </c>
    </row>
    <row r="4" customFormat="false" ht="15" hidden="false" customHeight="false" outlineLevel="0" collapsed="false">
      <c r="A4" s="0" t="s">
        <v>186</v>
      </c>
      <c r="B4" s="0" t="n">
        <v>21</v>
      </c>
      <c r="C4" s="0" t="s">
        <v>187</v>
      </c>
      <c r="D4" s="0" t="s">
        <v>122</v>
      </c>
      <c r="E4" s="0" t="s">
        <v>123</v>
      </c>
      <c r="F4" s="0" t="n">
        <v>2</v>
      </c>
      <c r="G4" s="5" t="n">
        <v>55</v>
      </c>
      <c r="H4" s="5" t="n">
        <f aca="false">F4*G4</f>
        <v>110</v>
      </c>
    </row>
    <row r="5" customFormat="false" ht="15" hidden="false" customHeight="false" outlineLevel="0" collapsed="false">
      <c r="A5" s="0" t="s">
        <v>186</v>
      </c>
      <c r="B5" s="0" t="n">
        <v>21</v>
      </c>
      <c r="C5" s="0" t="s">
        <v>187</v>
      </c>
      <c r="D5" s="0" t="s">
        <v>176</v>
      </c>
      <c r="E5" s="0" t="s">
        <v>177</v>
      </c>
      <c r="F5" s="0" t="n">
        <v>1</v>
      </c>
      <c r="G5" s="5" t="n">
        <v>48.2</v>
      </c>
      <c r="H5" s="5" t="n">
        <f aca="false">F5*G5</f>
        <v>48.2</v>
      </c>
    </row>
    <row r="6" customFormat="false" ht="15" hidden="false" customHeight="false" outlineLevel="0" collapsed="false">
      <c r="A6" s="0" t="s">
        <v>188</v>
      </c>
      <c r="B6" s="0" t="n">
        <v>17</v>
      </c>
      <c r="C6" s="0" t="s">
        <v>46</v>
      </c>
      <c r="D6" s="0" t="s">
        <v>122</v>
      </c>
      <c r="E6" s="0" t="s">
        <v>123</v>
      </c>
      <c r="F6" s="0" t="n">
        <v>2</v>
      </c>
      <c r="G6" s="5" t="n">
        <v>30.65</v>
      </c>
      <c r="H6" s="5" t="n">
        <f aca="false">F6*G6</f>
        <v>61.3</v>
      </c>
    </row>
    <row r="7" customFormat="false" ht="15" hidden="false" customHeight="false" outlineLevel="0" collapsed="false">
      <c r="A7" s="0" t="s">
        <v>189</v>
      </c>
      <c r="B7" s="0" t="n">
        <v>27</v>
      </c>
      <c r="C7" s="0" t="s">
        <v>148</v>
      </c>
      <c r="D7" s="0" t="s">
        <v>122</v>
      </c>
      <c r="E7" s="0" t="s">
        <v>123</v>
      </c>
      <c r="F7" s="0" t="n">
        <v>2</v>
      </c>
      <c r="G7" s="5" t="n">
        <v>44.65</v>
      </c>
      <c r="H7" s="5" t="n">
        <f aca="false">F7*G7</f>
        <v>89.3</v>
      </c>
    </row>
    <row r="8" customFormat="false" ht="15" hidden="false" customHeight="false" outlineLevel="0" collapsed="false">
      <c r="A8" s="0" t="s">
        <v>190</v>
      </c>
      <c r="B8" s="0" t="n">
        <v>10</v>
      </c>
      <c r="C8" s="0" t="s">
        <v>191</v>
      </c>
      <c r="D8" s="0" t="s">
        <v>122</v>
      </c>
      <c r="E8" s="0" t="s">
        <v>123</v>
      </c>
      <c r="F8" s="0" t="n">
        <v>1</v>
      </c>
      <c r="G8" s="5" t="n">
        <v>33.3</v>
      </c>
      <c r="H8" s="5" t="n">
        <f aca="false">F8*G8</f>
        <v>33.3</v>
      </c>
    </row>
    <row r="9" customFormat="false" ht="15" hidden="false" customHeight="false" outlineLevel="0" collapsed="false">
      <c r="A9" s="0" t="s">
        <v>192</v>
      </c>
      <c r="B9" s="0" t="n">
        <v>12</v>
      </c>
      <c r="C9" s="0" t="s">
        <v>121</v>
      </c>
      <c r="D9" s="0" t="s">
        <v>122</v>
      </c>
      <c r="E9" s="0" t="s">
        <v>123</v>
      </c>
      <c r="F9" s="0" t="n">
        <v>2</v>
      </c>
      <c r="G9" s="5" t="n">
        <v>54.35</v>
      </c>
      <c r="H9" s="5" t="n">
        <f aca="false">F9*G9</f>
        <v>108.7</v>
      </c>
    </row>
    <row r="10" customFormat="false" ht="15" hidden="false" customHeight="false" outlineLevel="0" collapsed="false">
      <c r="A10" s="0" t="s">
        <v>193</v>
      </c>
      <c r="B10" s="0" t="n">
        <v>4</v>
      </c>
      <c r="C10" s="0" t="s">
        <v>194</v>
      </c>
      <c r="D10" s="0" t="s">
        <v>122</v>
      </c>
      <c r="E10" s="0" t="s">
        <v>123</v>
      </c>
      <c r="F10" s="0" t="n">
        <v>2</v>
      </c>
      <c r="G10" s="5" t="n">
        <v>64.85</v>
      </c>
      <c r="H10" s="5" t="n">
        <f aca="false">F10*G10</f>
        <v>129.7</v>
      </c>
    </row>
    <row r="11" customFormat="false" ht="15" hidden="false" customHeight="false" outlineLevel="0" collapsed="false">
      <c r="A11" s="0" t="s">
        <v>195</v>
      </c>
      <c r="B11" s="0" t="n">
        <v>24</v>
      </c>
      <c r="C11" s="0" t="s">
        <v>196</v>
      </c>
      <c r="D11" s="0" t="s">
        <v>122</v>
      </c>
      <c r="E11" s="0" t="s">
        <v>123</v>
      </c>
      <c r="F11" s="0" t="n">
        <v>2</v>
      </c>
      <c r="G11" s="5" t="n">
        <v>30.9</v>
      </c>
      <c r="H11" s="5" t="n">
        <f aca="false">F11*G11</f>
        <v>61.8</v>
      </c>
    </row>
    <row r="12" customFormat="false" ht="15" hidden="false" customHeight="false" outlineLevel="0" collapsed="false">
      <c r="A12" s="0" t="s">
        <v>197</v>
      </c>
      <c r="B12" s="0" t="n">
        <v>28</v>
      </c>
      <c r="C12" s="0" t="s">
        <v>198</v>
      </c>
      <c r="D12" s="0" t="s">
        <v>122</v>
      </c>
      <c r="E12" s="0" t="s">
        <v>123</v>
      </c>
      <c r="F12" s="0" t="n">
        <v>2</v>
      </c>
      <c r="G12" s="5" t="n">
        <v>67.25</v>
      </c>
      <c r="H12" s="5" t="n">
        <f aca="false">F12*G12</f>
        <v>134.5</v>
      </c>
    </row>
    <row r="13" customFormat="false" ht="15" hidden="false" customHeight="false" outlineLevel="0" collapsed="false">
      <c r="A13" s="0" t="s">
        <v>199</v>
      </c>
      <c r="B13" s="0" t="n">
        <v>9</v>
      </c>
      <c r="C13" s="0" t="s">
        <v>101</v>
      </c>
      <c r="D13" s="0" t="s">
        <v>122</v>
      </c>
      <c r="E13" s="0" t="s">
        <v>123</v>
      </c>
      <c r="F13" s="0" t="n">
        <v>2</v>
      </c>
      <c r="G13" s="5" t="n">
        <v>32.6</v>
      </c>
      <c r="H13" s="5" t="n">
        <f aca="false">F13*G13</f>
        <v>65.2</v>
      </c>
    </row>
    <row r="14" customFormat="false" ht="15" hidden="false" customHeight="false" outlineLevel="0" collapsed="false">
      <c r="A14" s="0" t="s">
        <v>200</v>
      </c>
      <c r="B14" s="0" t="n">
        <v>12</v>
      </c>
      <c r="C14" s="0" t="s">
        <v>201</v>
      </c>
      <c r="D14" s="0" t="s">
        <v>122</v>
      </c>
      <c r="E14" s="0" t="s">
        <v>123</v>
      </c>
      <c r="F14" s="0" t="n">
        <v>4</v>
      </c>
      <c r="G14" s="5" t="n">
        <v>45.55</v>
      </c>
      <c r="H14" s="5" t="n">
        <f aca="false">F14*G14</f>
        <v>182.2</v>
      </c>
    </row>
    <row r="15" customFormat="false" ht="15" hidden="false" customHeight="false" outlineLevel="0" collapsed="false">
      <c r="A15" s="0" t="s">
        <v>202</v>
      </c>
      <c r="B15" s="0" t="n">
        <v>2</v>
      </c>
      <c r="C15" s="0" t="s">
        <v>37</v>
      </c>
      <c r="D15" s="0" t="s">
        <v>122</v>
      </c>
      <c r="E15" s="0" t="s">
        <v>123</v>
      </c>
      <c r="F15" s="0" t="n">
        <v>1</v>
      </c>
      <c r="G15" s="5" t="n">
        <v>21.6</v>
      </c>
      <c r="H15" s="5" t="n">
        <f aca="false">F15*G15</f>
        <v>21.6</v>
      </c>
    </row>
    <row r="16" customFormat="false" ht="15" hidden="false" customHeight="false" outlineLevel="0" collapsed="false">
      <c r="A16" s="0" t="s">
        <v>203</v>
      </c>
      <c r="B16" s="0" t="n">
        <v>5</v>
      </c>
      <c r="C16" s="0" t="s">
        <v>222</v>
      </c>
      <c r="D16" s="0" t="s">
        <v>122</v>
      </c>
      <c r="E16" s="0" t="s">
        <v>123</v>
      </c>
      <c r="F16" s="0" t="n">
        <v>2</v>
      </c>
      <c r="G16" s="5" t="n">
        <v>51.5</v>
      </c>
      <c r="H16" s="5" t="n">
        <f aca="false">F16*G16</f>
        <v>103</v>
      </c>
    </row>
    <row r="17" customFormat="false" ht="15" hidden="false" customHeight="false" outlineLevel="0" collapsed="false">
      <c r="A17" s="0" t="s">
        <v>205</v>
      </c>
      <c r="B17" s="0" t="n">
        <v>29</v>
      </c>
      <c r="C17" s="0" t="s">
        <v>223</v>
      </c>
      <c r="D17" s="0" t="s">
        <v>122</v>
      </c>
      <c r="E17" s="0" t="s">
        <v>123</v>
      </c>
      <c r="F17" s="0" t="n">
        <v>3</v>
      </c>
      <c r="G17" s="5" t="n">
        <v>28.63</v>
      </c>
      <c r="H17" s="5" t="n">
        <f aca="false">F17*G17</f>
        <v>85.89</v>
      </c>
    </row>
    <row r="18" customFormat="false" ht="15" hidden="false" customHeight="false" outlineLevel="0" collapsed="false">
      <c r="A18" s="0" t="s">
        <v>207</v>
      </c>
      <c r="B18" s="0" t="n">
        <v>31</v>
      </c>
      <c r="C18" s="0" t="s">
        <v>224</v>
      </c>
      <c r="D18" s="0" t="s">
        <v>122</v>
      </c>
      <c r="E18" s="0" t="s">
        <v>123</v>
      </c>
      <c r="F18" s="0" t="n">
        <v>3</v>
      </c>
      <c r="G18" s="5" t="n">
        <v>50</v>
      </c>
      <c r="H18" s="5" t="n">
        <f aca="false">F18*G18</f>
        <v>150</v>
      </c>
    </row>
    <row r="19" customFormat="false" ht="15" hidden="false" customHeight="false" outlineLevel="0" collapsed="false">
      <c r="A19" s="0" t="s">
        <v>207</v>
      </c>
      <c r="B19" s="0" t="n">
        <v>31</v>
      </c>
      <c r="C19" s="0" t="s">
        <v>224</v>
      </c>
      <c r="D19" s="0" t="s">
        <v>225</v>
      </c>
      <c r="E19" s="0" t="s">
        <v>226</v>
      </c>
      <c r="F19" s="0" t="n">
        <v>4</v>
      </c>
      <c r="G19" s="5" t="n">
        <v>42.6</v>
      </c>
      <c r="H19" s="5" t="n">
        <f aca="false">F19*G19</f>
        <v>170.4</v>
      </c>
    </row>
    <row r="20" customFormat="false" ht="15" hidden="false" customHeight="false" outlineLevel="0" collapsed="false">
      <c r="A20" s="0" t="s">
        <v>209</v>
      </c>
      <c r="B20" s="0" t="n">
        <v>11</v>
      </c>
      <c r="C20" s="0" t="s">
        <v>210</v>
      </c>
      <c r="D20" s="0" t="s">
        <v>122</v>
      </c>
      <c r="E20" s="0" t="s">
        <v>123</v>
      </c>
      <c r="F20" s="0" t="n">
        <v>2</v>
      </c>
      <c r="G20" s="5" t="n">
        <v>57.95</v>
      </c>
      <c r="H20" s="5" t="n">
        <f aca="false">F20*G20</f>
        <v>115.9</v>
      </c>
    </row>
    <row r="21" customFormat="false" ht="15" hidden="false" customHeight="false" outlineLevel="0" collapsed="false">
      <c r="A21" s="0" t="s">
        <v>211</v>
      </c>
      <c r="B21" s="0" t="n">
        <v>6</v>
      </c>
      <c r="C21" s="0" t="s">
        <v>150</v>
      </c>
      <c r="D21" s="0" t="s">
        <v>122</v>
      </c>
      <c r="E21" s="0" t="s">
        <v>123</v>
      </c>
      <c r="F21" s="0" t="n">
        <v>2</v>
      </c>
      <c r="G21" s="5" t="n">
        <v>50</v>
      </c>
      <c r="H21" s="5" t="n">
        <f aca="false">F21*G21</f>
        <v>100</v>
      </c>
    </row>
    <row r="22" customFormat="false" ht="15" hidden="false" customHeight="false" outlineLevel="0" collapsed="false">
      <c r="A22" s="0" t="s">
        <v>211</v>
      </c>
      <c r="B22" s="0" t="n">
        <v>6</v>
      </c>
      <c r="C22" s="0" t="s">
        <v>150</v>
      </c>
      <c r="D22" s="0" t="s">
        <v>225</v>
      </c>
      <c r="E22" s="0" t="s">
        <v>226</v>
      </c>
      <c r="F22" s="0" t="n">
        <v>1</v>
      </c>
      <c r="G22" s="5" t="n">
        <v>57.3</v>
      </c>
      <c r="H22" s="5" t="n">
        <f aca="false">F22*G22</f>
        <v>57.3</v>
      </c>
    </row>
    <row r="23" customFormat="false" ht="15" hidden="false" customHeight="false" outlineLevel="0" collapsed="false">
      <c r="A23" s="0" t="s">
        <v>212</v>
      </c>
      <c r="B23" s="0" t="n">
        <v>12</v>
      </c>
      <c r="C23" s="0" t="s">
        <v>227</v>
      </c>
      <c r="D23" s="0" t="s">
        <v>122</v>
      </c>
      <c r="E23" s="0" t="s">
        <v>123</v>
      </c>
      <c r="F23" s="0" t="n">
        <v>5</v>
      </c>
      <c r="G23" s="5" t="n">
        <v>48.68</v>
      </c>
      <c r="H23" s="5" t="n">
        <f aca="false">F23*G23</f>
        <v>243.4</v>
      </c>
    </row>
    <row r="24" customFormat="false" ht="15" hidden="false" customHeight="false" outlineLevel="0" collapsed="false">
      <c r="A24" s="0" t="s">
        <v>213</v>
      </c>
      <c r="B24" s="0" t="n">
        <v>3</v>
      </c>
      <c r="C24" s="0" t="s">
        <v>59</v>
      </c>
      <c r="D24" s="0" t="s">
        <v>122</v>
      </c>
      <c r="E24" s="0" t="s">
        <v>123</v>
      </c>
      <c r="F24" s="0" t="n">
        <v>2</v>
      </c>
      <c r="G24" s="5" t="n">
        <v>29.2</v>
      </c>
      <c r="H24" s="5" t="n">
        <f aca="false">F24*G24</f>
        <v>58.4</v>
      </c>
    </row>
    <row r="25" customFormat="false" ht="15" hidden="false" customHeight="false" outlineLevel="0" collapsed="false">
      <c r="A25" s="0" t="s">
        <v>214</v>
      </c>
      <c r="B25" s="0" t="n">
        <v>4</v>
      </c>
      <c r="C25" s="0" t="s">
        <v>112</v>
      </c>
      <c r="D25" s="0" t="s">
        <v>122</v>
      </c>
      <c r="E25" s="0" t="s">
        <v>123</v>
      </c>
      <c r="F25" s="0" t="n">
        <v>2</v>
      </c>
      <c r="G25" s="5" t="n">
        <v>25.7</v>
      </c>
      <c r="H25" s="5" t="n">
        <f aca="false">F25*G25</f>
        <v>51.4</v>
      </c>
    </row>
    <row r="26" customFormat="false" ht="15" hidden="false" customHeight="false" outlineLevel="0" collapsed="false">
      <c r="A26" s="0" t="s">
        <v>215</v>
      </c>
      <c r="B26" s="0" t="n">
        <v>18</v>
      </c>
      <c r="C26" s="0" t="s">
        <v>114</v>
      </c>
      <c r="D26" s="0" t="s">
        <v>122</v>
      </c>
      <c r="E26" s="0" t="s">
        <v>123</v>
      </c>
      <c r="F26" s="0" t="n">
        <v>3</v>
      </c>
      <c r="G26" s="5" t="n">
        <v>50</v>
      </c>
      <c r="H26" s="5" t="n">
        <f aca="false">F26*G26</f>
        <v>150</v>
      </c>
    </row>
    <row r="27" customFormat="false" ht="15" hidden="false" customHeight="false" outlineLevel="0" collapsed="false">
      <c r="A27" s="0" t="s">
        <v>215</v>
      </c>
      <c r="B27" s="0" t="n">
        <v>18</v>
      </c>
      <c r="C27" s="0" t="s">
        <v>114</v>
      </c>
      <c r="D27" s="0" t="s">
        <v>122</v>
      </c>
      <c r="E27" s="0" t="s">
        <v>123</v>
      </c>
      <c r="F27" s="0" t="n">
        <v>1</v>
      </c>
      <c r="G27" s="5" t="n">
        <v>52.1</v>
      </c>
      <c r="H27" s="5" t="n">
        <f aca="false">F27*G27</f>
        <v>52.1</v>
      </c>
    </row>
    <row r="28" customFormat="false" ht="15" hidden="false" customHeight="false" outlineLevel="0" collapsed="false">
      <c r="A28" s="0" t="s">
        <v>216</v>
      </c>
      <c r="B28" s="0" t="n">
        <v>21</v>
      </c>
      <c r="C28" s="0" t="s">
        <v>217</v>
      </c>
      <c r="D28" s="0" t="s">
        <v>122</v>
      </c>
      <c r="E28" s="0" t="s">
        <v>123</v>
      </c>
      <c r="F28" s="0" t="n">
        <v>2</v>
      </c>
      <c r="G28" s="5" t="n">
        <v>66.8</v>
      </c>
      <c r="H28" s="5" t="n">
        <f aca="false">F28*G28</f>
        <v>133.6</v>
      </c>
    </row>
    <row r="29" customFormat="false" ht="15" hidden="false" customHeight="false" outlineLevel="0" collapsed="false">
      <c r="A29" s="0" t="s">
        <v>218</v>
      </c>
      <c r="B29" s="0" t="n">
        <v>17</v>
      </c>
      <c r="C29" s="0" t="s">
        <v>219</v>
      </c>
      <c r="D29" s="0" t="s">
        <v>122</v>
      </c>
      <c r="E29" s="0" t="s">
        <v>123</v>
      </c>
      <c r="F29" s="0" t="n">
        <v>1</v>
      </c>
      <c r="G29" s="5" t="n">
        <v>37.2</v>
      </c>
      <c r="H29" s="5" t="n">
        <f aca="false">F29*G29</f>
        <v>37.2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28.35" hidden="false" customHeight="false" outlineLevel="0" collapsed="false">
      <c r="A3" s="4" t="s">
        <v>26</v>
      </c>
      <c r="B3" s="4" t="s">
        <v>127</v>
      </c>
      <c r="C3" s="4" t="s">
        <v>48</v>
      </c>
      <c r="D3" s="4" t="s">
        <v>78</v>
      </c>
      <c r="E3" s="4" t="s">
        <v>50</v>
      </c>
      <c r="F3" s="4" t="s">
        <v>128</v>
      </c>
    </row>
    <row r="4" customFormat="false" ht="15" hidden="false" customHeight="false" outlineLevel="0" collapsed="false">
      <c r="A4" s="0" t="s">
        <v>184</v>
      </c>
      <c r="B4" s="0" t="s">
        <v>185</v>
      </c>
      <c r="C4" s="0" t="n">
        <v>5</v>
      </c>
      <c r="D4" s="5" t="n">
        <f aca="false">SUMIFS('Src-E3-DEL-conv'!$C$3:$C$149,'Src-E3-DEL-conv'!$A$3:$A$149,A4,'Src-E3-DEL-conv'!$B$3:$B$149,B4)</f>
        <v>30.3</v>
      </c>
      <c r="E4" s="5" t="n">
        <f aca="false">SUMIFS('Src-C3-notes-conv'!$H$3:$H$29,'Src-C3-notes-conv'!$A$3:$A$29,A4,'Src-C3-notes-conv'!$B$3:$B$29,C4)</f>
        <v>30.3</v>
      </c>
      <c r="F4" s="5" t="n">
        <f aca="false">E4-D4</f>
        <v>0</v>
      </c>
    </row>
    <row r="5" customFormat="false" ht="15" hidden="false" customHeight="false" outlineLevel="0" collapsed="false">
      <c r="A5" s="0" t="s">
        <v>186</v>
      </c>
      <c r="B5" s="0" t="s">
        <v>187</v>
      </c>
      <c r="C5" s="0" t="n">
        <v>21</v>
      </c>
      <c r="D5" s="5" t="n">
        <f aca="false">SUMIFS('Src-E3-DEL-conv'!$C$3:$C$149,'Src-E3-DEL-conv'!$A$3:$A$149,A5,'Src-E3-DEL-conv'!$B$3:$B$149,B5)</f>
        <v>158.2</v>
      </c>
      <c r="E5" s="5" t="n">
        <f aca="false">SUMIFS('Src-C3-notes-conv'!$H$3:$H$29,'Src-C3-notes-conv'!$A$3:$A$29,A5,'Src-C3-notes-conv'!$B$3:$B$29,C5)</f>
        <v>158.2</v>
      </c>
      <c r="F5" s="5" t="n">
        <f aca="false">E5-D5</f>
        <v>0</v>
      </c>
    </row>
    <row r="6" customFormat="false" ht="15" hidden="false" customHeight="false" outlineLevel="0" collapsed="false">
      <c r="A6" s="0" t="s">
        <v>188</v>
      </c>
      <c r="B6" s="0" t="s">
        <v>46</v>
      </c>
      <c r="C6" s="0" t="n">
        <v>17</v>
      </c>
      <c r="D6" s="5" t="n">
        <f aca="false">SUMIFS('Src-E3-DEL-conv'!$C$3:$C$149,'Src-E3-DEL-conv'!$A$3:$A$149,A6,'Src-E3-DEL-conv'!$B$3:$B$149,B6)</f>
        <v>61.3</v>
      </c>
      <c r="E6" s="5" t="n">
        <f aca="false">SUMIFS('Src-C3-notes-conv'!$H$3:$H$29,'Src-C3-notes-conv'!$A$3:$A$29,A6,'Src-C3-notes-conv'!$B$3:$B$29,C6)</f>
        <v>61.3</v>
      </c>
      <c r="F6" s="5" t="n">
        <f aca="false">E6-D6</f>
        <v>0</v>
      </c>
    </row>
    <row r="7" customFormat="false" ht="15" hidden="false" customHeight="false" outlineLevel="0" collapsed="false">
      <c r="A7" s="0" t="s">
        <v>189</v>
      </c>
      <c r="B7" s="0" t="s">
        <v>148</v>
      </c>
      <c r="C7" s="0" t="n">
        <v>27</v>
      </c>
      <c r="D7" s="5" t="n">
        <f aca="false">SUMIFS('Src-E3-DEL-conv'!$C$3:$C$149,'Src-E3-DEL-conv'!$A$3:$A$149,A7,'Src-E3-DEL-conv'!$B$3:$B$149,B7)</f>
        <v>89.3</v>
      </c>
      <c r="E7" s="5" t="n">
        <f aca="false">SUMIFS('Src-C3-notes-conv'!$H$3:$H$29,'Src-C3-notes-conv'!$A$3:$A$29,A7,'Src-C3-notes-conv'!$B$3:$B$29,C7)</f>
        <v>89.3</v>
      </c>
      <c r="F7" s="5" t="n">
        <f aca="false">E7-D7</f>
        <v>0</v>
      </c>
    </row>
    <row r="8" customFormat="false" ht="15" hidden="false" customHeight="false" outlineLevel="0" collapsed="false">
      <c r="A8" s="0" t="s">
        <v>190</v>
      </c>
      <c r="B8" s="0" t="s">
        <v>191</v>
      </c>
      <c r="C8" s="0" t="n">
        <v>10</v>
      </c>
      <c r="D8" s="5" t="n">
        <f aca="false">SUMIFS('Src-E3-DEL-conv'!$C$3:$C$149,'Src-E3-DEL-conv'!$A$3:$A$149,A8,'Src-E3-DEL-conv'!$B$3:$B$149,B8)</f>
        <v>33.3</v>
      </c>
      <c r="E8" s="5" t="n">
        <f aca="false">SUMIFS('Src-C3-notes-conv'!$H$3:$H$29,'Src-C3-notes-conv'!$A$3:$A$29,A8,'Src-C3-notes-conv'!$B$3:$B$29,C8)</f>
        <v>33.3</v>
      </c>
      <c r="F8" s="5" t="n">
        <f aca="false">E8-D8</f>
        <v>0</v>
      </c>
    </row>
    <row r="9" customFormat="false" ht="15" hidden="false" customHeight="false" outlineLevel="0" collapsed="false">
      <c r="A9" s="0" t="s">
        <v>192</v>
      </c>
      <c r="B9" s="0" t="s">
        <v>91</v>
      </c>
      <c r="C9" s="0" t="n">
        <v>12</v>
      </c>
      <c r="D9" s="5" t="n">
        <f aca="false">SUMIFS('Src-E3-DEL-conv'!$C$3:$C$149,'Src-E3-DEL-conv'!$A$3:$A$149,A9,'Src-E3-DEL-conv'!$B$3:$B$149,B9)</f>
        <v>108.7</v>
      </c>
      <c r="E9" s="5" t="n">
        <f aca="false">SUMIFS('Src-C3-notes-conv'!$H$3:$H$29,'Src-C3-notes-conv'!$A$3:$A$29,A9,'Src-C3-notes-conv'!$B$3:$B$29,C9)</f>
        <v>108.7</v>
      </c>
      <c r="F9" s="5" t="n">
        <f aca="false">E9-D9</f>
        <v>0</v>
      </c>
    </row>
    <row r="10" customFormat="false" ht="15" hidden="false" customHeight="false" outlineLevel="0" collapsed="false">
      <c r="A10" s="0" t="s">
        <v>193</v>
      </c>
      <c r="B10" s="0" t="s">
        <v>194</v>
      </c>
      <c r="C10" s="0" t="n">
        <v>4</v>
      </c>
      <c r="D10" s="5" t="n">
        <f aca="false">SUMIFS('Src-E3-DEL-conv'!$C$3:$C$149,'Src-E3-DEL-conv'!$A$3:$A$149,A10,'Src-E3-DEL-conv'!$B$3:$B$149,B10)</f>
        <v>129.7</v>
      </c>
      <c r="E10" s="5" t="n">
        <f aca="false">SUMIFS('Src-C3-notes-conv'!$H$3:$H$29,'Src-C3-notes-conv'!$A$3:$A$29,A10,'Src-C3-notes-conv'!$B$3:$B$29,C10)</f>
        <v>129.7</v>
      </c>
      <c r="F10" s="5" t="n">
        <f aca="false">E10-D10</f>
        <v>0</v>
      </c>
    </row>
    <row r="11" customFormat="false" ht="15" hidden="false" customHeight="false" outlineLevel="0" collapsed="false">
      <c r="A11" s="0" t="s">
        <v>195</v>
      </c>
      <c r="B11" s="0" t="s">
        <v>196</v>
      </c>
      <c r="C11" s="0" t="n">
        <v>24</v>
      </c>
      <c r="D11" s="5" t="n">
        <f aca="false">SUMIFS('Src-E3-DEL-conv'!$C$3:$C$149,'Src-E3-DEL-conv'!$A$3:$A$149,A11,'Src-E3-DEL-conv'!$B$3:$B$149,B11)</f>
        <v>61.8</v>
      </c>
      <c r="E11" s="5" t="n">
        <f aca="false">SUMIFS('Src-C3-notes-conv'!$H$3:$H$29,'Src-C3-notes-conv'!$A$3:$A$29,A11,'Src-C3-notes-conv'!$B$3:$B$29,C11)</f>
        <v>61.8</v>
      </c>
      <c r="F11" s="5" t="n">
        <f aca="false">E11-D11</f>
        <v>0</v>
      </c>
    </row>
    <row r="12" customFormat="false" ht="15" hidden="false" customHeight="false" outlineLevel="0" collapsed="false">
      <c r="A12" s="0" t="s">
        <v>197</v>
      </c>
      <c r="B12" s="0" t="s">
        <v>198</v>
      </c>
      <c r="C12" s="0" t="n">
        <v>28</v>
      </c>
      <c r="D12" s="5" t="n">
        <f aca="false">SUMIFS('Src-E3-DEL-conv'!$C$3:$C$149,'Src-E3-DEL-conv'!$A$3:$A$149,A12,'Src-E3-DEL-conv'!$B$3:$B$149,B12)</f>
        <v>134.5</v>
      </c>
      <c r="E12" s="5" t="n">
        <f aca="false">SUMIFS('Src-C3-notes-conv'!$H$3:$H$29,'Src-C3-notes-conv'!$A$3:$A$29,A12,'Src-C3-notes-conv'!$B$3:$B$29,C12)</f>
        <v>134.5</v>
      </c>
      <c r="F12" s="5" t="n">
        <f aca="false">E12-D12</f>
        <v>0</v>
      </c>
    </row>
    <row r="13" customFormat="false" ht="15" hidden="false" customHeight="false" outlineLevel="0" collapsed="false">
      <c r="A13" s="0" t="s">
        <v>199</v>
      </c>
      <c r="B13" s="0" t="s">
        <v>101</v>
      </c>
      <c r="C13" s="0" t="n">
        <v>9</v>
      </c>
      <c r="D13" s="5" t="n">
        <f aca="false">SUMIFS('Src-E3-DEL-conv'!$C$3:$C$149,'Src-E3-DEL-conv'!$A$3:$A$149,A13,'Src-E3-DEL-conv'!$B$3:$B$149,B13)</f>
        <v>65.2</v>
      </c>
      <c r="E13" s="5" t="n">
        <f aca="false">SUMIFS('Src-C3-notes-conv'!$H$3:$H$29,'Src-C3-notes-conv'!$A$3:$A$29,A13,'Src-C3-notes-conv'!$B$3:$B$29,C13)</f>
        <v>65.2</v>
      </c>
      <c r="F13" s="5" t="n">
        <f aca="false">E13-D13</f>
        <v>0</v>
      </c>
    </row>
    <row r="14" customFormat="false" ht="15" hidden="false" customHeight="false" outlineLevel="0" collapsed="false">
      <c r="A14" s="0" t="s">
        <v>200</v>
      </c>
      <c r="B14" s="0" t="s">
        <v>201</v>
      </c>
      <c r="C14" s="0" t="n">
        <v>12</v>
      </c>
      <c r="D14" s="5" t="n">
        <f aca="false">SUMIFS('Src-E3-DEL-conv'!$C$3:$C$149,'Src-E3-DEL-conv'!$A$3:$A$149,A14,'Src-E3-DEL-conv'!$B$3:$B$149,B14)</f>
        <v>182.2</v>
      </c>
      <c r="E14" s="5" t="n">
        <f aca="false">SUMIFS('Src-C3-notes-conv'!$H$3:$H$29,'Src-C3-notes-conv'!$A$3:$A$29,A14,'Src-C3-notes-conv'!$B$3:$B$29,C14)</f>
        <v>182.2</v>
      </c>
      <c r="F14" s="5" t="n">
        <f aca="false">E14-D14</f>
        <v>0</v>
      </c>
    </row>
    <row r="15" customFormat="false" ht="15" hidden="false" customHeight="false" outlineLevel="0" collapsed="false">
      <c r="A15" s="0" t="s">
        <v>202</v>
      </c>
      <c r="B15" s="0" t="s">
        <v>54</v>
      </c>
      <c r="C15" s="0" t="n">
        <v>2</v>
      </c>
      <c r="D15" s="5" t="n">
        <f aca="false">SUMIFS('Src-E3-DEL-conv'!$C$3:$C$149,'Src-E3-DEL-conv'!$A$3:$A$149,A15,'Src-E3-DEL-conv'!$B$3:$B$149,B15)</f>
        <v>21.6</v>
      </c>
      <c r="E15" s="5" t="n">
        <f aca="false">SUMIFS('Src-C3-notes-conv'!$H$3:$H$29,'Src-C3-notes-conv'!$A$3:$A$29,A15,'Src-C3-notes-conv'!$B$3:$B$29,C15)</f>
        <v>21.6</v>
      </c>
      <c r="F15" s="5" t="n">
        <f aca="false">E15-D15</f>
        <v>0</v>
      </c>
    </row>
    <row r="16" customFormat="false" ht="15" hidden="false" customHeight="false" outlineLevel="0" collapsed="false">
      <c r="A16" s="0" t="s">
        <v>203</v>
      </c>
      <c r="B16" s="0" t="s">
        <v>204</v>
      </c>
      <c r="C16" s="0" t="n">
        <v>5</v>
      </c>
      <c r="D16" s="5" t="n">
        <f aca="false">SUMIFS('Src-E3-DEL-conv'!$C$3:$C$149,'Src-E3-DEL-conv'!$A$3:$A$149,A16,'Src-E3-DEL-conv'!$B$3:$B$149,B16)</f>
        <v>103</v>
      </c>
      <c r="E16" s="5" t="n">
        <f aca="false">SUMIFS('Src-C3-notes-conv'!$H$3:$H$29,'Src-C3-notes-conv'!$A$3:$A$29,A16,'Src-C3-notes-conv'!$B$3:$B$29,C16)</f>
        <v>103</v>
      </c>
      <c r="F16" s="5" t="n">
        <f aca="false">E16-D16</f>
        <v>0</v>
      </c>
    </row>
    <row r="17" customFormat="false" ht="15" hidden="false" customHeight="false" outlineLevel="0" collapsed="false">
      <c r="A17" s="0" t="s">
        <v>205</v>
      </c>
      <c r="B17" s="0" t="s">
        <v>206</v>
      </c>
      <c r="C17" s="0" t="n">
        <v>29</v>
      </c>
      <c r="D17" s="5" t="n">
        <f aca="false">SUMIFS('Src-E3-DEL-conv'!$C$3:$C$149,'Src-E3-DEL-conv'!$A$3:$A$149,A17,'Src-E3-DEL-conv'!$B$3:$B$149,B17)</f>
        <v>85.9</v>
      </c>
      <c r="E17" s="5" t="n">
        <f aca="false">SUMIFS('Src-C3-notes-conv'!$H$3:$H$29,'Src-C3-notes-conv'!$A$3:$A$29,A17,'Src-C3-notes-conv'!$B$3:$B$29,C17)</f>
        <v>85.89</v>
      </c>
      <c r="F17" s="5" t="n">
        <f aca="false">E17-D17</f>
        <v>-0.00999999999999091</v>
      </c>
    </row>
    <row r="18" customFormat="false" ht="15" hidden="false" customHeight="false" outlineLevel="0" collapsed="false">
      <c r="A18" s="0" t="s">
        <v>207</v>
      </c>
      <c r="B18" s="0" t="s">
        <v>208</v>
      </c>
      <c r="C18" s="0" t="n">
        <v>31</v>
      </c>
      <c r="D18" s="5" t="n">
        <f aca="false">SUMIFS('Src-E3-DEL-conv'!$C$3:$C$149,'Src-E3-DEL-conv'!$A$3:$A$149,A18,'Src-E3-DEL-conv'!$B$3:$B$149,B18)</f>
        <v>320.4</v>
      </c>
      <c r="E18" s="5" t="n">
        <f aca="false">SUMIFS('Src-C3-notes-conv'!$H$3:$H$29,'Src-C3-notes-conv'!$A$3:$A$29,A18,'Src-C3-notes-conv'!$B$3:$B$29,C18)</f>
        <v>320.4</v>
      </c>
      <c r="F18" s="5" t="n">
        <f aca="false">E18-D18</f>
        <v>0</v>
      </c>
    </row>
    <row r="19" customFormat="false" ht="15" hidden="false" customHeight="false" outlineLevel="0" collapsed="false">
      <c r="A19" s="0" t="s">
        <v>209</v>
      </c>
      <c r="B19" s="0" t="s">
        <v>210</v>
      </c>
      <c r="C19" s="0" t="n">
        <v>11</v>
      </c>
      <c r="D19" s="5" t="n">
        <f aca="false">SUMIFS('Src-E3-DEL-conv'!$C$3:$C$149,'Src-E3-DEL-conv'!$A$3:$A$149,A19,'Src-E3-DEL-conv'!$B$3:$B$149,B19)</f>
        <v>115.9</v>
      </c>
      <c r="E19" s="5" t="n">
        <f aca="false">SUMIFS('Src-C3-notes-conv'!$H$3:$H$29,'Src-C3-notes-conv'!$A$3:$A$29,A19,'Src-C3-notes-conv'!$B$3:$B$29,C19)</f>
        <v>115.9</v>
      </c>
      <c r="F19" s="5" t="n">
        <f aca="false">E19-D19</f>
        <v>0</v>
      </c>
    </row>
    <row r="20" customFormat="false" ht="15" hidden="false" customHeight="false" outlineLevel="0" collapsed="false">
      <c r="A20" s="0" t="s">
        <v>211</v>
      </c>
      <c r="B20" s="0" t="s">
        <v>150</v>
      </c>
      <c r="C20" s="0" t="n">
        <v>6</v>
      </c>
      <c r="D20" s="5" t="n">
        <f aca="false">SUMIFS('Src-E3-DEL-conv'!$C$3:$C$149,'Src-E3-DEL-conv'!$A$3:$A$149,A20,'Src-E3-DEL-conv'!$B$3:$B$149,B20)</f>
        <v>157.3</v>
      </c>
      <c r="E20" s="5" t="n">
        <f aca="false">SUMIFS('Src-C3-notes-conv'!$H$3:$H$29,'Src-C3-notes-conv'!$A$3:$A$29,A20,'Src-C3-notes-conv'!$B$3:$B$29,C20)</f>
        <v>157.3</v>
      </c>
      <c r="F20" s="5" t="n">
        <f aca="false">E20-D20</f>
        <v>0</v>
      </c>
    </row>
    <row r="21" customFormat="false" ht="15" hidden="false" customHeight="false" outlineLevel="0" collapsed="false">
      <c r="A21" s="0" t="s">
        <v>212</v>
      </c>
      <c r="B21" s="0" t="s">
        <v>64</v>
      </c>
      <c r="C21" s="0" t="n">
        <v>12</v>
      </c>
      <c r="D21" s="5" t="n">
        <f aca="false">SUMIFS('Src-E3-DEL-conv'!$C$3:$C$149,'Src-E3-DEL-conv'!$A$3:$A$149,A21,'Src-E3-DEL-conv'!$B$3:$B$149,B21)</f>
        <v>243.4</v>
      </c>
      <c r="E21" s="5" t="n">
        <f aca="false">SUMIFS('Src-C3-notes-conv'!$H$3:$H$29,'Src-C3-notes-conv'!$A$3:$A$29,A21,'Src-C3-notes-conv'!$B$3:$B$29,C21)</f>
        <v>243.4</v>
      </c>
      <c r="F21" s="5" t="n">
        <f aca="false">E21-D21</f>
        <v>0</v>
      </c>
    </row>
    <row r="22" customFormat="false" ht="15" hidden="false" customHeight="false" outlineLevel="0" collapsed="false">
      <c r="A22" s="0" t="s">
        <v>213</v>
      </c>
      <c r="B22" s="0" t="s">
        <v>59</v>
      </c>
      <c r="C22" s="0" t="n">
        <v>3</v>
      </c>
      <c r="D22" s="5" t="n">
        <f aca="false">SUMIFS('Src-E3-DEL-conv'!$C$3:$C$149,'Src-E3-DEL-conv'!$A$3:$A$149,A22,'Src-E3-DEL-conv'!$B$3:$B$149,B22)</f>
        <v>58.4</v>
      </c>
      <c r="E22" s="5" t="n">
        <f aca="false">SUMIFS('Src-C3-notes-conv'!$H$3:$H$29,'Src-C3-notes-conv'!$A$3:$A$29,A22,'Src-C3-notes-conv'!$B$3:$B$29,C22)</f>
        <v>58.4</v>
      </c>
      <c r="F22" s="5" t="n">
        <f aca="false">E22-D22</f>
        <v>0</v>
      </c>
    </row>
    <row r="23" customFormat="false" ht="15" hidden="false" customHeight="false" outlineLevel="0" collapsed="false">
      <c r="A23" s="0" t="s">
        <v>214</v>
      </c>
      <c r="B23" s="0" t="s">
        <v>112</v>
      </c>
      <c r="C23" s="0" t="n">
        <v>4</v>
      </c>
      <c r="D23" s="5" t="n">
        <f aca="false">SUMIFS('Src-E3-DEL-conv'!$C$3:$C$149,'Src-E3-DEL-conv'!$A$3:$A$149,A23,'Src-E3-DEL-conv'!$B$3:$B$149,B23)</f>
        <v>51.4</v>
      </c>
      <c r="E23" s="5" t="n">
        <f aca="false">SUMIFS('Src-C3-notes-conv'!$H$3:$H$29,'Src-C3-notes-conv'!$A$3:$A$29,A23,'Src-C3-notes-conv'!$B$3:$B$29,C23)</f>
        <v>51.4</v>
      </c>
      <c r="F23" s="5" t="n">
        <f aca="false">E23-D23</f>
        <v>0</v>
      </c>
    </row>
    <row r="24" customFormat="false" ht="15" hidden="false" customHeight="false" outlineLevel="0" collapsed="false">
      <c r="A24" s="0" t="s">
        <v>215</v>
      </c>
      <c r="B24" s="0" t="s">
        <v>114</v>
      </c>
      <c r="C24" s="0" t="n">
        <v>18</v>
      </c>
      <c r="D24" s="5" t="n">
        <f aca="false">SUMIFS('Src-E3-DEL-conv'!$C$3:$C$149,'Src-E3-DEL-conv'!$A$3:$A$149,A24,'Src-E3-DEL-conv'!$B$3:$B$149,B24)</f>
        <v>202.1</v>
      </c>
      <c r="E24" s="5" t="n">
        <f aca="false">SUMIFS('Src-C3-notes-conv'!$H$3:$H$29,'Src-C3-notes-conv'!$A$3:$A$29,A24,'Src-C3-notes-conv'!$B$3:$B$29,C24)</f>
        <v>202.1</v>
      </c>
      <c r="F24" s="5" t="n">
        <f aca="false">E24-D24</f>
        <v>0</v>
      </c>
    </row>
    <row r="25" customFormat="false" ht="15" hidden="false" customHeight="false" outlineLevel="0" collapsed="false">
      <c r="A25" s="0" t="s">
        <v>216</v>
      </c>
      <c r="B25" s="0" t="s">
        <v>217</v>
      </c>
      <c r="C25" s="0" t="n">
        <v>21</v>
      </c>
      <c r="D25" s="5" t="n">
        <f aca="false">SUMIFS('Src-E3-DEL-conv'!$C$3:$C$149,'Src-E3-DEL-conv'!$A$3:$A$149,A25,'Src-E3-DEL-conv'!$B$3:$B$149,B25)</f>
        <v>133.6</v>
      </c>
      <c r="E25" s="5" t="n">
        <f aca="false">SUMIFS('Src-C3-notes-conv'!$H$3:$H$29,'Src-C3-notes-conv'!$A$3:$A$29,A25,'Src-C3-notes-conv'!$B$3:$B$29,C25)</f>
        <v>133.6</v>
      </c>
      <c r="F25" s="5" t="n">
        <f aca="false">E25-D25</f>
        <v>0</v>
      </c>
    </row>
    <row r="26" customFormat="false" ht="15" hidden="false" customHeight="false" outlineLevel="0" collapsed="false">
      <c r="A26" s="0" t="s">
        <v>218</v>
      </c>
      <c r="B26" s="0" t="s">
        <v>219</v>
      </c>
      <c r="C26" s="0" t="n">
        <v>17</v>
      </c>
      <c r="D26" s="5" t="n">
        <f aca="false">SUMIFS('Src-E3-DEL-conv'!$C$3:$C$149,'Src-E3-DEL-conv'!$A$3:$A$149,A26,'Src-E3-DEL-conv'!$B$3:$B$149,B26)</f>
        <v>37.2</v>
      </c>
      <c r="E26" s="5" t="n">
        <f aca="false">SUMIFS('Src-C3-notes-conv'!$H$3:$H$29,'Src-C3-notes-conv'!$A$3:$A$29,A26,'Src-C3-notes-conv'!$B$3:$B$29,C26)</f>
        <v>37.2</v>
      </c>
      <c r="F26" s="5" t="n">
        <f aca="false">E26-D26</f>
        <v>0</v>
      </c>
    </row>
    <row r="27" customFormat="false" ht="15" hidden="false" customHeight="false" outlineLevel="0" collapsed="false">
      <c r="A27" s="9" t="s">
        <v>84</v>
      </c>
      <c r="B27" s="12"/>
      <c r="C27" s="9" t="n">
        <f aca="false">COUNTA(A4:A26)</f>
        <v>23</v>
      </c>
      <c r="D27" s="10" t="n">
        <f aca="false">SUM(D4:D26)</f>
        <v>2584.7</v>
      </c>
      <c r="E27" s="10" t="n">
        <f aca="false">SUM(E4:E26)</f>
        <v>2584.69</v>
      </c>
      <c r="F27" s="10" t="n">
        <f aca="false">SUM(F4:F26)</f>
        <v>-0.00999999999999091</v>
      </c>
    </row>
    <row r="29" customFormat="false" ht="15" hidden="false" customHeight="false" outlineLevel="0" collapsed="false">
      <c r="A29" s="0" t="s">
        <v>129</v>
      </c>
      <c r="D29" s="5" t="n">
        <f aca="false">SUMIF('Src-C3-notes-conv'!$D$3:$D$29,"0196",'Src-C3-notes-conv'!$F$3:$F$29)</f>
        <v>51</v>
      </c>
    </row>
    <row r="30" customFormat="false" ht="15" hidden="false" customHeight="false" outlineLevel="0" collapsed="false">
      <c r="A30" s="0" t="s">
        <v>130</v>
      </c>
      <c r="D30" s="5" t="n">
        <f aca="false">COUNTA('Src-E3-DEL-conv'!$C$3:$C$149)</f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" t="s">
        <v>230</v>
      </c>
    </row>
    <row r="2" customFormat="false" ht="28.35" hidden="false" customHeight="false" outlineLevel="0" collapsed="false">
      <c r="A2" s="4" t="s">
        <v>26</v>
      </c>
      <c r="B2" s="4" t="s">
        <v>118</v>
      </c>
      <c r="C2" s="4" t="s">
        <v>231</v>
      </c>
      <c r="D2" s="4" t="s">
        <v>232</v>
      </c>
    </row>
    <row r="3" customFormat="false" ht="15" hidden="false" customHeight="false" outlineLevel="0" collapsed="false">
      <c r="A3" s="0" t="s">
        <v>233</v>
      </c>
      <c r="B3" s="0" t="n">
        <v>1</v>
      </c>
      <c r="C3" s="5" t="n">
        <v>45</v>
      </c>
      <c r="D3" s="5" t="n">
        <f aca="false">B3*C3</f>
        <v>45</v>
      </c>
    </row>
    <row r="4" customFormat="false" ht="15" hidden="false" customHeight="false" outlineLevel="0" collapsed="false">
      <c r="A4" s="0" t="s">
        <v>90</v>
      </c>
      <c r="B4" s="0" t="n">
        <v>2</v>
      </c>
      <c r="C4" s="5" t="n">
        <v>15.2</v>
      </c>
      <c r="D4" s="5" t="n">
        <f aca="false">B4*C4</f>
        <v>30.4</v>
      </c>
    </row>
    <row r="5" customFormat="false" ht="15" hidden="false" customHeight="false" outlineLevel="0" collapsed="false">
      <c r="A5" s="0" t="s">
        <v>90</v>
      </c>
      <c r="B5" s="0" t="n">
        <v>1</v>
      </c>
      <c r="C5" s="5" t="n">
        <v>49.2</v>
      </c>
      <c r="D5" s="5" t="n">
        <f aca="false">B5*C5</f>
        <v>49.2</v>
      </c>
    </row>
    <row r="6" customFormat="false" ht="15" hidden="false" customHeight="false" outlineLevel="0" collapsed="false">
      <c r="A6" s="0" t="s">
        <v>234</v>
      </c>
      <c r="B6" s="0" t="n">
        <v>1</v>
      </c>
      <c r="C6" s="5" t="n">
        <v>45</v>
      </c>
      <c r="D6" s="5" t="n">
        <f aca="false">B6*C6</f>
        <v>45</v>
      </c>
    </row>
    <row r="7" customFormat="false" ht="15" hidden="false" customHeight="false" outlineLevel="0" collapsed="false">
      <c r="A7" s="0" t="s">
        <v>234</v>
      </c>
      <c r="B7" s="0" t="n">
        <v>1</v>
      </c>
      <c r="C7" s="5" t="n">
        <v>31.7</v>
      </c>
      <c r="D7" s="5" t="n">
        <f aca="false">B7*C7</f>
        <v>31.7</v>
      </c>
    </row>
    <row r="8" customFormat="false" ht="15" hidden="false" customHeight="false" outlineLevel="0" collapsed="false">
      <c r="A8" s="0" t="s">
        <v>235</v>
      </c>
      <c r="B8" s="0" t="n">
        <v>1</v>
      </c>
      <c r="C8" s="5" t="n">
        <v>45</v>
      </c>
      <c r="D8" s="5" t="n">
        <f aca="false">B8*C8</f>
        <v>45</v>
      </c>
    </row>
    <row r="9" customFormat="false" ht="15" hidden="false" customHeight="false" outlineLevel="0" collapsed="false">
      <c r="A9" s="0" t="s">
        <v>236</v>
      </c>
      <c r="B9" s="0" t="n">
        <v>1</v>
      </c>
      <c r="C9" s="5" t="n">
        <v>47.1</v>
      </c>
      <c r="D9" s="5" t="n">
        <f aca="false">B9*C9</f>
        <v>47.1</v>
      </c>
    </row>
    <row r="10" customFormat="false" ht="15" hidden="false" customHeight="false" outlineLevel="0" collapsed="false">
      <c r="A10" s="0" t="s">
        <v>236</v>
      </c>
      <c r="B10" s="0" t="n">
        <v>1</v>
      </c>
      <c r="C10" s="5" t="n">
        <v>30</v>
      </c>
      <c r="D10" s="5" t="n">
        <f aca="false">B10*C10</f>
        <v>30</v>
      </c>
    </row>
    <row r="11" customFormat="false" ht="15" hidden="false" customHeight="false" outlineLevel="0" collapsed="false">
      <c r="A11" s="0" t="s">
        <v>93</v>
      </c>
      <c r="B11" s="0" t="n">
        <v>2</v>
      </c>
      <c r="C11" s="5" t="n">
        <v>27.2</v>
      </c>
      <c r="D11" s="5" t="n">
        <f aca="false">B11*C11</f>
        <v>54.4</v>
      </c>
    </row>
    <row r="12" customFormat="false" ht="15" hidden="false" customHeight="false" outlineLevel="0" collapsed="false">
      <c r="A12" s="0" t="s">
        <v>93</v>
      </c>
      <c r="B12" s="0" t="n">
        <v>1</v>
      </c>
      <c r="C12" s="5" t="n">
        <v>40.9</v>
      </c>
      <c r="D12" s="5" t="n">
        <f aca="false">B12*C12</f>
        <v>40.9</v>
      </c>
    </row>
    <row r="13" customFormat="false" ht="15" hidden="false" customHeight="false" outlineLevel="0" collapsed="false">
      <c r="A13" s="0" t="s">
        <v>93</v>
      </c>
      <c r="B13" s="0" t="n">
        <v>1</v>
      </c>
      <c r="C13" s="5" t="n">
        <v>20</v>
      </c>
      <c r="D13" s="5" t="n">
        <f aca="false">B13*C13</f>
        <v>20</v>
      </c>
    </row>
    <row r="14" customFormat="false" ht="15" hidden="false" customHeight="false" outlineLevel="0" collapsed="false">
      <c r="A14" s="0" t="s">
        <v>237</v>
      </c>
      <c r="B14" s="0" t="n">
        <v>1</v>
      </c>
      <c r="C14" s="5" t="n">
        <v>45</v>
      </c>
      <c r="D14" s="5" t="n">
        <f aca="false">B14*C14</f>
        <v>45</v>
      </c>
    </row>
    <row r="15" customFormat="false" ht="15" hidden="false" customHeight="false" outlineLevel="0" collapsed="false">
      <c r="A15" s="0" t="s">
        <v>238</v>
      </c>
      <c r="B15" s="0" t="n">
        <v>1</v>
      </c>
      <c r="C15" s="5" t="n">
        <v>45</v>
      </c>
      <c r="D15" s="5" t="n">
        <f aca="false">B15*C15</f>
        <v>45</v>
      </c>
    </row>
    <row r="16" customFormat="false" ht="15" hidden="false" customHeight="false" outlineLevel="0" collapsed="false">
      <c r="A16" s="0" t="s">
        <v>239</v>
      </c>
      <c r="B16" s="0" t="n">
        <v>2</v>
      </c>
      <c r="C16" s="5" t="n">
        <v>45</v>
      </c>
      <c r="D16" s="5" t="n">
        <f aca="false">B16*C16</f>
        <v>90</v>
      </c>
    </row>
    <row r="17" customFormat="false" ht="15" hidden="false" customHeight="false" outlineLevel="0" collapsed="false">
      <c r="A17" s="0" t="s">
        <v>240</v>
      </c>
      <c r="B17" s="0" t="n">
        <v>1</v>
      </c>
      <c r="C17" s="5" t="n">
        <v>45</v>
      </c>
      <c r="D17" s="5" t="n">
        <f aca="false">B17*C17</f>
        <v>45</v>
      </c>
    </row>
    <row r="18" customFormat="false" ht="15" hidden="false" customHeight="false" outlineLevel="0" collapsed="false">
      <c r="A18" s="0" t="s">
        <v>241</v>
      </c>
      <c r="B18" s="0" t="n">
        <v>1</v>
      </c>
      <c r="C18" s="5" t="n">
        <v>45</v>
      </c>
      <c r="D18" s="5" t="n">
        <f aca="false">B18*C18</f>
        <v>45</v>
      </c>
    </row>
    <row r="19" customFormat="false" ht="15" hidden="false" customHeight="false" outlineLevel="0" collapsed="false">
      <c r="A19" s="0" t="s">
        <v>242</v>
      </c>
      <c r="B19" s="0" t="n">
        <v>1</v>
      </c>
      <c r="C19" s="5" t="n">
        <v>45</v>
      </c>
      <c r="D19" s="5" t="n">
        <f aca="false">B19*C19</f>
        <v>45</v>
      </c>
    </row>
    <row r="20" customFormat="false" ht="15" hidden="false" customHeight="false" outlineLevel="0" collapsed="false">
      <c r="A20" s="0" t="s">
        <v>243</v>
      </c>
      <c r="B20" s="0" t="n">
        <v>1</v>
      </c>
      <c r="C20" s="5" t="n">
        <v>45</v>
      </c>
      <c r="D20" s="5" t="n">
        <f aca="false">B20*C20</f>
        <v>45</v>
      </c>
    </row>
    <row r="21" customFormat="false" ht="15" hidden="false" customHeight="false" outlineLevel="0" collapsed="false">
      <c r="A21" s="0" t="s">
        <v>244</v>
      </c>
      <c r="B21" s="0" t="n">
        <v>1</v>
      </c>
      <c r="C21" s="5" t="n">
        <v>45</v>
      </c>
      <c r="D21" s="5" t="n">
        <f aca="false">B21*C21</f>
        <v>45</v>
      </c>
    </row>
    <row r="22" customFormat="false" ht="15" hidden="false" customHeight="false" outlineLevel="0" collapsed="false">
      <c r="A22" s="0" t="s">
        <v>245</v>
      </c>
      <c r="B22" s="0" t="n">
        <v>1</v>
      </c>
      <c r="C22" s="5" t="n">
        <v>45</v>
      </c>
      <c r="D22" s="5" t="n">
        <f aca="false">B22*C22</f>
        <v>45</v>
      </c>
    </row>
    <row r="23" customFormat="false" ht="15" hidden="false" customHeight="false" outlineLevel="0" collapsed="false">
      <c r="A23" s="0" t="s">
        <v>245</v>
      </c>
      <c r="B23" s="0" t="n">
        <v>0.5</v>
      </c>
      <c r="C23" s="5" t="n">
        <v>45</v>
      </c>
      <c r="D23" s="5" t="n">
        <f aca="false">B23*C23</f>
        <v>22.5</v>
      </c>
    </row>
    <row r="24" customFormat="false" ht="15" hidden="false" customHeight="false" outlineLevel="0" collapsed="false">
      <c r="A24" s="0" t="s">
        <v>245</v>
      </c>
      <c r="B24" s="0" t="n">
        <v>1</v>
      </c>
      <c r="C24" s="5" t="n">
        <v>45</v>
      </c>
      <c r="D24" s="5" t="n">
        <f aca="false">B24*C24</f>
        <v>45</v>
      </c>
    </row>
    <row r="25" customFormat="false" ht="15" hidden="false" customHeight="false" outlineLevel="0" collapsed="false">
      <c r="A25" s="0" t="s">
        <v>246</v>
      </c>
      <c r="B25" s="0" t="n">
        <v>2</v>
      </c>
      <c r="C25" s="5" t="n">
        <v>32.65</v>
      </c>
      <c r="D25" s="5" t="n">
        <f aca="false">B25*C25</f>
        <v>65.3</v>
      </c>
    </row>
    <row r="26" customFormat="false" ht="15" hidden="false" customHeight="false" outlineLevel="0" collapsed="false">
      <c r="A26" s="0" t="s">
        <v>247</v>
      </c>
      <c r="B26" s="0" t="n">
        <v>3</v>
      </c>
      <c r="C26" s="5" t="n">
        <v>45</v>
      </c>
      <c r="D26" s="5" t="n">
        <f aca="false">B26*C26</f>
        <v>135</v>
      </c>
    </row>
    <row r="27" customFormat="false" ht="15" hidden="false" customHeight="false" outlineLevel="0" collapsed="false">
      <c r="A27" s="0" t="s">
        <v>247</v>
      </c>
      <c r="B27" s="0" t="n">
        <v>2</v>
      </c>
      <c r="C27" s="5" t="n">
        <v>45</v>
      </c>
      <c r="D27" s="5" t="n">
        <f aca="false">B27*C27</f>
        <v>90</v>
      </c>
    </row>
    <row r="28" customFormat="false" ht="15" hidden="false" customHeight="false" outlineLevel="0" collapsed="false">
      <c r="A28" s="0" t="s">
        <v>248</v>
      </c>
      <c r="B28" s="0" t="n">
        <v>2</v>
      </c>
      <c r="C28" s="5" t="n">
        <v>45</v>
      </c>
      <c r="D28" s="5" t="n">
        <f aca="false">B28*C28</f>
        <v>90</v>
      </c>
    </row>
    <row r="29" customFormat="false" ht="15" hidden="false" customHeight="false" outlineLevel="0" collapsed="false">
      <c r="A29" s="0" t="s">
        <v>249</v>
      </c>
      <c r="B29" s="0" t="n">
        <v>1</v>
      </c>
      <c r="C29" s="5" t="n">
        <v>45</v>
      </c>
      <c r="D29" s="5" t="n">
        <f aca="false">B29*C29</f>
        <v>45</v>
      </c>
    </row>
    <row r="30" customFormat="false" ht="15" hidden="false" customHeight="false" outlineLevel="0" collapsed="false">
      <c r="A30" s="0" t="s">
        <v>250</v>
      </c>
      <c r="B30" s="0" t="n">
        <v>1</v>
      </c>
      <c r="C30" s="5" t="n">
        <v>45</v>
      </c>
      <c r="D30" s="5" t="n">
        <f aca="false">B30*C30</f>
        <v>45</v>
      </c>
    </row>
    <row r="31" customFormat="false" ht="15" hidden="false" customHeight="false" outlineLevel="0" collapsed="false">
      <c r="A31" s="0" t="s">
        <v>250</v>
      </c>
      <c r="B31" s="0" t="n">
        <v>2</v>
      </c>
      <c r="C31" s="5" t="n">
        <v>45</v>
      </c>
      <c r="D31" s="5" t="n">
        <f aca="false">B31*C31</f>
        <v>90</v>
      </c>
    </row>
    <row r="32" customFormat="false" ht="15" hidden="false" customHeight="false" outlineLevel="0" collapsed="false">
      <c r="A32" s="0" t="s">
        <v>251</v>
      </c>
      <c r="B32" s="0" t="n">
        <v>2</v>
      </c>
      <c r="C32" s="5" t="n">
        <v>45</v>
      </c>
      <c r="D32" s="5" t="n">
        <f aca="false">B32*C32</f>
        <v>90</v>
      </c>
    </row>
    <row r="33" customFormat="false" ht="15" hidden="false" customHeight="false" outlineLevel="0" collapsed="false">
      <c r="A33" s="0" t="s">
        <v>251</v>
      </c>
      <c r="B33" s="0" t="n">
        <v>1</v>
      </c>
      <c r="C33" s="5" t="n">
        <v>45</v>
      </c>
      <c r="D33" s="5" t="n">
        <f aca="false">B33*C33</f>
        <v>45</v>
      </c>
    </row>
    <row r="34" customFormat="false" ht="15" hidden="false" customHeight="false" outlineLevel="0" collapsed="false">
      <c r="A34" s="0" t="s">
        <v>252</v>
      </c>
      <c r="B34" s="0" t="n">
        <v>6</v>
      </c>
      <c r="C34" s="5" t="n">
        <v>45</v>
      </c>
      <c r="D34" s="5" t="n">
        <f aca="false">B34*C34</f>
        <v>270</v>
      </c>
    </row>
    <row r="35" customFormat="false" ht="15" hidden="false" customHeight="false" outlineLevel="0" collapsed="false">
      <c r="A35" s="0" t="s">
        <v>253</v>
      </c>
      <c r="B35" s="0" t="n">
        <v>2</v>
      </c>
      <c r="C35" s="5" t="n">
        <v>85</v>
      </c>
      <c r="D35" s="5" t="n">
        <f aca="false">B35*C35</f>
        <v>170</v>
      </c>
    </row>
    <row r="36" customFormat="false" ht="15" hidden="false" customHeight="false" outlineLevel="0" collapsed="false">
      <c r="A36" s="0" t="s">
        <v>254</v>
      </c>
      <c r="B36" s="0" t="n">
        <v>4</v>
      </c>
      <c r="C36" s="5" t="n">
        <v>35.25</v>
      </c>
      <c r="D36" s="5" t="n">
        <f aca="false">B36*C36</f>
        <v>141</v>
      </c>
    </row>
    <row r="37" customFormat="false" ht="15" hidden="false" customHeight="false" outlineLevel="0" collapsed="false">
      <c r="A37" s="0" t="s">
        <v>255</v>
      </c>
      <c r="B37" s="0" t="n">
        <v>1</v>
      </c>
      <c r="C37" s="5" t="n">
        <v>45</v>
      </c>
      <c r="D37" s="5" t="n">
        <f aca="false">B37*C37</f>
        <v>45</v>
      </c>
    </row>
    <row r="38" customFormat="false" ht="15" hidden="false" customHeight="false" outlineLevel="0" collapsed="false">
      <c r="A38" s="0" t="s">
        <v>95</v>
      </c>
      <c r="B38" s="0" t="n">
        <v>5</v>
      </c>
      <c r="C38" s="5" t="n">
        <v>37.42</v>
      </c>
      <c r="D38" s="5" t="n">
        <f aca="false">B38*C38</f>
        <v>187.1</v>
      </c>
    </row>
    <row r="39" customFormat="false" ht="15" hidden="false" customHeight="false" outlineLevel="0" collapsed="false">
      <c r="A39" s="0" t="s">
        <v>256</v>
      </c>
      <c r="B39" s="0" t="n">
        <v>2</v>
      </c>
      <c r="C39" s="5" t="n">
        <v>45</v>
      </c>
      <c r="D39" s="5" t="n">
        <f aca="false">B39*C39</f>
        <v>90</v>
      </c>
    </row>
    <row r="40" customFormat="false" ht="15" hidden="false" customHeight="false" outlineLevel="0" collapsed="false">
      <c r="A40" s="0" t="s">
        <v>257</v>
      </c>
      <c r="B40" s="0" t="n">
        <v>1</v>
      </c>
      <c r="C40" s="5" t="n">
        <v>45</v>
      </c>
      <c r="D40" s="5" t="n">
        <f aca="false">B40*C40</f>
        <v>45</v>
      </c>
    </row>
    <row r="41" customFormat="false" ht="15" hidden="false" customHeight="false" outlineLevel="0" collapsed="false">
      <c r="A41" s="0" t="s">
        <v>258</v>
      </c>
      <c r="B41" s="0" t="n">
        <v>2</v>
      </c>
      <c r="C41" s="5" t="n">
        <v>45</v>
      </c>
      <c r="D41" s="5" t="n">
        <f aca="false">B41*C41</f>
        <v>90</v>
      </c>
    </row>
    <row r="42" customFormat="false" ht="15" hidden="false" customHeight="false" outlineLevel="0" collapsed="false">
      <c r="A42" s="0" t="s">
        <v>97</v>
      </c>
      <c r="B42" s="0" t="n">
        <v>1</v>
      </c>
      <c r="C42" s="5" t="n">
        <v>39.8</v>
      </c>
      <c r="D42" s="5" t="n">
        <f aca="false">B42*C42</f>
        <v>39.8</v>
      </c>
    </row>
    <row r="43" customFormat="false" ht="15" hidden="false" customHeight="false" outlineLevel="0" collapsed="false">
      <c r="A43" s="0" t="s">
        <v>97</v>
      </c>
      <c r="B43" s="0" t="n">
        <v>1</v>
      </c>
      <c r="C43" s="5" t="n">
        <v>45</v>
      </c>
      <c r="D43" s="5" t="n">
        <f aca="false">B43*C43</f>
        <v>45</v>
      </c>
    </row>
    <row r="44" customFormat="false" ht="15" hidden="false" customHeight="false" outlineLevel="0" collapsed="false">
      <c r="A44" s="0" t="s">
        <v>98</v>
      </c>
      <c r="B44" s="0" t="n">
        <v>2</v>
      </c>
      <c r="C44" s="5" t="n">
        <v>38.3</v>
      </c>
      <c r="D44" s="5" t="n">
        <f aca="false">B44*C44</f>
        <v>76.6</v>
      </c>
    </row>
    <row r="45" customFormat="false" ht="15" hidden="false" customHeight="false" outlineLevel="0" collapsed="false">
      <c r="A45" s="0" t="s">
        <v>98</v>
      </c>
      <c r="B45" s="0" t="n">
        <v>2</v>
      </c>
      <c r="C45" s="5" t="n">
        <v>20</v>
      </c>
      <c r="D45" s="5" t="n">
        <f aca="false">B45*C45</f>
        <v>40</v>
      </c>
    </row>
    <row r="46" customFormat="false" ht="15" hidden="false" customHeight="false" outlineLevel="0" collapsed="false">
      <c r="A46" s="0" t="s">
        <v>98</v>
      </c>
      <c r="B46" s="0" t="n">
        <v>1</v>
      </c>
      <c r="C46" s="5" t="n">
        <v>45</v>
      </c>
      <c r="D46" s="5" t="n">
        <f aca="false">B46*C46</f>
        <v>45</v>
      </c>
    </row>
    <row r="47" customFormat="false" ht="15" hidden="false" customHeight="false" outlineLevel="0" collapsed="false">
      <c r="A47" s="0" t="s">
        <v>259</v>
      </c>
      <c r="B47" s="0" t="n">
        <v>1</v>
      </c>
      <c r="C47" s="5" t="n">
        <v>45</v>
      </c>
      <c r="D47" s="5" t="n">
        <f aca="false">B47*C47</f>
        <v>45</v>
      </c>
    </row>
    <row r="48" customFormat="false" ht="15" hidden="false" customHeight="false" outlineLevel="0" collapsed="false">
      <c r="A48" s="0" t="s">
        <v>259</v>
      </c>
      <c r="B48" s="0" t="n">
        <v>1</v>
      </c>
      <c r="C48" s="5" t="n">
        <v>45</v>
      </c>
      <c r="D48" s="5" t="n">
        <f aca="false">B48*C48</f>
        <v>45</v>
      </c>
    </row>
    <row r="49" customFormat="false" ht="15" hidden="false" customHeight="false" outlineLevel="0" collapsed="false">
      <c r="A49" s="0" t="s">
        <v>259</v>
      </c>
      <c r="B49" s="0" t="n">
        <v>1</v>
      </c>
      <c r="C49" s="5" t="n">
        <v>45</v>
      </c>
      <c r="D49" s="5" t="n">
        <f aca="false">B49*C49</f>
        <v>45</v>
      </c>
    </row>
    <row r="50" customFormat="false" ht="15" hidden="false" customHeight="false" outlineLevel="0" collapsed="false">
      <c r="A50" s="0" t="s">
        <v>260</v>
      </c>
      <c r="B50" s="0" t="n">
        <v>2</v>
      </c>
      <c r="C50" s="5" t="n">
        <v>45</v>
      </c>
      <c r="D50" s="5" t="n">
        <f aca="false">B50*C50</f>
        <v>90</v>
      </c>
    </row>
    <row r="51" customFormat="false" ht="15" hidden="false" customHeight="false" outlineLevel="0" collapsed="false">
      <c r="A51" s="0" t="s">
        <v>261</v>
      </c>
      <c r="B51" s="0" t="n">
        <v>2</v>
      </c>
      <c r="C51" s="5" t="n">
        <v>45</v>
      </c>
      <c r="D51" s="5" t="n">
        <f aca="false">B51*C51</f>
        <v>90</v>
      </c>
    </row>
    <row r="52" customFormat="false" ht="15" hidden="false" customHeight="false" outlineLevel="0" collapsed="false">
      <c r="A52" s="0" t="s">
        <v>261</v>
      </c>
      <c r="B52" s="0" t="n">
        <v>4</v>
      </c>
      <c r="C52" s="5" t="n">
        <v>45</v>
      </c>
      <c r="D52" s="5" t="n">
        <f aca="false">B52*C52</f>
        <v>180</v>
      </c>
    </row>
    <row r="53" customFormat="false" ht="15" hidden="false" customHeight="false" outlineLevel="0" collapsed="false">
      <c r="A53" s="0" t="s">
        <v>100</v>
      </c>
      <c r="B53" s="0" t="n">
        <v>2</v>
      </c>
      <c r="C53" s="5" t="n">
        <v>54.1</v>
      </c>
      <c r="D53" s="5" t="n">
        <f aca="false">B53*C53</f>
        <v>108.2</v>
      </c>
    </row>
    <row r="54" customFormat="false" ht="15" hidden="false" customHeight="false" outlineLevel="0" collapsed="false">
      <c r="A54" s="0" t="s">
        <v>262</v>
      </c>
      <c r="B54" s="0" t="n">
        <v>3</v>
      </c>
      <c r="C54" s="5" t="n">
        <v>45</v>
      </c>
      <c r="D54" s="5" t="n">
        <f aca="false">B54*C54</f>
        <v>135</v>
      </c>
    </row>
    <row r="55" customFormat="false" ht="15" hidden="false" customHeight="false" outlineLevel="0" collapsed="false">
      <c r="A55" s="0" t="s">
        <v>262</v>
      </c>
      <c r="B55" s="0" t="n">
        <v>1</v>
      </c>
      <c r="C55" s="5" t="n">
        <v>45</v>
      </c>
      <c r="D55" s="5" t="n">
        <f aca="false">B55*C55</f>
        <v>45</v>
      </c>
    </row>
    <row r="56" customFormat="false" ht="15" hidden="false" customHeight="false" outlineLevel="0" collapsed="false">
      <c r="A56" s="0" t="s">
        <v>263</v>
      </c>
      <c r="B56" s="0" t="n">
        <v>1</v>
      </c>
      <c r="C56" s="5" t="n">
        <v>15.9</v>
      </c>
      <c r="D56" s="5" t="n">
        <f aca="false">B56*C56</f>
        <v>15.9</v>
      </c>
    </row>
    <row r="57" customFormat="false" ht="15" hidden="false" customHeight="false" outlineLevel="0" collapsed="false">
      <c r="A57" s="0" t="s">
        <v>263</v>
      </c>
      <c r="B57" s="0" t="n">
        <v>1</v>
      </c>
      <c r="C57" s="5" t="n">
        <v>45</v>
      </c>
      <c r="D57" s="5" t="n">
        <f aca="false">B57*C57</f>
        <v>45</v>
      </c>
    </row>
    <row r="58" customFormat="false" ht="15" hidden="false" customHeight="false" outlineLevel="0" collapsed="false">
      <c r="A58" s="0" t="s">
        <v>264</v>
      </c>
      <c r="B58" s="0" t="n">
        <v>1</v>
      </c>
      <c r="C58" s="5" t="n">
        <v>45</v>
      </c>
      <c r="D58" s="5" t="n">
        <f aca="false">B58*C58</f>
        <v>45</v>
      </c>
    </row>
    <row r="59" customFormat="false" ht="15" hidden="false" customHeight="false" outlineLevel="0" collapsed="false">
      <c r="A59" s="0" t="s">
        <v>265</v>
      </c>
      <c r="B59" s="0" t="n">
        <v>1</v>
      </c>
      <c r="C59" s="5" t="n">
        <v>45</v>
      </c>
      <c r="D59" s="5" t="n">
        <f aca="false">B59*C59</f>
        <v>45</v>
      </c>
    </row>
    <row r="60" customFormat="false" ht="15" hidden="false" customHeight="false" outlineLevel="0" collapsed="false">
      <c r="A60" s="0" t="s">
        <v>102</v>
      </c>
      <c r="B60" s="0" t="n">
        <v>2</v>
      </c>
      <c r="C60" s="5" t="n">
        <v>22.8</v>
      </c>
      <c r="D60" s="5" t="n">
        <f aca="false">B60*C60</f>
        <v>45.6</v>
      </c>
    </row>
    <row r="61" customFormat="false" ht="15" hidden="false" customHeight="false" outlineLevel="0" collapsed="false">
      <c r="A61" s="0" t="s">
        <v>266</v>
      </c>
      <c r="B61" s="0" t="n">
        <v>1</v>
      </c>
      <c r="C61" s="5" t="n">
        <v>45</v>
      </c>
      <c r="D61" s="5" t="n">
        <f aca="false">B61*C61</f>
        <v>45</v>
      </c>
    </row>
    <row r="62" customFormat="false" ht="15" hidden="false" customHeight="false" outlineLevel="0" collapsed="false">
      <c r="A62" s="0" t="s">
        <v>104</v>
      </c>
      <c r="B62" s="0" t="n">
        <v>1</v>
      </c>
      <c r="C62" s="5" t="n">
        <v>32.6</v>
      </c>
      <c r="D62" s="5" t="n">
        <f aca="false">B62*C62</f>
        <v>32.6</v>
      </c>
    </row>
    <row r="63" customFormat="false" ht="15" hidden="false" customHeight="false" outlineLevel="0" collapsed="false">
      <c r="A63" s="0" t="s">
        <v>106</v>
      </c>
      <c r="B63" s="0" t="n">
        <v>2</v>
      </c>
      <c r="C63" s="5" t="n">
        <v>21.9</v>
      </c>
      <c r="D63" s="5" t="n">
        <f aca="false">B63*C63</f>
        <v>43.8</v>
      </c>
    </row>
    <row r="64" customFormat="false" ht="15" hidden="false" customHeight="false" outlineLevel="0" collapsed="false">
      <c r="A64" s="0" t="s">
        <v>267</v>
      </c>
      <c r="B64" s="0" t="n">
        <v>1</v>
      </c>
      <c r="C64" s="5" t="n">
        <v>45</v>
      </c>
      <c r="D64" s="5" t="n">
        <f aca="false">B64*C64</f>
        <v>45</v>
      </c>
    </row>
    <row r="65" customFormat="false" ht="15" hidden="false" customHeight="false" outlineLevel="0" collapsed="false">
      <c r="A65" s="0" t="s">
        <v>267</v>
      </c>
      <c r="B65" s="0" t="n">
        <v>1</v>
      </c>
      <c r="C65" s="5" t="n">
        <v>45</v>
      </c>
      <c r="D65" s="5" t="n">
        <f aca="false">B65*C65</f>
        <v>45</v>
      </c>
    </row>
    <row r="66" customFormat="false" ht="15" hidden="false" customHeight="false" outlineLevel="0" collapsed="false">
      <c r="A66" s="0" t="s">
        <v>31</v>
      </c>
      <c r="B66" s="0" t="n">
        <v>2</v>
      </c>
      <c r="C66" s="5" t="n">
        <v>38.45</v>
      </c>
      <c r="D66" s="5" t="n">
        <f aca="false">B66*C66</f>
        <v>76.9</v>
      </c>
    </row>
    <row r="67" customFormat="false" ht="15" hidden="false" customHeight="false" outlineLevel="0" collapsed="false">
      <c r="A67" s="0" t="s">
        <v>31</v>
      </c>
      <c r="B67" s="0" t="n">
        <v>4</v>
      </c>
      <c r="C67" s="5" t="n">
        <v>51.75</v>
      </c>
      <c r="D67" s="5" t="n">
        <f aca="false">B67*C67</f>
        <v>207</v>
      </c>
    </row>
    <row r="68" customFormat="false" ht="15" hidden="false" customHeight="false" outlineLevel="0" collapsed="false">
      <c r="A68" s="0" t="s">
        <v>268</v>
      </c>
      <c r="B68" s="0" t="n">
        <v>2</v>
      </c>
      <c r="C68" s="5" t="n">
        <v>45</v>
      </c>
      <c r="D68" s="5" t="n">
        <f aca="false">B68*C68</f>
        <v>90</v>
      </c>
    </row>
    <row r="69" customFormat="false" ht="15" hidden="false" customHeight="false" outlineLevel="0" collapsed="false">
      <c r="A69" s="0" t="s">
        <v>269</v>
      </c>
      <c r="B69" s="0" t="n">
        <v>2</v>
      </c>
      <c r="C69" s="5" t="n">
        <v>45</v>
      </c>
      <c r="D69" s="5" t="n">
        <f aca="false">B69*C69</f>
        <v>90</v>
      </c>
    </row>
    <row r="70" customFormat="false" ht="15" hidden="false" customHeight="false" outlineLevel="0" collapsed="false">
      <c r="A70" s="0" t="s">
        <v>270</v>
      </c>
      <c r="B70" s="0" t="n">
        <v>1</v>
      </c>
      <c r="C70" s="5" t="n">
        <v>45</v>
      </c>
      <c r="D70" s="5" t="n">
        <f aca="false">B70*C70</f>
        <v>45</v>
      </c>
    </row>
    <row r="71" customFormat="false" ht="15" hidden="false" customHeight="false" outlineLevel="0" collapsed="false">
      <c r="A71" s="0" t="s">
        <v>271</v>
      </c>
      <c r="B71" s="0" t="n">
        <v>2</v>
      </c>
      <c r="C71" s="5" t="n">
        <v>45</v>
      </c>
      <c r="D71" s="5" t="n">
        <f aca="false">B71*C71</f>
        <v>90</v>
      </c>
    </row>
    <row r="72" customFormat="false" ht="15" hidden="false" customHeight="false" outlineLevel="0" collapsed="false">
      <c r="A72" s="0" t="s">
        <v>271</v>
      </c>
      <c r="B72" s="0" t="n">
        <v>1</v>
      </c>
      <c r="C72" s="5" t="n">
        <v>45</v>
      </c>
      <c r="D72" s="5" t="n">
        <f aca="false">B72*C72</f>
        <v>45</v>
      </c>
    </row>
    <row r="73" customFormat="false" ht="15" hidden="false" customHeight="false" outlineLevel="0" collapsed="false">
      <c r="A73" s="0" t="s">
        <v>108</v>
      </c>
      <c r="B73" s="0" t="n">
        <v>6</v>
      </c>
      <c r="C73" s="5" t="n">
        <v>31.05</v>
      </c>
      <c r="D73" s="5" t="n">
        <f aca="false">B73*C73</f>
        <v>186.3</v>
      </c>
    </row>
    <row r="74" customFormat="false" ht="15" hidden="false" customHeight="false" outlineLevel="0" collapsed="false">
      <c r="A74" s="0" t="s">
        <v>272</v>
      </c>
      <c r="B74" s="0" t="n">
        <v>1</v>
      </c>
      <c r="C74" s="5" t="n">
        <v>45</v>
      </c>
      <c r="D74" s="5" t="n">
        <f aca="false">B74*C74</f>
        <v>45</v>
      </c>
    </row>
    <row r="75" customFormat="false" ht="15" hidden="false" customHeight="false" outlineLevel="0" collapsed="false">
      <c r="A75" s="0" t="s">
        <v>272</v>
      </c>
      <c r="B75" s="0" t="n">
        <v>1</v>
      </c>
      <c r="C75" s="5" t="n">
        <v>45</v>
      </c>
      <c r="D75" s="5" t="n">
        <f aca="false">B75*C75</f>
        <v>45</v>
      </c>
    </row>
    <row r="76" customFormat="false" ht="15" hidden="false" customHeight="false" outlineLevel="0" collapsed="false">
      <c r="A76" s="0" t="s">
        <v>273</v>
      </c>
      <c r="B76" s="0" t="n">
        <v>2</v>
      </c>
      <c r="C76" s="5" t="n">
        <v>50</v>
      </c>
      <c r="D76" s="5" t="n">
        <f aca="false">B76*C76</f>
        <v>100</v>
      </c>
    </row>
    <row r="77" customFormat="false" ht="15" hidden="false" customHeight="false" outlineLevel="0" collapsed="false">
      <c r="A77" s="0" t="s">
        <v>274</v>
      </c>
      <c r="B77" s="0" t="n">
        <v>2</v>
      </c>
      <c r="C77" s="5" t="n">
        <v>45</v>
      </c>
      <c r="D77" s="5" t="n">
        <f aca="false">B77*C77</f>
        <v>90</v>
      </c>
    </row>
    <row r="78" customFormat="false" ht="15" hidden="false" customHeight="false" outlineLevel="0" collapsed="false">
      <c r="A78" s="0" t="s">
        <v>274</v>
      </c>
      <c r="B78" s="0" t="n">
        <v>2</v>
      </c>
      <c r="C78" s="5" t="n">
        <v>50</v>
      </c>
      <c r="D78" s="5" t="n">
        <f aca="false">B78*C78</f>
        <v>100</v>
      </c>
    </row>
    <row r="79" customFormat="false" ht="15" hidden="false" customHeight="false" outlineLevel="0" collapsed="false">
      <c r="A79" s="0" t="s">
        <v>275</v>
      </c>
      <c r="B79" s="0" t="n">
        <v>1</v>
      </c>
      <c r="C79" s="5" t="n">
        <v>45</v>
      </c>
      <c r="D79" s="5" t="n">
        <f aca="false">B79*C79</f>
        <v>45</v>
      </c>
    </row>
    <row r="80" customFormat="false" ht="15" hidden="false" customHeight="false" outlineLevel="0" collapsed="false">
      <c r="A80" s="0" t="s">
        <v>276</v>
      </c>
      <c r="B80" s="0" t="n">
        <v>1</v>
      </c>
      <c r="C80" s="5" t="n">
        <v>45</v>
      </c>
      <c r="D80" s="5" t="n">
        <f aca="false">B80*C80</f>
        <v>45</v>
      </c>
    </row>
    <row r="81" customFormat="false" ht="15" hidden="false" customHeight="false" outlineLevel="0" collapsed="false">
      <c r="A81" s="0" t="s">
        <v>277</v>
      </c>
      <c r="B81" s="0" t="n">
        <v>2</v>
      </c>
      <c r="C81" s="5" t="n">
        <v>50</v>
      </c>
      <c r="D81" s="5" t="n">
        <f aca="false">B81*C81</f>
        <v>100</v>
      </c>
    </row>
    <row r="82" customFormat="false" ht="15" hidden="false" customHeight="false" outlineLevel="0" collapsed="false">
      <c r="A82" s="0" t="s">
        <v>278</v>
      </c>
      <c r="B82" s="0" t="n">
        <v>2</v>
      </c>
      <c r="C82" s="5" t="n">
        <v>45</v>
      </c>
      <c r="D82" s="5" t="n">
        <f aca="false">B82*C82</f>
        <v>90</v>
      </c>
    </row>
    <row r="83" customFormat="false" ht="15" hidden="false" customHeight="false" outlineLevel="0" collapsed="false">
      <c r="A83" s="0" t="s">
        <v>278</v>
      </c>
      <c r="B83" s="0" t="n">
        <v>2</v>
      </c>
      <c r="C83" s="5" t="n">
        <v>45</v>
      </c>
      <c r="D83" s="5" t="n">
        <f aca="false">B83*C83</f>
        <v>90</v>
      </c>
    </row>
    <row r="84" customFormat="false" ht="15" hidden="false" customHeight="false" outlineLevel="0" collapsed="false">
      <c r="A84" s="0" t="s">
        <v>278</v>
      </c>
      <c r="B84" s="0" t="n">
        <v>1</v>
      </c>
      <c r="C84" s="5" t="n">
        <v>45</v>
      </c>
      <c r="D84" s="5" t="n">
        <f aca="false">B84*C84</f>
        <v>45</v>
      </c>
    </row>
    <row r="85" customFormat="false" ht="15" hidden="false" customHeight="false" outlineLevel="0" collapsed="false">
      <c r="A85" s="0" t="s">
        <v>278</v>
      </c>
      <c r="B85" s="0" t="n">
        <v>1</v>
      </c>
      <c r="C85" s="5" t="n">
        <v>45</v>
      </c>
      <c r="D85" s="5" t="n">
        <f aca="false">B85*C85</f>
        <v>45</v>
      </c>
    </row>
    <row r="86" customFormat="false" ht="15" hidden="false" customHeight="false" outlineLevel="0" collapsed="false">
      <c r="A86" s="0" t="s">
        <v>278</v>
      </c>
      <c r="B86" s="0" t="n">
        <v>1</v>
      </c>
      <c r="C86" s="5" t="n">
        <v>45</v>
      </c>
      <c r="D86" s="5" t="n">
        <f aca="false">B86*C86</f>
        <v>45</v>
      </c>
    </row>
    <row r="87" customFormat="false" ht="15" hidden="false" customHeight="false" outlineLevel="0" collapsed="false">
      <c r="A87" s="0" t="s">
        <v>279</v>
      </c>
      <c r="B87" s="0" t="n">
        <v>2</v>
      </c>
      <c r="C87" s="5" t="n">
        <v>45</v>
      </c>
      <c r="D87" s="5" t="n">
        <f aca="false">B87*C87</f>
        <v>90</v>
      </c>
    </row>
    <row r="88" customFormat="false" ht="15" hidden="false" customHeight="false" outlineLevel="0" collapsed="false">
      <c r="A88" s="0" t="s">
        <v>280</v>
      </c>
      <c r="B88" s="0" t="n">
        <v>1</v>
      </c>
      <c r="C88" s="5" t="n">
        <v>45</v>
      </c>
      <c r="D88" s="5" t="n">
        <f aca="false">B88*C88</f>
        <v>45</v>
      </c>
    </row>
    <row r="89" customFormat="false" ht="15" hidden="false" customHeight="false" outlineLevel="0" collapsed="false">
      <c r="A89" s="0" t="s">
        <v>281</v>
      </c>
      <c r="B89" s="0" t="n">
        <v>1</v>
      </c>
      <c r="C89" s="5" t="n">
        <v>45</v>
      </c>
      <c r="D89" s="5" t="n">
        <f aca="false">B89*C89</f>
        <v>45</v>
      </c>
    </row>
    <row r="90" customFormat="false" ht="15" hidden="false" customHeight="false" outlineLevel="0" collapsed="false">
      <c r="A90" s="0" t="s">
        <v>110</v>
      </c>
      <c r="B90" s="0" t="n">
        <v>2</v>
      </c>
      <c r="C90" s="5" t="n">
        <v>41.1</v>
      </c>
      <c r="D90" s="5" t="n">
        <f aca="false">B90*C90</f>
        <v>82.2</v>
      </c>
    </row>
    <row r="91" customFormat="false" ht="15" hidden="false" customHeight="false" outlineLevel="0" collapsed="false">
      <c r="A91" s="0" t="s">
        <v>110</v>
      </c>
      <c r="B91" s="0" t="n">
        <v>2</v>
      </c>
      <c r="C91" s="5" t="n">
        <v>39.2</v>
      </c>
      <c r="D91" s="5" t="n">
        <f aca="false">B91*C91</f>
        <v>78.4</v>
      </c>
    </row>
    <row r="92" customFormat="false" ht="15" hidden="false" customHeight="false" outlineLevel="0" collapsed="false">
      <c r="A92" s="0" t="s">
        <v>282</v>
      </c>
      <c r="B92" s="0" t="n">
        <v>2</v>
      </c>
      <c r="C92" s="5" t="n">
        <v>45</v>
      </c>
      <c r="D92" s="5" t="n">
        <f aca="false">B92*C92</f>
        <v>90</v>
      </c>
    </row>
    <row r="93" customFormat="false" ht="15" hidden="false" customHeight="false" outlineLevel="0" collapsed="false">
      <c r="A93" s="0" t="s">
        <v>283</v>
      </c>
      <c r="B93" s="0" t="n">
        <v>2</v>
      </c>
      <c r="C93" s="5" t="n">
        <v>42.2</v>
      </c>
      <c r="D93" s="5" t="n">
        <f aca="false">B93*C93</f>
        <v>84.4</v>
      </c>
    </row>
    <row r="94" customFormat="false" ht="15" hidden="false" customHeight="false" outlineLevel="0" collapsed="false">
      <c r="A94" s="0" t="s">
        <v>284</v>
      </c>
      <c r="B94" s="0" t="n">
        <v>1</v>
      </c>
      <c r="C94" s="5" t="n">
        <v>50</v>
      </c>
      <c r="D94" s="5" t="n">
        <f aca="false">B94*C94</f>
        <v>50</v>
      </c>
    </row>
    <row r="95" customFormat="false" ht="15" hidden="false" customHeight="false" outlineLevel="0" collapsed="false">
      <c r="A95" s="0" t="s">
        <v>113</v>
      </c>
      <c r="B95" s="0" t="n">
        <v>1</v>
      </c>
      <c r="C95" s="5" t="n">
        <v>66.3</v>
      </c>
      <c r="D95" s="5" t="n">
        <f aca="false">B95*C95</f>
        <v>66.3</v>
      </c>
    </row>
    <row r="96" customFormat="false" ht="15" hidden="false" customHeight="false" outlineLevel="0" collapsed="false">
      <c r="A96" s="0" t="s">
        <v>113</v>
      </c>
      <c r="B96" s="0" t="n">
        <v>2</v>
      </c>
      <c r="C96" s="5" t="n">
        <v>64</v>
      </c>
      <c r="D96" s="5" t="n">
        <f aca="false">B96*C96</f>
        <v>128</v>
      </c>
    </row>
    <row r="97" customFormat="false" ht="15" hidden="false" customHeight="false" outlineLevel="0" collapsed="false">
      <c r="A97" s="0" t="s">
        <v>285</v>
      </c>
      <c r="B97" s="0" t="n">
        <v>2</v>
      </c>
      <c r="C97" s="5" t="n">
        <v>45</v>
      </c>
      <c r="D97" s="5" t="n">
        <f aca="false">B97*C97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2" t="s">
        <v>287</v>
      </c>
    </row>
    <row r="3" customFormat="false" ht="15" hidden="false" customHeight="false" outlineLevel="0" collapsed="false">
      <c r="A3" s="0" t="s">
        <v>288</v>
      </c>
      <c r="B3" s="13" t="n">
        <f aca="false">SUM('Src-B1-DemiLune'!$B$3:$B$97)</f>
        <v>156.5</v>
      </c>
    </row>
    <row r="4" customFormat="false" ht="15" hidden="false" customHeight="false" outlineLevel="0" collapsed="false">
      <c r="A4" s="0" t="s">
        <v>289</v>
      </c>
      <c r="B4" s="5" t="n">
        <v>45</v>
      </c>
    </row>
    <row r="5" customFormat="false" ht="15" hidden="false" customHeight="false" outlineLevel="0" collapsed="false">
      <c r="A5" s="0" t="s">
        <v>290</v>
      </c>
      <c r="B5" s="13" t="n">
        <f aca="false">SUMIF('Src-B1-DemiLune'!$C$3:$C$97,45,'Src-B1-DemiLune'!$B$3:$B$97)</f>
        <v>92.5</v>
      </c>
    </row>
    <row r="6" customFormat="false" ht="15" hidden="false" customHeight="false" outlineLevel="0" collapsed="false">
      <c r="A6" s="0" t="s">
        <v>291</v>
      </c>
      <c r="B6" s="0" t="n">
        <f aca="false">COUNTIF('Src-B1-DemiLune'!$C$3:$C$97,45)</f>
        <v>63</v>
      </c>
    </row>
    <row r="7" customFormat="false" ht="15" hidden="false" customHeight="false" outlineLevel="0" collapsed="false">
      <c r="A7" s="0" t="s">
        <v>292</v>
      </c>
      <c r="B7" s="13" t="n">
        <f aca="false">B3-B5</f>
        <v>64</v>
      </c>
    </row>
    <row r="8" customFormat="false" ht="15" hidden="false" customHeight="false" outlineLevel="0" collapsed="false">
      <c r="A8" s="0" t="s">
        <v>293</v>
      </c>
      <c r="B8" s="11" t="n">
        <f aca="false">B7/B3</f>
        <v>0.408945686900958</v>
      </c>
    </row>
    <row r="9" customFormat="false" ht="15" hidden="false" customHeight="false" outlineLevel="0" collapsed="false">
      <c r="A9" s="0" t="s">
        <v>294</v>
      </c>
      <c r="B9" s="5" t="n">
        <f aca="false">_xlfn.MINIFS('Src-B1-DemiLune'!$C$3:$C$97,'Src-B1-DemiLune'!$C$3:$C$97,"&lt;&gt;45")</f>
        <v>15.2</v>
      </c>
    </row>
    <row r="10" customFormat="false" ht="15" hidden="false" customHeight="false" outlineLevel="0" collapsed="false">
      <c r="A10" s="0" t="s">
        <v>295</v>
      </c>
      <c r="B10" s="5" t="n">
        <f aca="false">_xlfn.MAXIFS('Src-B1-DemiLune'!$C$3:$C$97,'Src-B1-DemiLune'!$C$3:$C$97,"&lt;&gt;45")</f>
        <v>85</v>
      </c>
    </row>
    <row r="11" customFormat="false" ht="15" hidden="false" customHeight="false" outlineLevel="0" collapsed="false">
      <c r="A11" s="0" t="s">
        <v>296</v>
      </c>
      <c r="B11" s="0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" t="s">
        <v>297</v>
      </c>
    </row>
    <row r="2" customFormat="false" ht="28.35" hidden="false" customHeight="false" outlineLevel="0" collapsed="false">
      <c r="A2" s="4" t="s">
        <v>26</v>
      </c>
      <c r="B2" s="4" t="s">
        <v>118</v>
      </c>
      <c r="C2" s="4" t="s">
        <v>231</v>
      </c>
      <c r="D2" s="4" t="s">
        <v>232</v>
      </c>
    </row>
    <row r="3" customFormat="false" ht="15" hidden="false" customHeight="false" outlineLevel="0" collapsed="false">
      <c r="A3" s="0" t="s">
        <v>298</v>
      </c>
      <c r="B3" s="0" t="n">
        <v>1</v>
      </c>
      <c r="C3" s="5" t="n">
        <v>45</v>
      </c>
      <c r="D3" s="5" t="n">
        <f aca="false">B3*C3</f>
        <v>45</v>
      </c>
    </row>
    <row r="4" customFormat="false" ht="15" hidden="false" customHeight="false" outlineLevel="0" collapsed="false">
      <c r="A4" s="0" t="s">
        <v>299</v>
      </c>
      <c r="B4" s="0" t="n">
        <v>1</v>
      </c>
      <c r="C4" s="5" t="n">
        <v>45</v>
      </c>
      <c r="D4" s="5" t="n">
        <f aca="false">B4*C4</f>
        <v>45</v>
      </c>
    </row>
    <row r="5" customFormat="false" ht="15" hidden="false" customHeight="false" outlineLevel="0" collapsed="false">
      <c r="A5" s="0" t="s">
        <v>300</v>
      </c>
      <c r="B5" s="0" t="n">
        <v>2</v>
      </c>
      <c r="C5" s="5" t="n">
        <v>45</v>
      </c>
      <c r="D5" s="5" t="n">
        <f aca="false">B5*C5</f>
        <v>90</v>
      </c>
    </row>
    <row r="6" customFormat="false" ht="15" hidden="false" customHeight="false" outlineLevel="0" collapsed="false">
      <c r="A6" s="0" t="s">
        <v>301</v>
      </c>
      <c r="B6" s="0" t="n">
        <v>6</v>
      </c>
      <c r="C6" s="5" t="n">
        <v>45</v>
      </c>
      <c r="D6" s="5" t="n">
        <f aca="false">B6*C6</f>
        <v>270</v>
      </c>
    </row>
    <row r="7" customFormat="false" ht="15" hidden="false" customHeight="false" outlineLevel="0" collapsed="false">
      <c r="A7" s="0" t="s">
        <v>302</v>
      </c>
      <c r="B7" s="0" t="n">
        <v>1</v>
      </c>
      <c r="C7" s="5" t="n">
        <v>45</v>
      </c>
      <c r="D7" s="5" t="n">
        <f aca="false">B7*C7</f>
        <v>45</v>
      </c>
    </row>
    <row r="8" customFormat="false" ht="15" hidden="false" customHeight="false" outlineLevel="0" collapsed="false">
      <c r="A8" s="0" t="s">
        <v>303</v>
      </c>
      <c r="B8" s="0" t="n">
        <v>1</v>
      </c>
      <c r="C8" s="5" t="n">
        <v>25</v>
      </c>
      <c r="D8" s="5" t="n">
        <f aca="false">B8*C8</f>
        <v>25</v>
      </c>
    </row>
    <row r="9" customFormat="false" ht="15" hidden="false" customHeight="false" outlineLevel="0" collapsed="false">
      <c r="A9" s="0" t="s">
        <v>303</v>
      </c>
      <c r="B9" s="0" t="n">
        <v>1</v>
      </c>
      <c r="C9" s="5" t="n">
        <v>45</v>
      </c>
      <c r="D9" s="5" t="n">
        <f aca="false">B9*C9</f>
        <v>45</v>
      </c>
    </row>
    <row r="10" customFormat="false" ht="15" hidden="false" customHeight="false" outlineLevel="0" collapsed="false">
      <c r="A10" s="0" t="s">
        <v>304</v>
      </c>
      <c r="B10" s="0" t="n">
        <v>2</v>
      </c>
      <c r="C10" s="5" t="n">
        <v>45</v>
      </c>
      <c r="D10" s="5" t="n">
        <f aca="false">B10*C10</f>
        <v>90</v>
      </c>
    </row>
    <row r="11" customFormat="false" ht="15" hidden="false" customHeight="false" outlineLevel="0" collapsed="false">
      <c r="A11" s="0" t="s">
        <v>305</v>
      </c>
      <c r="B11" s="0" t="n">
        <v>1</v>
      </c>
      <c r="C11" s="5" t="n">
        <v>45</v>
      </c>
      <c r="D11" s="5" t="n">
        <f aca="false">B11*C11</f>
        <v>45</v>
      </c>
    </row>
    <row r="12" customFormat="false" ht="15" hidden="false" customHeight="false" outlineLevel="0" collapsed="false">
      <c r="A12" s="0" t="s">
        <v>305</v>
      </c>
      <c r="B12" s="0" t="n">
        <v>1</v>
      </c>
      <c r="C12" s="5" t="n">
        <v>45</v>
      </c>
      <c r="D12" s="5" t="n">
        <f aca="false">B12*C12</f>
        <v>45</v>
      </c>
    </row>
    <row r="13" customFormat="false" ht="15" hidden="false" customHeight="false" outlineLevel="0" collapsed="false">
      <c r="A13" s="0" t="s">
        <v>305</v>
      </c>
      <c r="B13" s="0" t="n">
        <v>4</v>
      </c>
      <c r="C13" s="5" t="n">
        <v>42.5</v>
      </c>
      <c r="D13" s="5" t="n">
        <f aca="false">B13*C13</f>
        <v>170</v>
      </c>
    </row>
    <row r="14" customFormat="false" ht="15" hidden="false" customHeight="false" outlineLevel="0" collapsed="false">
      <c r="A14" s="0" t="s">
        <v>306</v>
      </c>
      <c r="B14" s="0" t="n">
        <v>2</v>
      </c>
      <c r="C14" s="5" t="n">
        <v>45</v>
      </c>
      <c r="D14" s="5" t="n">
        <f aca="false">B14*C14</f>
        <v>90</v>
      </c>
    </row>
    <row r="15" customFormat="false" ht="15" hidden="false" customHeight="false" outlineLevel="0" collapsed="false">
      <c r="A15" s="0" t="s">
        <v>307</v>
      </c>
      <c r="B15" s="0" t="n">
        <v>1</v>
      </c>
      <c r="C15" s="5" t="n">
        <v>45</v>
      </c>
      <c r="D15" s="5" t="n">
        <f aca="false">B15*C15</f>
        <v>45</v>
      </c>
    </row>
    <row r="16" customFormat="false" ht="15" hidden="false" customHeight="false" outlineLevel="0" collapsed="false">
      <c r="A16" s="0" t="s">
        <v>308</v>
      </c>
      <c r="B16" s="0" t="n">
        <v>1</v>
      </c>
      <c r="C16" s="5" t="n">
        <v>45</v>
      </c>
      <c r="D16" s="5" t="n">
        <f aca="false">B16*C16</f>
        <v>45</v>
      </c>
    </row>
    <row r="17" customFormat="false" ht="15" hidden="false" customHeight="false" outlineLevel="0" collapsed="false">
      <c r="A17" s="0" t="s">
        <v>308</v>
      </c>
      <c r="B17" s="0" t="n">
        <v>1</v>
      </c>
      <c r="C17" s="5" t="n">
        <v>45</v>
      </c>
      <c r="D17" s="5" t="n">
        <f aca="false">B17*C17</f>
        <v>45</v>
      </c>
    </row>
    <row r="18" customFormat="false" ht="15" hidden="false" customHeight="false" outlineLevel="0" collapsed="false">
      <c r="A18" s="0" t="s">
        <v>309</v>
      </c>
      <c r="B18" s="0" t="n">
        <v>3</v>
      </c>
      <c r="C18" s="5" t="n">
        <v>45</v>
      </c>
      <c r="D18" s="5" t="n">
        <f aca="false">B18*C18</f>
        <v>135</v>
      </c>
    </row>
    <row r="19" customFormat="false" ht="15" hidden="false" customHeight="false" outlineLevel="0" collapsed="false">
      <c r="A19" s="0" t="s">
        <v>310</v>
      </c>
      <c r="B19" s="0" t="n">
        <v>2</v>
      </c>
      <c r="C19" s="5" t="n">
        <v>45</v>
      </c>
      <c r="D19" s="5" t="n">
        <f aca="false">B19*C19</f>
        <v>90</v>
      </c>
    </row>
    <row r="20" customFormat="false" ht="15" hidden="false" customHeight="false" outlineLevel="0" collapsed="false">
      <c r="A20" s="0" t="s">
        <v>311</v>
      </c>
      <c r="B20" s="0" t="n">
        <v>3</v>
      </c>
      <c r="C20" s="5" t="n">
        <v>45</v>
      </c>
      <c r="D20" s="5" t="n">
        <f aca="false">B20*C20</f>
        <v>135</v>
      </c>
    </row>
    <row r="21" customFormat="false" ht="15" hidden="false" customHeight="false" outlineLevel="0" collapsed="false">
      <c r="A21" s="0" t="s">
        <v>311</v>
      </c>
      <c r="B21" s="0" t="n">
        <v>1</v>
      </c>
      <c r="C21" s="5" t="n">
        <v>20</v>
      </c>
      <c r="D21" s="5" t="n">
        <f aca="false">B21*C21</f>
        <v>20</v>
      </c>
    </row>
    <row r="22" customFormat="false" ht="15" hidden="false" customHeight="false" outlineLevel="0" collapsed="false">
      <c r="A22" s="0" t="s">
        <v>311</v>
      </c>
      <c r="B22" s="0" t="n">
        <v>2</v>
      </c>
      <c r="C22" s="5" t="n">
        <v>20</v>
      </c>
      <c r="D22" s="5" t="n">
        <f aca="false">B22*C22</f>
        <v>40</v>
      </c>
    </row>
    <row r="23" customFormat="false" ht="15" hidden="false" customHeight="false" outlineLevel="0" collapsed="false">
      <c r="A23" s="0" t="s">
        <v>311</v>
      </c>
      <c r="B23" s="0" t="n">
        <v>1</v>
      </c>
      <c r="C23" s="5" t="n">
        <v>19.35</v>
      </c>
      <c r="D23" s="5" t="n">
        <f aca="false">B23*C23</f>
        <v>19.35</v>
      </c>
    </row>
    <row r="24" customFormat="false" ht="15" hidden="false" customHeight="false" outlineLevel="0" collapsed="false">
      <c r="A24" s="0" t="s">
        <v>311</v>
      </c>
      <c r="B24" s="0" t="n">
        <v>2</v>
      </c>
      <c r="C24" s="5" t="n">
        <v>19.35</v>
      </c>
      <c r="D24" s="5" t="n">
        <f aca="false">B24*C24</f>
        <v>38.7</v>
      </c>
    </row>
    <row r="25" customFormat="false" ht="15" hidden="false" customHeight="false" outlineLevel="0" collapsed="false">
      <c r="A25" s="0" t="s">
        <v>312</v>
      </c>
      <c r="B25" s="0" t="n">
        <v>2</v>
      </c>
      <c r="C25" s="5" t="n">
        <v>45</v>
      </c>
      <c r="D25" s="5" t="n">
        <f aca="false">B25*C25</f>
        <v>90</v>
      </c>
    </row>
    <row r="26" customFormat="false" ht="15" hidden="false" customHeight="false" outlineLevel="0" collapsed="false">
      <c r="A26" s="0" t="s">
        <v>132</v>
      </c>
      <c r="B26" s="0" t="n">
        <v>3</v>
      </c>
      <c r="C26" s="5" t="n">
        <v>45</v>
      </c>
      <c r="D26" s="5" t="n">
        <f aca="false">B26*C26</f>
        <v>135</v>
      </c>
    </row>
    <row r="27" customFormat="false" ht="15" hidden="false" customHeight="false" outlineLevel="0" collapsed="false">
      <c r="A27" s="0" t="s">
        <v>132</v>
      </c>
      <c r="B27" s="0" t="n">
        <v>1</v>
      </c>
      <c r="C27" s="5" t="n">
        <v>38</v>
      </c>
      <c r="D27" s="5" t="n">
        <f aca="false">B27*C27</f>
        <v>38</v>
      </c>
    </row>
    <row r="28" customFormat="false" ht="15" hidden="false" customHeight="false" outlineLevel="0" collapsed="false">
      <c r="A28" s="0" t="s">
        <v>134</v>
      </c>
      <c r="B28" s="0" t="n">
        <v>3</v>
      </c>
      <c r="C28" s="5" t="n">
        <v>32.7</v>
      </c>
      <c r="D28" s="5" t="n">
        <f aca="false">B28*C28</f>
        <v>98.1</v>
      </c>
    </row>
    <row r="29" customFormat="false" ht="15" hidden="false" customHeight="false" outlineLevel="0" collapsed="false">
      <c r="A29" s="0" t="s">
        <v>136</v>
      </c>
      <c r="B29" s="0" t="n">
        <v>2</v>
      </c>
      <c r="C29" s="5" t="n">
        <v>45.05</v>
      </c>
      <c r="D29" s="5" t="n">
        <f aca="false">B29*C29</f>
        <v>90.1</v>
      </c>
    </row>
    <row r="30" customFormat="false" ht="15" hidden="false" customHeight="false" outlineLevel="0" collapsed="false">
      <c r="A30" s="0" t="s">
        <v>313</v>
      </c>
      <c r="B30" s="0" t="n">
        <v>1</v>
      </c>
      <c r="C30" s="5" t="n">
        <v>45</v>
      </c>
      <c r="D30" s="5" t="n">
        <f aca="false">B30*C30</f>
        <v>45</v>
      </c>
    </row>
    <row r="31" customFormat="false" ht="15" hidden="false" customHeight="false" outlineLevel="0" collapsed="false">
      <c r="A31" s="0" t="s">
        <v>314</v>
      </c>
      <c r="B31" s="0" t="n">
        <v>1</v>
      </c>
      <c r="C31" s="5" t="n">
        <v>45</v>
      </c>
      <c r="D31" s="5" t="n">
        <f aca="false">B31*C31</f>
        <v>45</v>
      </c>
    </row>
    <row r="32" customFormat="false" ht="15" hidden="false" customHeight="false" outlineLevel="0" collapsed="false">
      <c r="A32" s="0" t="s">
        <v>315</v>
      </c>
      <c r="B32" s="0" t="n">
        <v>2</v>
      </c>
      <c r="C32" s="5" t="n">
        <v>45</v>
      </c>
      <c r="D32" s="5" t="n">
        <f aca="false">B32*C32</f>
        <v>90</v>
      </c>
    </row>
    <row r="33" customFormat="false" ht="15" hidden="false" customHeight="false" outlineLevel="0" collapsed="false">
      <c r="A33" s="0" t="s">
        <v>315</v>
      </c>
      <c r="B33" s="0" t="n">
        <v>2</v>
      </c>
      <c r="C33" s="5" t="n">
        <v>45</v>
      </c>
      <c r="D33" s="5" t="n">
        <f aca="false">B33*C33</f>
        <v>90</v>
      </c>
    </row>
    <row r="34" customFormat="false" ht="15" hidden="false" customHeight="false" outlineLevel="0" collapsed="false">
      <c r="A34" s="0" t="s">
        <v>315</v>
      </c>
      <c r="B34" s="0" t="n">
        <v>2</v>
      </c>
      <c r="C34" s="5" t="n">
        <v>45</v>
      </c>
      <c r="D34" s="5" t="n">
        <f aca="false">B34*C34</f>
        <v>90</v>
      </c>
    </row>
    <row r="35" customFormat="false" ht="15" hidden="false" customHeight="false" outlineLevel="0" collapsed="false">
      <c r="A35" s="0" t="s">
        <v>316</v>
      </c>
      <c r="B35" s="0" t="n">
        <v>1</v>
      </c>
      <c r="C35" s="5" t="n">
        <v>45</v>
      </c>
      <c r="D35" s="5" t="n">
        <f aca="false">B35*C35</f>
        <v>45</v>
      </c>
    </row>
    <row r="36" customFormat="false" ht="15" hidden="false" customHeight="false" outlineLevel="0" collapsed="false">
      <c r="A36" s="0" t="s">
        <v>317</v>
      </c>
      <c r="B36" s="0" t="n">
        <v>1</v>
      </c>
      <c r="C36" s="5" t="n">
        <v>25</v>
      </c>
      <c r="D36" s="5" t="n">
        <f aca="false">B36*C36</f>
        <v>25</v>
      </c>
    </row>
    <row r="37" customFormat="false" ht="15" hidden="false" customHeight="false" outlineLevel="0" collapsed="false">
      <c r="A37" s="0" t="s">
        <v>138</v>
      </c>
      <c r="B37" s="0" t="n">
        <v>2</v>
      </c>
      <c r="C37" s="5" t="n">
        <v>32.4</v>
      </c>
      <c r="D37" s="5" t="n">
        <f aca="false">B37*C37</f>
        <v>64.8</v>
      </c>
    </row>
    <row r="38" customFormat="false" ht="15" hidden="false" customHeight="false" outlineLevel="0" collapsed="false">
      <c r="A38" s="0" t="s">
        <v>138</v>
      </c>
      <c r="B38" s="0" t="n">
        <v>1</v>
      </c>
      <c r="C38" s="5" t="n">
        <v>45</v>
      </c>
      <c r="D38" s="5" t="n">
        <f aca="false">B38*C38</f>
        <v>45</v>
      </c>
    </row>
    <row r="39" customFormat="false" ht="15" hidden="false" customHeight="false" outlineLevel="0" collapsed="false">
      <c r="A39" s="0" t="s">
        <v>318</v>
      </c>
      <c r="B39" s="0" t="n">
        <v>1</v>
      </c>
      <c r="C39" s="5" t="n">
        <v>45</v>
      </c>
      <c r="D39" s="5" t="n">
        <f aca="false">B39*C39</f>
        <v>45</v>
      </c>
    </row>
    <row r="40" customFormat="false" ht="15" hidden="false" customHeight="false" outlineLevel="0" collapsed="false">
      <c r="A40" s="0" t="s">
        <v>318</v>
      </c>
      <c r="B40" s="0" t="n">
        <v>1</v>
      </c>
      <c r="C40" s="5" t="n">
        <v>45</v>
      </c>
      <c r="D40" s="5" t="n">
        <f aca="false">B40*C40</f>
        <v>45</v>
      </c>
    </row>
    <row r="41" customFormat="false" ht="15" hidden="false" customHeight="false" outlineLevel="0" collapsed="false">
      <c r="A41" s="0" t="s">
        <v>319</v>
      </c>
      <c r="B41" s="0" t="n">
        <v>1</v>
      </c>
      <c r="C41" s="5" t="n">
        <v>30.36</v>
      </c>
      <c r="D41" s="5" t="n">
        <f aca="false">B41*C41</f>
        <v>30.36</v>
      </c>
    </row>
    <row r="42" customFormat="false" ht="15" hidden="false" customHeight="false" outlineLevel="0" collapsed="false">
      <c r="A42" s="0" t="s">
        <v>319</v>
      </c>
      <c r="B42" s="0" t="n">
        <v>1</v>
      </c>
      <c r="C42" s="5" t="n">
        <v>30.36</v>
      </c>
      <c r="D42" s="5" t="n">
        <f aca="false">B42*C42</f>
        <v>30.36</v>
      </c>
    </row>
    <row r="43" customFormat="false" ht="15" hidden="false" customHeight="false" outlineLevel="0" collapsed="false">
      <c r="A43" s="0" t="s">
        <v>319</v>
      </c>
      <c r="B43" s="0" t="n">
        <v>1</v>
      </c>
      <c r="C43" s="5" t="n">
        <v>30.36</v>
      </c>
      <c r="D43" s="5" t="n">
        <f aca="false">B43*C43</f>
        <v>30.36</v>
      </c>
    </row>
    <row r="44" customFormat="false" ht="15" hidden="false" customHeight="false" outlineLevel="0" collapsed="false">
      <c r="A44" s="0" t="s">
        <v>319</v>
      </c>
      <c r="B44" s="0" t="n">
        <v>1</v>
      </c>
      <c r="C44" s="5" t="n">
        <v>30.36</v>
      </c>
      <c r="D44" s="5" t="n">
        <f aca="false">B44*C44</f>
        <v>30.36</v>
      </c>
    </row>
    <row r="45" customFormat="false" ht="15" hidden="false" customHeight="false" outlineLevel="0" collapsed="false">
      <c r="A45" s="0" t="s">
        <v>320</v>
      </c>
      <c r="B45" s="0" t="n">
        <v>2</v>
      </c>
      <c r="C45" s="5" t="n">
        <v>45</v>
      </c>
      <c r="D45" s="5" t="n">
        <f aca="false">B45*C45</f>
        <v>90</v>
      </c>
    </row>
    <row r="46" customFormat="false" ht="15" hidden="false" customHeight="false" outlineLevel="0" collapsed="false">
      <c r="A46" s="0" t="s">
        <v>321</v>
      </c>
      <c r="B46" s="0" t="n">
        <v>1</v>
      </c>
      <c r="C46" s="5" t="n">
        <v>45</v>
      </c>
      <c r="D46" s="5" t="n">
        <f aca="false">B46*C46</f>
        <v>45</v>
      </c>
    </row>
    <row r="47" customFormat="false" ht="15" hidden="false" customHeight="false" outlineLevel="0" collapsed="false">
      <c r="A47" s="0" t="s">
        <v>322</v>
      </c>
      <c r="B47" s="0" t="n">
        <v>1</v>
      </c>
      <c r="C47" s="5" t="n">
        <v>45</v>
      </c>
      <c r="D47" s="5" t="n">
        <f aca="false">B47*C47</f>
        <v>45</v>
      </c>
    </row>
    <row r="48" customFormat="false" ht="15" hidden="false" customHeight="false" outlineLevel="0" collapsed="false">
      <c r="A48" s="0" t="s">
        <v>322</v>
      </c>
      <c r="B48" s="0" t="n">
        <v>2</v>
      </c>
      <c r="C48" s="5" t="n">
        <v>45</v>
      </c>
      <c r="D48" s="5" t="n">
        <f aca="false">B48*C48</f>
        <v>90</v>
      </c>
    </row>
    <row r="49" customFormat="false" ht="15" hidden="false" customHeight="false" outlineLevel="0" collapsed="false">
      <c r="A49" s="0" t="s">
        <v>323</v>
      </c>
      <c r="B49" s="0" t="n">
        <v>1</v>
      </c>
      <c r="C49" s="5" t="n">
        <v>45</v>
      </c>
      <c r="D49" s="5" t="n">
        <f aca="false">B49*C49</f>
        <v>45</v>
      </c>
    </row>
    <row r="50" customFormat="false" ht="15" hidden="false" customHeight="false" outlineLevel="0" collapsed="false">
      <c r="A50" s="0" t="s">
        <v>323</v>
      </c>
      <c r="B50" s="0" t="n">
        <v>2</v>
      </c>
      <c r="C50" s="5" t="n">
        <v>45</v>
      </c>
      <c r="D50" s="5" t="n">
        <f aca="false">B50*C50</f>
        <v>90</v>
      </c>
    </row>
    <row r="51" customFormat="false" ht="15" hidden="false" customHeight="false" outlineLevel="0" collapsed="false">
      <c r="A51" s="0" t="s">
        <v>324</v>
      </c>
      <c r="B51" s="0" t="n">
        <v>2</v>
      </c>
      <c r="C51" s="5" t="n">
        <v>45</v>
      </c>
      <c r="D51" s="5" t="n">
        <f aca="false">B51*C51</f>
        <v>90</v>
      </c>
    </row>
    <row r="52" customFormat="false" ht="15" hidden="false" customHeight="false" outlineLevel="0" collapsed="false">
      <c r="A52" s="0" t="s">
        <v>325</v>
      </c>
      <c r="B52" s="0" t="n">
        <v>2</v>
      </c>
      <c r="C52" s="5" t="n">
        <v>45</v>
      </c>
      <c r="D52" s="5" t="n">
        <f aca="false">B52*C52</f>
        <v>90</v>
      </c>
    </row>
    <row r="53" customFormat="false" ht="15" hidden="false" customHeight="false" outlineLevel="0" collapsed="false">
      <c r="A53" s="0" t="s">
        <v>326</v>
      </c>
      <c r="B53" s="0" t="n">
        <v>0.5</v>
      </c>
      <c r="C53" s="5" t="n">
        <v>45</v>
      </c>
      <c r="D53" s="5" t="n">
        <f aca="false">B53*C53</f>
        <v>22.5</v>
      </c>
    </row>
    <row r="54" customFormat="false" ht="15" hidden="false" customHeight="false" outlineLevel="0" collapsed="false">
      <c r="A54" s="0" t="s">
        <v>326</v>
      </c>
      <c r="B54" s="0" t="n">
        <v>1</v>
      </c>
      <c r="C54" s="5" t="n">
        <v>45</v>
      </c>
      <c r="D54" s="5" t="n">
        <f aca="false">B54*C54</f>
        <v>45</v>
      </c>
    </row>
    <row r="55" customFormat="false" ht="15" hidden="false" customHeight="false" outlineLevel="0" collapsed="false">
      <c r="A55" s="0" t="s">
        <v>327</v>
      </c>
      <c r="B55" s="0" t="n">
        <v>2</v>
      </c>
      <c r="C55" s="5" t="n">
        <v>45</v>
      </c>
      <c r="D55" s="5" t="n">
        <f aca="false">B55*C55</f>
        <v>90</v>
      </c>
    </row>
    <row r="56" customFormat="false" ht="15" hidden="false" customHeight="false" outlineLevel="0" collapsed="false">
      <c r="A56" s="0" t="s">
        <v>328</v>
      </c>
      <c r="B56" s="0" t="n">
        <v>1</v>
      </c>
      <c r="C56" s="5" t="n">
        <v>45</v>
      </c>
      <c r="D56" s="5" t="n">
        <f aca="false">B56*C56</f>
        <v>45</v>
      </c>
    </row>
    <row r="57" customFormat="false" ht="15" hidden="false" customHeight="false" outlineLevel="0" collapsed="false">
      <c r="A57" s="0" t="s">
        <v>329</v>
      </c>
      <c r="B57" s="0" t="n">
        <v>1</v>
      </c>
      <c r="C57" s="5" t="n">
        <v>45</v>
      </c>
      <c r="D57" s="5" t="n">
        <f aca="false">B57*C57</f>
        <v>45</v>
      </c>
    </row>
    <row r="58" customFormat="false" ht="15" hidden="false" customHeight="false" outlineLevel="0" collapsed="false">
      <c r="A58" s="0" t="s">
        <v>330</v>
      </c>
      <c r="B58" s="0" t="n">
        <v>2</v>
      </c>
      <c r="C58" s="5" t="n">
        <v>45</v>
      </c>
      <c r="D58" s="5" t="n">
        <f aca="false">B58*C58</f>
        <v>90</v>
      </c>
    </row>
    <row r="59" customFormat="false" ht="15" hidden="false" customHeight="false" outlineLevel="0" collapsed="false">
      <c r="A59" s="0" t="s">
        <v>331</v>
      </c>
      <c r="B59" s="0" t="n">
        <v>1</v>
      </c>
      <c r="C59" s="5" t="n">
        <v>35.15</v>
      </c>
      <c r="D59" s="5" t="n">
        <f aca="false">B59*C59</f>
        <v>35.15</v>
      </c>
    </row>
    <row r="60" customFormat="false" ht="15" hidden="false" customHeight="false" outlineLevel="0" collapsed="false">
      <c r="A60" s="0" t="s">
        <v>331</v>
      </c>
      <c r="B60" s="0" t="n">
        <v>1</v>
      </c>
      <c r="C60" s="5" t="n">
        <v>35.15</v>
      </c>
      <c r="D60" s="5" t="n">
        <f aca="false">B60*C60</f>
        <v>35.15</v>
      </c>
    </row>
    <row r="61" customFormat="false" ht="15" hidden="false" customHeight="false" outlineLevel="0" collapsed="false">
      <c r="A61" s="0" t="s">
        <v>331</v>
      </c>
      <c r="B61" s="0" t="n">
        <v>2</v>
      </c>
      <c r="C61" s="5" t="n">
        <v>45</v>
      </c>
      <c r="D61" s="5" t="n">
        <f aca="false">B61*C61</f>
        <v>90</v>
      </c>
    </row>
    <row r="62" customFormat="false" ht="15" hidden="false" customHeight="false" outlineLevel="0" collapsed="false">
      <c r="A62" s="0" t="s">
        <v>331</v>
      </c>
      <c r="B62" s="0" t="n">
        <v>0.67</v>
      </c>
      <c r="C62" s="5" t="n">
        <v>45</v>
      </c>
      <c r="D62" s="5" t="n">
        <f aca="false">B62*C62</f>
        <v>30.15</v>
      </c>
    </row>
    <row r="63" customFormat="false" ht="15" hidden="false" customHeight="false" outlineLevel="0" collapsed="false">
      <c r="A63" s="0" t="s">
        <v>331</v>
      </c>
      <c r="B63" s="0" t="n">
        <v>0.67</v>
      </c>
      <c r="C63" s="5" t="n">
        <v>45</v>
      </c>
      <c r="D63" s="5" t="n">
        <f aca="false">B63*C63</f>
        <v>30.15</v>
      </c>
    </row>
    <row r="64" customFormat="false" ht="15" hidden="false" customHeight="false" outlineLevel="0" collapsed="false">
      <c r="A64" s="0" t="s">
        <v>331</v>
      </c>
      <c r="B64" s="0" t="n">
        <v>2</v>
      </c>
      <c r="C64" s="5" t="n">
        <v>45</v>
      </c>
      <c r="D64" s="5" t="n">
        <f aca="false">B64*C64</f>
        <v>90</v>
      </c>
    </row>
    <row r="65" customFormat="false" ht="15" hidden="false" customHeight="false" outlineLevel="0" collapsed="false">
      <c r="A65" s="0" t="s">
        <v>332</v>
      </c>
      <c r="B65" s="0" t="n">
        <v>4</v>
      </c>
      <c r="C65" s="5" t="n">
        <v>45</v>
      </c>
      <c r="D65" s="5" t="n">
        <f aca="false">B65*C65</f>
        <v>180</v>
      </c>
    </row>
    <row r="66" customFormat="false" ht="15" hidden="false" customHeight="false" outlineLevel="0" collapsed="false">
      <c r="A66" s="0" t="s">
        <v>140</v>
      </c>
      <c r="B66" s="0" t="n">
        <v>2</v>
      </c>
      <c r="C66" s="5" t="n">
        <v>45</v>
      </c>
      <c r="D66" s="5" t="n">
        <f aca="false">B66*C66</f>
        <v>90</v>
      </c>
    </row>
    <row r="67" customFormat="false" ht="15" hidden="false" customHeight="false" outlineLevel="0" collapsed="false">
      <c r="A67" s="0" t="s">
        <v>140</v>
      </c>
      <c r="B67" s="0" t="n">
        <v>2</v>
      </c>
      <c r="C67" s="5" t="n">
        <v>37.3</v>
      </c>
      <c r="D67" s="5" t="n">
        <f aca="false">B67*C67</f>
        <v>74.6</v>
      </c>
    </row>
    <row r="68" customFormat="false" ht="15" hidden="false" customHeight="false" outlineLevel="0" collapsed="false">
      <c r="A68" s="0" t="s">
        <v>142</v>
      </c>
      <c r="B68" s="0" t="n">
        <v>1</v>
      </c>
      <c r="C68" s="5" t="n">
        <v>52</v>
      </c>
      <c r="D68" s="5" t="n">
        <f aca="false">B68*C68</f>
        <v>52</v>
      </c>
    </row>
    <row r="69" customFormat="false" ht="15" hidden="false" customHeight="false" outlineLevel="0" collapsed="false">
      <c r="A69" s="0" t="s">
        <v>333</v>
      </c>
      <c r="B69" s="0" t="n">
        <v>2</v>
      </c>
      <c r="C69" s="5" t="n">
        <v>45</v>
      </c>
      <c r="D69" s="5" t="n">
        <f aca="false">B69*C69</f>
        <v>90</v>
      </c>
    </row>
    <row r="70" customFormat="false" ht="15" hidden="false" customHeight="false" outlineLevel="0" collapsed="false">
      <c r="A70" s="0" t="s">
        <v>334</v>
      </c>
      <c r="B70" s="0" t="n">
        <v>0.5</v>
      </c>
      <c r="C70" s="5" t="n">
        <v>45</v>
      </c>
      <c r="D70" s="5" t="n">
        <f aca="false">B70*C70</f>
        <v>22.5</v>
      </c>
    </row>
    <row r="71" customFormat="false" ht="15" hidden="false" customHeight="false" outlineLevel="0" collapsed="false">
      <c r="A71" s="0" t="s">
        <v>334</v>
      </c>
      <c r="B71" s="0" t="n">
        <v>1</v>
      </c>
      <c r="C71" s="5" t="n">
        <v>45</v>
      </c>
      <c r="D71" s="5" t="n">
        <f aca="false">B71*C71</f>
        <v>45</v>
      </c>
    </row>
    <row r="72" customFormat="false" ht="15" hidden="false" customHeight="false" outlineLevel="0" collapsed="false">
      <c r="A72" s="0" t="s">
        <v>335</v>
      </c>
      <c r="B72" s="0" t="n">
        <v>1</v>
      </c>
      <c r="C72" s="5" t="n">
        <v>45</v>
      </c>
      <c r="D72" s="5" t="n">
        <f aca="false">B72*C72</f>
        <v>45</v>
      </c>
    </row>
    <row r="73" customFormat="false" ht="15" hidden="false" customHeight="false" outlineLevel="0" collapsed="false">
      <c r="A73" s="0" t="s">
        <v>143</v>
      </c>
      <c r="B73" s="0" t="n">
        <v>1</v>
      </c>
      <c r="C73" s="5" t="n">
        <v>45</v>
      </c>
      <c r="D73" s="5" t="n">
        <f aca="false">B73*C73</f>
        <v>45</v>
      </c>
    </row>
    <row r="74" customFormat="false" ht="15" hidden="false" customHeight="false" outlineLevel="0" collapsed="false">
      <c r="A74" s="0" t="s">
        <v>143</v>
      </c>
      <c r="B74" s="0" t="n">
        <v>4</v>
      </c>
      <c r="C74" s="5" t="n">
        <v>50.95</v>
      </c>
      <c r="D74" s="5" t="n">
        <f aca="false">B74*C74</f>
        <v>203.8</v>
      </c>
    </row>
    <row r="75" customFormat="false" ht="15" hidden="false" customHeight="false" outlineLevel="0" collapsed="false">
      <c r="A75" s="0" t="s">
        <v>143</v>
      </c>
      <c r="B75" s="0" t="n">
        <v>1</v>
      </c>
      <c r="C75" s="5" t="n">
        <v>45</v>
      </c>
      <c r="D75" s="5" t="n">
        <f aca="false">B75*C75</f>
        <v>45</v>
      </c>
    </row>
    <row r="76" customFormat="false" ht="15" hidden="false" customHeight="false" outlineLevel="0" collapsed="false">
      <c r="A76" s="0" t="s">
        <v>336</v>
      </c>
      <c r="B76" s="0" t="n">
        <v>1</v>
      </c>
      <c r="C76" s="5" t="n">
        <v>45</v>
      </c>
      <c r="D76" s="5" t="n">
        <f aca="false">B76*C76</f>
        <v>45</v>
      </c>
    </row>
    <row r="77" customFormat="false" ht="15" hidden="false" customHeight="false" outlineLevel="0" collapsed="false">
      <c r="A77" s="0" t="s">
        <v>337</v>
      </c>
      <c r="B77" s="0" t="n">
        <v>2</v>
      </c>
      <c r="C77" s="5" t="n">
        <v>45</v>
      </c>
      <c r="D77" s="5" t="n">
        <f aca="false">B77*C77</f>
        <v>90</v>
      </c>
    </row>
    <row r="78" customFormat="false" ht="15" hidden="false" customHeight="false" outlineLevel="0" collapsed="false">
      <c r="A78" s="0" t="s">
        <v>145</v>
      </c>
      <c r="B78" s="0" t="n">
        <v>1</v>
      </c>
      <c r="C78" s="5" t="n">
        <v>45</v>
      </c>
      <c r="D78" s="5" t="n">
        <f aca="false">B78*C78</f>
        <v>45</v>
      </c>
    </row>
    <row r="79" customFormat="false" ht="15" hidden="false" customHeight="false" outlineLevel="0" collapsed="false">
      <c r="A79" s="0" t="s">
        <v>145</v>
      </c>
      <c r="B79" s="0" t="n">
        <v>2</v>
      </c>
      <c r="C79" s="5" t="n">
        <v>35.8</v>
      </c>
      <c r="D79" s="5" t="n">
        <f aca="false">B79*C79</f>
        <v>71.6</v>
      </c>
    </row>
    <row r="80" customFormat="false" ht="15" hidden="false" customHeight="false" outlineLevel="0" collapsed="false">
      <c r="A80" s="0" t="s">
        <v>338</v>
      </c>
      <c r="B80" s="0" t="n">
        <v>1</v>
      </c>
      <c r="C80" s="5" t="n">
        <v>27</v>
      </c>
      <c r="D80" s="5" t="n">
        <f aca="false">B80*C80</f>
        <v>27</v>
      </c>
    </row>
    <row r="81" customFormat="false" ht="15" hidden="false" customHeight="false" outlineLevel="0" collapsed="false">
      <c r="A81" s="0" t="s">
        <v>338</v>
      </c>
      <c r="B81" s="0" t="n">
        <v>1</v>
      </c>
      <c r="C81" s="5" t="n">
        <v>27</v>
      </c>
      <c r="D81" s="5" t="n">
        <f aca="false">B81*C81</f>
        <v>27</v>
      </c>
    </row>
    <row r="82" customFormat="false" ht="15" hidden="false" customHeight="false" outlineLevel="0" collapsed="false">
      <c r="A82" s="0" t="s">
        <v>339</v>
      </c>
      <c r="B82" s="0" t="n">
        <v>1</v>
      </c>
      <c r="C82" s="5" t="n">
        <v>45</v>
      </c>
      <c r="D82" s="5" t="n">
        <f aca="false">B82*C82</f>
        <v>45</v>
      </c>
    </row>
    <row r="83" customFormat="false" ht="15" hidden="false" customHeight="false" outlineLevel="0" collapsed="false">
      <c r="A83" s="0" t="s">
        <v>340</v>
      </c>
      <c r="B83" s="0" t="n">
        <v>2</v>
      </c>
      <c r="C83" s="5" t="n">
        <v>45</v>
      </c>
      <c r="D83" s="5" t="n">
        <f aca="false">B83*C83</f>
        <v>90</v>
      </c>
    </row>
    <row r="84" customFormat="false" ht="15" hidden="false" customHeight="false" outlineLevel="0" collapsed="false">
      <c r="A84" s="0" t="s">
        <v>341</v>
      </c>
      <c r="B84" s="0" t="n">
        <v>2</v>
      </c>
      <c r="C84" s="5" t="n">
        <v>45</v>
      </c>
      <c r="D84" s="5" t="n">
        <f aca="false">B84*C84</f>
        <v>90</v>
      </c>
    </row>
    <row r="85" customFormat="false" ht="15" hidden="false" customHeight="false" outlineLevel="0" collapsed="false">
      <c r="A85" s="0" t="s">
        <v>341</v>
      </c>
      <c r="B85" s="0" t="n">
        <v>1</v>
      </c>
      <c r="C85" s="5" t="n">
        <v>45</v>
      </c>
      <c r="D85" s="5" t="n">
        <f aca="false">B85*C85</f>
        <v>45</v>
      </c>
    </row>
    <row r="86" customFormat="false" ht="15" hidden="false" customHeight="false" outlineLevel="0" collapsed="false">
      <c r="A86" s="0" t="s">
        <v>342</v>
      </c>
      <c r="B86" s="0" t="n">
        <v>2</v>
      </c>
      <c r="C86" s="5" t="n">
        <v>30</v>
      </c>
      <c r="D86" s="5" t="n">
        <f aca="false">B86*C86</f>
        <v>60</v>
      </c>
    </row>
    <row r="87" customFormat="false" ht="15" hidden="false" customHeight="false" outlineLevel="0" collapsed="false">
      <c r="A87" s="0" t="s">
        <v>343</v>
      </c>
      <c r="B87" s="0" t="n">
        <v>1</v>
      </c>
      <c r="C87" s="5" t="n">
        <v>45</v>
      </c>
      <c r="D87" s="5" t="n">
        <f aca="false">B87*C87</f>
        <v>45</v>
      </c>
    </row>
    <row r="88" customFormat="false" ht="15" hidden="false" customHeight="false" outlineLevel="0" collapsed="false">
      <c r="A88" s="0" t="s">
        <v>344</v>
      </c>
      <c r="B88" s="0" t="n">
        <v>1</v>
      </c>
      <c r="C88" s="5" t="n">
        <v>45</v>
      </c>
      <c r="D88" s="5" t="n">
        <f aca="false">B88*C88</f>
        <v>45</v>
      </c>
    </row>
    <row r="89" customFormat="false" ht="15" hidden="false" customHeight="false" outlineLevel="0" collapsed="false">
      <c r="A89" s="0" t="s">
        <v>344</v>
      </c>
      <c r="B89" s="0" t="n">
        <v>2</v>
      </c>
      <c r="C89" s="5" t="n">
        <v>45</v>
      </c>
      <c r="D89" s="5" t="n">
        <f aca="false">B89*C89</f>
        <v>90</v>
      </c>
    </row>
    <row r="90" customFormat="false" ht="15" hidden="false" customHeight="false" outlineLevel="0" collapsed="false">
      <c r="A90" s="0" t="s">
        <v>345</v>
      </c>
      <c r="B90" s="0" t="n">
        <v>2</v>
      </c>
      <c r="C90" s="5" t="n">
        <v>45</v>
      </c>
      <c r="D90" s="5" t="n">
        <f aca="false">B90*C90</f>
        <v>90</v>
      </c>
    </row>
    <row r="91" customFormat="false" ht="15" hidden="false" customHeight="false" outlineLevel="0" collapsed="false">
      <c r="A91" s="0" t="s">
        <v>345</v>
      </c>
      <c r="B91" s="0" t="n">
        <v>2</v>
      </c>
      <c r="C91" s="5" t="n">
        <v>45</v>
      </c>
      <c r="D91" s="5" t="n">
        <f aca="false">B91*C91</f>
        <v>90</v>
      </c>
    </row>
    <row r="92" customFormat="false" ht="15" hidden="false" customHeight="false" outlineLevel="0" collapsed="false">
      <c r="A92" s="0" t="s">
        <v>346</v>
      </c>
      <c r="B92" s="0" t="n">
        <v>1</v>
      </c>
      <c r="C92" s="5" t="n">
        <v>45</v>
      </c>
      <c r="D92" s="5" t="n">
        <f aca="false">B92*C92</f>
        <v>45</v>
      </c>
    </row>
    <row r="93" customFormat="false" ht="15" hidden="false" customHeight="false" outlineLevel="0" collapsed="false">
      <c r="A93" s="0" t="s">
        <v>347</v>
      </c>
      <c r="B93" s="0" t="n">
        <v>2</v>
      </c>
      <c r="C93" s="5" t="n">
        <v>45</v>
      </c>
      <c r="D93" s="5" t="n">
        <f aca="false">B93*C93</f>
        <v>90</v>
      </c>
    </row>
    <row r="94" customFormat="false" ht="15" hidden="false" customHeight="false" outlineLevel="0" collapsed="false">
      <c r="A94" s="0" t="s">
        <v>348</v>
      </c>
      <c r="B94" s="0" t="n">
        <v>1</v>
      </c>
      <c r="C94" s="5" t="n">
        <v>45</v>
      </c>
      <c r="D94" s="5" t="n">
        <f aca="false">B94*C94</f>
        <v>45</v>
      </c>
    </row>
    <row r="95" customFormat="false" ht="15" hidden="false" customHeight="false" outlineLevel="0" collapsed="false">
      <c r="A95" s="0" t="s">
        <v>349</v>
      </c>
      <c r="B95" s="0" t="n">
        <v>1</v>
      </c>
      <c r="C95" s="5" t="n">
        <v>45</v>
      </c>
      <c r="D95" s="5" t="n">
        <f aca="false">B95*C95</f>
        <v>45</v>
      </c>
    </row>
    <row r="96" customFormat="false" ht="15" hidden="false" customHeight="false" outlineLevel="0" collapsed="false">
      <c r="A96" s="0" t="s">
        <v>350</v>
      </c>
      <c r="B96" s="0" t="n">
        <v>0.5</v>
      </c>
      <c r="C96" s="5" t="n">
        <v>45</v>
      </c>
      <c r="D96" s="5" t="n">
        <f aca="false">B96*C96</f>
        <v>22.5</v>
      </c>
    </row>
    <row r="97" customFormat="false" ht="15" hidden="false" customHeight="false" outlineLevel="0" collapsed="false">
      <c r="A97" s="0" t="s">
        <v>350</v>
      </c>
      <c r="B97" s="0" t="n">
        <v>1</v>
      </c>
      <c r="C97" s="5" t="n">
        <v>45</v>
      </c>
      <c r="D97" s="5" t="n">
        <f aca="false">B97*C97</f>
        <v>45</v>
      </c>
    </row>
    <row r="98" customFormat="false" ht="15" hidden="false" customHeight="false" outlineLevel="0" collapsed="false">
      <c r="A98" s="0" t="s">
        <v>350</v>
      </c>
      <c r="B98" s="0" t="n">
        <v>2</v>
      </c>
      <c r="C98" s="5" t="n">
        <v>45</v>
      </c>
      <c r="D98" s="5" t="n">
        <f aca="false">B98*C98</f>
        <v>90</v>
      </c>
    </row>
    <row r="99" customFormat="false" ht="15" hidden="false" customHeight="false" outlineLevel="0" collapsed="false">
      <c r="A99" s="0" t="s">
        <v>350</v>
      </c>
      <c r="B99" s="0" t="n">
        <v>0.5</v>
      </c>
      <c r="C99" s="5" t="n">
        <v>45</v>
      </c>
      <c r="D99" s="5" t="n">
        <f aca="false">B99*C99</f>
        <v>22.5</v>
      </c>
    </row>
    <row r="100" customFormat="false" ht="15" hidden="false" customHeight="false" outlineLevel="0" collapsed="false">
      <c r="A100" s="0" t="s">
        <v>351</v>
      </c>
      <c r="B100" s="0" t="n">
        <v>2</v>
      </c>
      <c r="C100" s="5" t="n">
        <v>45</v>
      </c>
      <c r="D100" s="5" t="n">
        <f aca="false">B100*C100</f>
        <v>90</v>
      </c>
    </row>
    <row r="101" customFormat="false" ht="15" hidden="false" customHeight="false" outlineLevel="0" collapsed="false">
      <c r="A101" s="0" t="s">
        <v>351</v>
      </c>
      <c r="B101" s="0" t="n">
        <v>1</v>
      </c>
      <c r="C101" s="5" t="n">
        <v>45</v>
      </c>
      <c r="D101" s="5" t="n">
        <f aca="false">B101*C101</f>
        <v>45</v>
      </c>
    </row>
    <row r="102" customFormat="false" ht="15" hidden="false" customHeight="false" outlineLevel="0" collapsed="false">
      <c r="A102" s="0" t="s">
        <v>147</v>
      </c>
      <c r="B102" s="0" t="n">
        <v>2</v>
      </c>
      <c r="C102" s="5" t="n">
        <v>45</v>
      </c>
      <c r="D102" s="5" t="n">
        <f aca="false">B102*C102</f>
        <v>90</v>
      </c>
    </row>
    <row r="103" customFormat="false" ht="15" hidden="false" customHeight="false" outlineLevel="0" collapsed="false">
      <c r="A103" s="0" t="s">
        <v>147</v>
      </c>
      <c r="B103" s="0" t="n">
        <v>2</v>
      </c>
      <c r="C103" s="5" t="n">
        <v>30.3</v>
      </c>
      <c r="D103" s="5" t="n">
        <f aca="false">B103*C103</f>
        <v>60.6</v>
      </c>
    </row>
    <row r="104" customFormat="false" ht="15" hidden="false" customHeight="false" outlineLevel="0" collapsed="false">
      <c r="A104" s="0" t="s">
        <v>147</v>
      </c>
      <c r="B104" s="0" t="n">
        <v>2</v>
      </c>
      <c r="C104" s="5" t="n">
        <v>28.75</v>
      </c>
      <c r="D104" s="5" t="n">
        <f aca="false">B104*C104</f>
        <v>57.5</v>
      </c>
    </row>
    <row r="105" customFormat="false" ht="15" hidden="false" customHeight="false" outlineLevel="0" collapsed="false">
      <c r="A105" s="0" t="s">
        <v>352</v>
      </c>
      <c r="B105" s="0" t="n">
        <v>2</v>
      </c>
      <c r="C105" s="5" t="n">
        <v>45</v>
      </c>
      <c r="D105" s="5" t="n">
        <f aca="false">B105*C105</f>
        <v>90</v>
      </c>
    </row>
    <row r="106" customFormat="false" ht="15" hidden="false" customHeight="false" outlineLevel="0" collapsed="false">
      <c r="A106" s="0" t="s">
        <v>353</v>
      </c>
      <c r="B106" s="0" t="n">
        <v>1</v>
      </c>
      <c r="C106" s="5" t="n">
        <v>45</v>
      </c>
      <c r="D106" s="5" t="n">
        <f aca="false">B106*C106</f>
        <v>45</v>
      </c>
    </row>
    <row r="107" customFormat="false" ht="15" hidden="false" customHeight="false" outlineLevel="0" collapsed="false">
      <c r="A107" s="0" t="s">
        <v>353</v>
      </c>
      <c r="B107" s="0" t="n">
        <v>2</v>
      </c>
      <c r="C107" s="5" t="n">
        <v>45</v>
      </c>
      <c r="D107" s="5" t="n">
        <f aca="false">B107*C107</f>
        <v>90</v>
      </c>
    </row>
    <row r="108" customFormat="false" ht="15" hidden="false" customHeight="false" outlineLevel="0" collapsed="false">
      <c r="A108" s="0" t="s">
        <v>354</v>
      </c>
      <c r="B108" s="0" t="n">
        <v>1</v>
      </c>
      <c r="C108" s="5" t="n">
        <v>39.2</v>
      </c>
      <c r="D108" s="5" t="n">
        <f aca="false">B108*C108</f>
        <v>39.2</v>
      </c>
    </row>
    <row r="109" customFormat="false" ht="15" hidden="false" customHeight="false" outlineLevel="0" collapsed="false">
      <c r="A109" s="0" t="s">
        <v>354</v>
      </c>
      <c r="B109" s="0" t="n">
        <v>1</v>
      </c>
      <c r="C109" s="5" t="n">
        <v>39.2</v>
      </c>
      <c r="D109" s="5" t="n">
        <f aca="false">B109*C109</f>
        <v>39.2</v>
      </c>
    </row>
    <row r="110" customFormat="false" ht="15" hidden="false" customHeight="false" outlineLevel="0" collapsed="false">
      <c r="A110" s="0" t="s">
        <v>355</v>
      </c>
      <c r="B110" s="0" t="n">
        <v>1</v>
      </c>
      <c r="C110" s="5" t="n">
        <v>45</v>
      </c>
      <c r="D110" s="5" t="n">
        <f aca="false">B110*C110</f>
        <v>45</v>
      </c>
    </row>
    <row r="111" customFormat="false" ht="15" hidden="false" customHeight="false" outlineLevel="0" collapsed="false">
      <c r="A111" s="0" t="s">
        <v>356</v>
      </c>
      <c r="B111" s="0" t="n">
        <v>1</v>
      </c>
      <c r="C111" s="5" t="n">
        <v>45</v>
      </c>
      <c r="D111" s="5" t="n">
        <f aca="false">B111*C111</f>
        <v>45</v>
      </c>
    </row>
    <row r="112" customFormat="false" ht="15" hidden="false" customHeight="false" outlineLevel="0" collapsed="false">
      <c r="A112" s="0" t="s">
        <v>357</v>
      </c>
      <c r="B112" s="0" t="n">
        <v>2</v>
      </c>
      <c r="C112" s="5" t="n">
        <v>45</v>
      </c>
      <c r="D112" s="5" t="n">
        <f aca="false">B112*C112</f>
        <v>90</v>
      </c>
    </row>
    <row r="113" customFormat="false" ht="15" hidden="false" customHeight="false" outlineLevel="0" collapsed="false">
      <c r="A113" s="0" t="s">
        <v>358</v>
      </c>
      <c r="B113" s="0" t="n">
        <v>1</v>
      </c>
      <c r="C113" s="5" t="n">
        <v>45</v>
      </c>
      <c r="D113" s="5" t="n">
        <f aca="false">B113*C113</f>
        <v>45</v>
      </c>
    </row>
    <row r="114" customFormat="false" ht="15" hidden="false" customHeight="false" outlineLevel="0" collapsed="false">
      <c r="A114" s="0" t="s">
        <v>358</v>
      </c>
      <c r="B114" s="0" t="n">
        <v>3</v>
      </c>
      <c r="C114" s="5" t="n">
        <v>45</v>
      </c>
      <c r="D114" s="5" t="n">
        <f aca="false">B114*C114</f>
        <v>135</v>
      </c>
    </row>
    <row r="115" customFormat="false" ht="15" hidden="false" customHeight="false" outlineLevel="0" collapsed="false">
      <c r="A115" s="0" t="s">
        <v>358</v>
      </c>
      <c r="B115" s="0" t="n">
        <v>1</v>
      </c>
      <c r="C115" s="5" t="n">
        <v>27</v>
      </c>
      <c r="D115" s="5" t="n">
        <f aca="false">B115*C115</f>
        <v>27</v>
      </c>
    </row>
    <row r="116" customFormat="false" ht="15" hidden="false" customHeight="false" outlineLevel="0" collapsed="false">
      <c r="A116" s="0" t="s">
        <v>358</v>
      </c>
      <c r="B116" s="0" t="n">
        <v>1</v>
      </c>
      <c r="C116" s="5" t="n">
        <v>51.6</v>
      </c>
      <c r="D116" s="5" t="n">
        <f aca="false">B116*C116</f>
        <v>51.6</v>
      </c>
    </row>
    <row r="117" customFormat="false" ht="15" hidden="false" customHeight="false" outlineLevel="0" collapsed="false">
      <c r="A117" s="0" t="s">
        <v>358</v>
      </c>
      <c r="B117" s="0" t="n">
        <v>2</v>
      </c>
      <c r="C117" s="5" t="n">
        <v>45</v>
      </c>
      <c r="D117" s="5" t="n">
        <f aca="false">B117*C117</f>
        <v>90</v>
      </c>
    </row>
    <row r="118" customFormat="false" ht="15" hidden="false" customHeight="false" outlineLevel="0" collapsed="false">
      <c r="A118" s="0" t="s">
        <v>359</v>
      </c>
      <c r="B118" s="0" t="n">
        <v>2</v>
      </c>
      <c r="C118" s="5" t="n">
        <v>45</v>
      </c>
      <c r="D118" s="5" t="n">
        <f aca="false">B118*C118</f>
        <v>90</v>
      </c>
    </row>
    <row r="119" customFormat="false" ht="15" hidden="false" customHeight="false" outlineLevel="0" collapsed="false">
      <c r="A119" s="0" t="s">
        <v>360</v>
      </c>
      <c r="B119" s="0" t="n">
        <v>1</v>
      </c>
      <c r="C119" s="5" t="n">
        <v>45</v>
      </c>
      <c r="D119" s="5" t="n">
        <f aca="false">B119*C119</f>
        <v>45</v>
      </c>
    </row>
    <row r="120" customFormat="false" ht="15" hidden="false" customHeight="false" outlineLevel="0" collapsed="false">
      <c r="A120" s="0" t="s">
        <v>360</v>
      </c>
      <c r="B120" s="0" t="n">
        <v>4</v>
      </c>
      <c r="C120" s="5" t="n">
        <v>45</v>
      </c>
      <c r="D120" s="5" t="n">
        <f aca="false">B120*C120</f>
        <v>180</v>
      </c>
    </row>
    <row r="121" customFormat="false" ht="15" hidden="false" customHeight="false" outlineLevel="0" collapsed="false">
      <c r="A121" s="0" t="s">
        <v>361</v>
      </c>
      <c r="B121" s="0" t="n">
        <v>1</v>
      </c>
      <c r="C121" s="5" t="n">
        <v>60</v>
      </c>
      <c r="D121" s="5" t="n">
        <f aca="false">B121*C121</f>
        <v>60</v>
      </c>
    </row>
    <row r="122" customFormat="false" ht="15" hidden="false" customHeight="false" outlineLevel="0" collapsed="false">
      <c r="A122" s="0" t="s">
        <v>149</v>
      </c>
      <c r="B122" s="0" t="n">
        <v>1</v>
      </c>
      <c r="C122" s="5" t="n">
        <v>45</v>
      </c>
      <c r="D122" s="5" t="n">
        <f aca="false">B122*C122</f>
        <v>45</v>
      </c>
    </row>
    <row r="123" customFormat="false" ht="15" hidden="false" customHeight="false" outlineLevel="0" collapsed="false">
      <c r="A123" s="0" t="s">
        <v>149</v>
      </c>
      <c r="B123" s="0" t="n">
        <v>2</v>
      </c>
      <c r="C123" s="5" t="n">
        <v>64.4</v>
      </c>
      <c r="D123" s="5" t="n">
        <f aca="false">B123*C123</f>
        <v>128.8</v>
      </c>
    </row>
    <row r="124" customFormat="false" ht="15" hidden="false" customHeight="false" outlineLevel="0" collapsed="false">
      <c r="A124" s="0" t="s">
        <v>362</v>
      </c>
      <c r="B124" s="0" t="n">
        <v>1</v>
      </c>
      <c r="C124" s="5" t="n">
        <v>45</v>
      </c>
      <c r="D124" s="5" t="n">
        <f aca="false">B124*C124</f>
        <v>45</v>
      </c>
    </row>
    <row r="125" customFormat="false" ht="15" hidden="false" customHeight="false" outlineLevel="0" collapsed="false">
      <c r="A125" s="0" t="s">
        <v>363</v>
      </c>
      <c r="B125" s="0" t="n">
        <v>1</v>
      </c>
      <c r="C125" s="5" t="n">
        <v>45</v>
      </c>
      <c r="D125" s="5" t="n">
        <f aca="false">B125*C125</f>
        <v>45</v>
      </c>
    </row>
    <row r="126" customFormat="false" ht="15" hidden="false" customHeight="false" outlineLevel="0" collapsed="false">
      <c r="A126" s="0" t="s">
        <v>364</v>
      </c>
      <c r="B126" s="0" t="n">
        <v>1</v>
      </c>
      <c r="C126" s="5" t="n">
        <v>45</v>
      </c>
      <c r="D126" s="5" t="n">
        <f aca="false">B126*C126</f>
        <v>45</v>
      </c>
    </row>
    <row r="127" customFormat="false" ht="15" hidden="false" customHeight="false" outlineLevel="0" collapsed="false">
      <c r="A127" s="0" t="s">
        <v>365</v>
      </c>
      <c r="B127" s="0" t="n">
        <v>3</v>
      </c>
      <c r="C127" s="5" t="n">
        <v>45</v>
      </c>
      <c r="D127" s="5" t="n">
        <f aca="false">B127*C127</f>
        <v>135</v>
      </c>
    </row>
    <row r="128" customFormat="false" ht="15" hidden="false" customHeight="false" outlineLevel="0" collapsed="false">
      <c r="A128" s="0" t="s">
        <v>366</v>
      </c>
      <c r="B128" s="0" t="n">
        <v>2</v>
      </c>
      <c r="C128" s="5" t="n">
        <v>45</v>
      </c>
      <c r="D128" s="5" t="n">
        <f aca="false">B128*C128</f>
        <v>90</v>
      </c>
    </row>
    <row r="129" customFormat="false" ht="15" hidden="false" customHeight="false" outlineLevel="0" collapsed="false">
      <c r="A129" s="0" t="s">
        <v>367</v>
      </c>
      <c r="B129" s="0" t="n">
        <v>1</v>
      </c>
      <c r="C129" s="5" t="n">
        <v>45</v>
      </c>
      <c r="D129" s="5" t="n">
        <f aca="false">B129*C129</f>
        <v>45</v>
      </c>
    </row>
    <row r="130" customFormat="false" ht="15" hidden="false" customHeight="false" outlineLevel="0" collapsed="false">
      <c r="A130" s="0" t="s">
        <v>151</v>
      </c>
      <c r="B130" s="0" t="n">
        <v>5</v>
      </c>
      <c r="C130" s="5" t="n">
        <v>41.7</v>
      </c>
      <c r="D130" s="5" t="n">
        <f aca="false">B130*C130</f>
        <v>208.5</v>
      </c>
    </row>
    <row r="131" customFormat="false" ht="15" hidden="false" customHeight="false" outlineLevel="0" collapsed="false">
      <c r="A131" s="0" t="s">
        <v>368</v>
      </c>
      <c r="B131" s="0" t="n">
        <v>3</v>
      </c>
      <c r="C131" s="5" t="n">
        <v>45</v>
      </c>
      <c r="D131" s="5" t="n">
        <f aca="false">B131*C131</f>
        <v>135</v>
      </c>
    </row>
    <row r="132" customFormat="false" ht="15" hidden="false" customHeight="false" outlineLevel="0" collapsed="false">
      <c r="A132" s="0" t="s">
        <v>369</v>
      </c>
      <c r="B132" s="0" t="n">
        <v>2</v>
      </c>
      <c r="C132" s="5" t="n">
        <v>45</v>
      </c>
      <c r="D132" s="5" t="n">
        <f aca="false">B132*C132</f>
        <v>90</v>
      </c>
    </row>
    <row r="133" customFormat="false" ht="15" hidden="false" customHeight="false" outlineLevel="0" collapsed="false">
      <c r="A133" s="0" t="s">
        <v>370</v>
      </c>
      <c r="B133" s="0" t="n">
        <v>1</v>
      </c>
      <c r="C133" s="5" t="n">
        <v>45</v>
      </c>
      <c r="D133" s="5" t="n">
        <f aca="false">B133*C133</f>
        <v>45</v>
      </c>
    </row>
    <row r="134" customFormat="false" ht="15" hidden="false" customHeight="false" outlineLevel="0" collapsed="false">
      <c r="A134" s="0" t="s">
        <v>153</v>
      </c>
      <c r="B134" s="0" t="n">
        <v>2</v>
      </c>
      <c r="C134" s="5" t="n">
        <v>32.3</v>
      </c>
      <c r="D134" s="5" t="n">
        <f aca="false">B134*C134</f>
        <v>64.6</v>
      </c>
    </row>
    <row r="135" customFormat="false" ht="15" hidden="false" customHeight="false" outlineLevel="0" collapsed="false">
      <c r="A135" s="0" t="s">
        <v>153</v>
      </c>
      <c r="B135" s="0" t="n">
        <v>1</v>
      </c>
      <c r="C135" s="5" t="n">
        <v>52</v>
      </c>
      <c r="D135" s="5" t="n">
        <f aca="false">B135*C135</f>
        <v>52</v>
      </c>
    </row>
    <row r="136" customFormat="false" ht="15" hidden="false" customHeight="false" outlineLevel="0" collapsed="false">
      <c r="A136" s="0" t="s">
        <v>371</v>
      </c>
      <c r="B136" s="0" t="n">
        <v>2</v>
      </c>
      <c r="C136" s="5" t="n">
        <v>45</v>
      </c>
      <c r="D136" s="5" t="n">
        <f aca="false">B136*C136</f>
        <v>90</v>
      </c>
    </row>
    <row r="137" customFormat="false" ht="15" hidden="false" customHeight="false" outlineLevel="0" collapsed="false">
      <c r="A137" s="0" t="s">
        <v>372</v>
      </c>
      <c r="B137" s="0" t="n">
        <v>1</v>
      </c>
      <c r="C137" s="5" t="n">
        <v>45</v>
      </c>
      <c r="D137" s="5" t="n">
        <f aca="false">B137*C137</f>
        <v>45</v>
      </c>
    </row>
    <row r="138" customFormat="false" ht="15" hidden="false" customHeight="false" outlineLevel="0" collapsed="false">
      <c r="A138" s="0" t="s">
        <v>155</v>
      </c>
      <c r="B138" s="0" t="n">
        <v>7</v>
      </c>
      <c r="C138" s="5" t="n">
        <v>35.4</v>
      </c>
      <c r="D138" s="5" t="n">
        <f aca="false">B138*C138</f>
        <v>247.8</v>
      </c>
    </row>
    <row r="139" customFormat="false" ht="15" hidden="false" customHeight="false" outlineLevel="0" collapsed="false">
      <c r="A139" s="0" t="s">
        <v>373</v>
      </c>
      <c r="B139" s="0" t="n">
        <v>1</v>
      </c>
      <c r="C139" s="5" t="n">
        <v>45</v>
      </c>
      <c r="D139" s="5" t="n">
        <f aca="false">B139*C139</f>
        <v>45</v>
      </c>
    </row>
    <row r="140" customFormat="false" ht="15" hidden="false" customHeight="false" outlineLevel="0" collapsed="false">
      <c r="A140" s="0" t="s">
        <v>373</v>
      </c>
      <c r="B140" s="0" t="n">
        <v>3</v>
      </c>
      <c r="C140" s="5" t="n">
        <v>37.8</v>
      </c>
      <c r="D140" s="5" t="n">
        <f aca="false">B140*C140</f>
        <v>113.4</v>
      </c>
    </row>
    <row r="141" customFormat="false" ht="15" hidden="false" customHeight="false" outlineLevel="0" collapsed="false">
      <c r="A141" s="0" t="s">
        <v>157</v>
      </c>
      <c r="B141" s="0" t="n">
        <v>5</v>
      </c>
      <c r="C141" s="5" t="n">
        <v>32.38</v>
      </c>
      <c r="D141" s="5" t="n">
        <f aca="false">B141*C141</f>
        <v>161.9</v>
      </c>
    </row>
    <row r="142" customFormat="false" ht="15" hidden="false" customHeight="false" outlineLevel="0" collapsed="false">
      <c r="A142" s="0" t="s">
        <v>157</v>
      </c>
      <c r="B142" s="0" t="n">
        <v>2</v>
      </c>
      <c r="C142" s="5" t="n">
        <v>45.4</v>
      </c>
      <c r="D142" s="5" t="n">
        <f aca="false">B142*C142</f>
        <v>90.8</v>
      </c>
    </row>
    <row r="143" customFormat="false" ht="15" hidden="false" customHeight="false" outlineLevel="0" collapsed="false">
      <c r="A143" s="0" t="s">
        <v>160</v>
      </c>
      <c r="B143" s="0" t="n">
        <v>2</v>
      </c>
      <c r="C143" s="5" t="n">
        <v>39.65</v>
      </c>
      <c r="D143" s="5" t="n">
        <f aca="false">B143*C143</f>
        <v>79.3</v>
      </c>
    </row>
    <row r="144" customFormat="false" ht="15" hidden="false" customHeight="false" outlineLevel="0" collapsed="false">
      <c r="A144" s="0" t="s">
        <v>374</v>
      </c>
      <c r="B144" s="0" t="n">
        <v>4</v>
      </c>
      <c r="C144" s="5" t="n">
        <v>90</v>
      </c>
      <c r="D144" s="5" t="n">
        <f aca="false">B144*C144</f>
        <v>360</v>
      </c>
    </row>
    <row r="145" customFormat="false" ht="15" hidden="false" customHeight="false" outlineLevel="0" collapsed="false">
      <c r="A145" s="0" t="s">
        <v>161</v>
      </c>
      <c r="B145" s="0" t="n">
        <v>2</v>
      </c>
      <c r="C145" s="5" t="n">
        <v>50</v>
      </c>
      <c r="D145" s="5" t="n">
        <f aca="false">B145*C145</f>
        <v>100</v>
      </c>
    </row>
    <row r="146" customFormat="false" ht="15" hidden="false" customHeight="false" outlineLevel="0" collapsed="false">
      <c r="A146" s="0" t="s">
        <v>161</v>
      </c>
      <c r="B146" s="0" t="n">
        <v>2</v>
      </c>
      <c r="C146" s="5" t="n">
        <v>45.05</v>
      </c>
      <c r="D146" s="5" t="n">
        <f aca="false">B146*C146</f>
        <v>90.1</v>
      </c>
    </row>
    <row r="147" customFormat="false" ht="15" hidden="false" customHeight="false" outlineLevel="0" collapsed="false">
      <c r="A147" s="0" t="s">
        <v>161</v>
      </c>
      <c r="B147" s="0" t="n">
        <v>2</v>
      </c>
      <c r="C147" s="5" t="n">
        <v>51.15</v>
      </c>
      <c r="D147" s="5" t="n">
        <f aca="false">B147*C147</f>
        <v>102.3</v>
      </c>
    </row>
    <row r="148" customFormat="false" ht="15" hidden="false" customHeight="false" outlineLevel="0" collapsed="false">
      <c r="A148" s="0" t="s">
        <v>375</v>
      </c>
      <c r="B148" s="0" t="n">
        <v>1</v>
      </c>
      <c r="C148" s="5" t="n">
        <v>33.66</v>
      </c>
      <c r="D148" s="5" t="n">
        <f aca="false">B148*C148</f>
        <v>33.66</v>
      </c>
    </row>
    <row r="149" customFormat="false" ht="15" hidden="false" customHeight="false" outlineLevel="0" collapsed="false">
      <c r="A149" s="0" t="s">
        <v>375</v>
      </c>
      <c r="B149" s="0" t="n">
        <v>1</v>
      </c>
      <c r="C149" s="5" t="n">
        <v>36</v>
      </c>
      <c r="D149" s="5" t="n">
        <f aca="false">B149*C149</f>
        <v>36</v>
      </c>
    </row>
    <row r="150" customFormat="false" ht="15" hidden="false" customHeight="false" outlineLevel="0" collapsed="false">
      <c r="A150" s="0" t="s">
        <v>375</v>
      </c>
      <c r="B150" s="0" t="n">
        <v>1</v>
      </c>
      <c r="C150" s="5" t="n">
        <v>25.3</v>
      </c>
      <c r="D150" s="5" t="n">
        <f aca="false">B150*C150</f>
        <v>25.3</v>
      </c>
    </row>
    <row r="151" customFormat="false" ht="15" hidden="false" customHeight="false" outlineLevel="0" collapsed="false">
      <c r="A151" s="0" t="s">
        <v>376</v>
      </c>
      <c r="B151" s="0" t="n">
        <v>2</v>
      </c>
      <c r="C151" s="5" t="n">
        <v>48</v>
      </c>
      <c r="D151" s="5" t="n">
        <f aca="false">B151*C151</f>
        <v>96</v>
      </c>
    </row>
    <row r="152" customFormat="false" ht="15" hidden="false" customHeight="false" outlineLevel="0" collapsed="false">
      <c r="A152" s="0" t="s">
        <v>377</v>
      </c>
      <c r="B152" s="0" t="n">
        <v>3</v>
      </c>
      <c r="C152" s="5" t="n">
        <v>45</v>
      </c>
      <c r="D152" s="5" t="n">
        <f aca="false">B152*C152</f>
        <v>135</v>
      </c>
    </row>
    <row r="153" customFormat="false" ht="15" hidden="false" customHeight="false" outlineLevel="0" collapsed="false">
      <c r="A153" s="0" t="s">
        <v>378</v>
      </c>
      <c r="B153" s="0" t="n">
        <v>2</v>
      </c>
      <c r="C153" s="5" t="n">
        <v>40</v>
      </c>
      <c r="D153" s="5" t="n">
        <f aca="false">B153*C153</f>
        <v>80</v>
      </c>
    </row>
    <row r="154" customFormat="false" ht="15" hidden="false" customHeight="false" outlineLevel="0" collapsed="false">
      <c r="A154" s="0" t="s">
        <v>378</v>
      </c>
      <c r="B154" s="0" t="n">
        <v>2</v>
      </c>
      <c r="C154" s="5" t="n">
        <v>45</v>
      </c>
      <c r="D154" s="5" t="n">
        <f aca="false">B154*C154</f>
        <v>90</v>
      </c>
    </row>
    <row r="155" customFormat="false" ht="15" hidden="false" customHeight="false" outlineLevel="0" collapsed="false">
      <c r="A155" s="0" t="s">
        <v>379</v>
      </c>
      <c r="B155" s="0" t="n">
        <v>2</v>
      </c>
      <c r="C155" s="5" t="n">
        <v>45</v>
      </c>
      <c r="D155" s="5" t="n">
        <f aca="false">B155*C155</f>
        <v>90</v>
      </c>
    </row>
    <row r="156" customFormat="false" ht="15" hidden="false" customHeight="false" outlineLevel="0" collapsed="false">
      <c r="A156" s="0" t="s">
        <v>164</v>
      </c>
      <c r="B156" s="0" t="n">
        <v>8</v>
      </c>
      <c r="C156" s="5" t="n">
        <v>49</v>
      </c>
      <c r="D156" s="5" t="n">
        <f aca="false">B156*C156</f>
        <v>392</v>
      </c>
    </row>
    <row r="157" customFormat="false" ht="15" hidden="false" customHeight="false" outlineLevel="0" collapsed="false">
      <c r="A157" s="0" t="s">
        <v>164</v>
      </c>
      <c r="B157" s="0" t="n">
        <v>2</v>
      </c>
      <c r="C157" s="5" t="n">
        <v>60</v>
      </c>
      <c r="D157" s="5" t="n">
        <f aca="false">B157*C157</f>
        <v>120</v>
      </c>
    </row>
    <row r="158" customFormat="false" ht="15" hidden="false" customHeight="false" outlineLevel="0" collapsed="false">
      <c r="A158" s="0" t="s">
        <v>380</v>
      </c>
      <c r="B158" s="0" t="n">
        <v>1</v>
      </c>
      <c r="C158" s="5" t="n">
        <v>42.5</v>
      </c>
      <c r="D158" s="5" t="n">
        <f aca="false">B158*C158</f>
        <v>42.5</v>
      </c>
    </row>
    <row r="159" customFormat="false" ht="15" hidden="false" customHeight="false" outlineLevel="0" collapsed="false">
      <c r="A159" s="0" t="s">
        <v>380</v>
      </c>
      <c r="B159" s="0" t="n">
        <v>3</v>
      </c>
      <c r="C159" s="5" t="n">
        <v>50</v>
      </c>
      <c r="D159" s="5" t="n">
        <f aca="false">B159*C159</f>
        <v>150</v>
      </c>
    </row>
    <row r="160" customFormat="false" ht="15" hidden="false" customHeight="false" outlineLevel="0" collapsed="false">
      <c r="A160" s="0" t="s">
        <v>381</v>
      </c>
      <c r="B160" s="0" t="n">
        <v>2</v>
      </c>
      <c r="C160" s="5" t="n">
        <v>50</v>
      </c>
      <c r="D160" s="5" t="n">
        <f aca="false">B160*C160</f>
        <v>100</v>
      </c>
    </row>
    <row r="161" customFormat="false" ht="15" hidden="false" customHeight="false" outlineLevel="0" collapsed="false">
      <c r="A161" s="0" t="s">
        <v>381</v>
      </c>
      <c r="B161" s="0" t="n">
        <v>2</v>
      </c>
      <c r="C161" s="5" t="n">
        <v>60</v>
      </c>
      <c r="D161" s="5" t="n">
        <f aca="false">B161*C161</f>
        <v>120</v>
      </c>
    </row>
    <row r="162" customFormat="false" ht="15" hidden="false" customHeight="false" outlineLevel="0" collapsed="false">
      <c r="A162" s="0" t="s">
        <v>382</v>
      </c>
      <c r="B162" s="0" t="n">
        <v>2</v>
      </c>
      <c r="C162" s="5" t="n">
        <v>45</v>
      </c>
      <c r="D162" s="5" t="n">
        <f aca="false">B162*C162</f>
        <v>90</v>
      </c>
    </row>
    <row r="163" customFormat="false" ht="15" hidden="false" customHeight="false" outlineLevel="0" collapsed="false">
      <c r="A163" s="0" t="s">
        <v>382</v>
      </c>
      <c r="B163" s="0" t="n">
        <v>2</v>
      </c>
      <c r="C163" s="5" t="n">
        <v>45</v>
      </c>
      <c r="D163" s="5" t="n">
        <f aca="false">B163*C163</f>
        <v>90</v>
      </c>
    </row>
    <row r="164" customFormat="false" ht="15" hidden="false" customHeight="false" outlineLevel="0" collapsed="false">
      <c r="A164" s="0" t="s">
        <v>382</v>
      </c>
      <c r="B164" s="0" t="n">
        <v>1</v>
      </c>
      <c r="C164" s="5" t="n">
        <v>45</v>
      </c>
      <c r="D164" s="5" t="n">
        <f aca="false">B164*C164</f>
        <v>45</v>
      </c>
    </row>
    <row r="165" customFormat="false" ht="15" hidden="false" customHeight="false" outlineLevel="0" collapsed="false">
      <c r="A165" s="0" t="s">
        <v>166</v>
      </c>
      <c r="B165" s="0" t="n">
        <v>2</v>
      </c>
      <c r="C165" s="5" t="n">
        <v>24.35</v>
      </c>
      <c r="D165" s="5" t="n">
        <f aca="false">B165*C165</f>
        <v>48.7</v>
      </c>
    </row>
    <row r="166" customFormat="false" ht="15" hidden="false" customHeight="false" outlineLevel="0" collapsed="false">
      <c r="A166" s="0" t="s">
        <v>383</v>
      </c>
      <c r="B166" s="0" t="n">
        <v>2</v>
      </c>
      <c r="C166" s="5" t="n">
        <v>45</v>
      </c>
      <c r="D166" s="5" t="n">
        <f aca="false">B166*C166</f>
        <v>90</v>
      </c>
    </row>
    <row r="167" customFormat="false" ht="15" hidden="false" customHeight="false" outlineLevel="0" collapsed="false">
      <c r="A167" s="0" t="s">
        <v>383</v>
      </c>
      <c r="B167" s="0" t="n">
        <v>3</v>
      </c>
      <c r="C167" s="5" t="n">
        <v>45</v>
      </c>
      <c r="D167" s="5" t="n">
        <f aca="false">B167*C167</f>
        <v>135</v>
      </c>
    </row>
    <row r="168" customFormat="false" ht="15" hidden="false" customHeight="false" outlineLevel="0" collapsed="false">
      <c r="A168" s="0" t="s">
        <v>383</v>
      </c>
      <c r="B168" s="0" t="n">
        <v>1</v>
      </c>
      <c r="C168" s="5" t="n">
        <v>45</v>
      </c>
      <c r="D168" s="5" t="n">
        <f aca="false">B168*C168</f>
        <v>45</v>
      </c>
    </row>
    <row r="169" customFormat="false" ht="15" hidden="false" customHeight="false" outlineLevel="0" collapsed="false">
      <c r="A169" s="0" t="s">
        <v>167</v>
      </c>
      <c r="B169" s="0" t="n">
        <v>1</v>
      </c>
      <c r="C169" s="5" t="n">
        <v>23.6</v>
      </c>
      <c r="D169" s="5" t="n">
        <f aca="false">B169*C169</f>
        <v>23.6</v>
      </c>
    </row>
    <row r="170" customFormat="false" ht="15" hidden="false" customHeight="false" outlineLevel="0" collapsed="false">
      <c r="A170" s="0" t="s">
        <v>167</v>
      </c>
      <c r="B170" s="0" t="n">
        <v>2</v>
      </c>
      <c r="C170" s="5" t="n">
        <v>41.35</v>
      </c>
      <c r="D170" s="5" t="n">
        <f aca="false">B170*C170</f>
        <v>82.7</v>
      </c>
    </row>
    <row r="171" customFormat="false" ht="15" hidden="false" customHeight="false" outlineLevel="0" collapsed="false">
      <c r="A171" s="0" t="s">
        <v>384</v>
      </c>
      <c r="B171" s="0" t="n">
        <v>1</v>
      </c>
      <c r="C171" s="5" t="n">
        <v>45</v>
      </c>
      <c r="D171" s="5" t="n">
        <f aca="false">B171*C171</f>
        <v>45</v>
      </c>
    </row>
    <row r="172" customFormat="false" ht="15" hidden="false" customHeight="false" outlineLevel="0" collapsed="false">
      <c r="A172" s="0" t="s">
        <v>385</v>
      </c>
      <c r="B172" s="0" t="n">
        <v>1</v>
      </c>
      <c r="C172" s="5" t="n">
        <v>45</v>
      </c>
      <c r="D172" s="5" t="n">
        <f aca="false">B172*C172</f>
        <v>45</v>
      </c>
    </row>
    <row r="173" customFormat="false" ht="15" hidden="false" customHeight="false" outlineLevel="0" collapsed="false">
      <c r="A173" s="0" t="s">
        <v>385</v>
      </c>
      <c r="B173" s="0" t="n">
        <v>3</v>
      </c>
      <c r="C173" s="5" t="n">
        <v>45</v>
      </c>
      <c r="D173" s="5" t="n">
        <f aca="false">B173*C173</f>
        <v>135</v>
      </c>
    </row>
    <row r="174" customFormat="false" ht="15" hidden="false" customHeight="false" outlineLevel="0" collapsed="false">
      <c r="A174" s="0" t="s">
        <v>386</v>
      </c>
      <c r="B174" s="0" t="n">
        <v>2</v>
      </c>
      <c r="C174" s="5" t="n">
        <v>45</v>
      </c>
      <c r="D174" s="5" t="n">
        <f aca="false">B174*C174</f>
        <v>90</v>
      </c>
    </row>
    <row r="175" customFormat="false" ht="15" hidden="false" customHeight="false" outlineLevel="0" collapsed="false">
      <c r="A175" s="0" t="s">
        <v>387</v>
      </c>
      <c r="B175" s="0" t="n">
        <v>0.5</v>
      </c>
      <c r="C175" s="5" t="n">
        <v>45</v>
      </c>
      <c r="D175" s="5" t="n">
        <f aca="false">B175*C175</f>
        <v>22.5</v>
      </c>
    </row>
    <row r="176" customFormat="false" ht="15" hidden="false" customHeight="false" outlineLevel="0" collapsed="false">
      <c r="A176" s="0" t="s">
        <v>387</v>
      </c>
      <c r="B176" s="0" t="n">
        <v>1</v>
      </c>
      <c r="C176" s="5" t="n">
        <v>45</v>
      </c>
      <c r="D176" s="5" t="n">
        <f aca="false">B176*C176</f>
        <v>45</v>
      </c>
    </row>
    <row r="177" customFormat="false" ht="15" hidden="false" customHeight="false" outlineLevel="0" collapsed="false">
      <c r="A177" s="0" t="s">
        <v>388</v>
      </c>
      <c r="B177" s="0" t="n">
        <v>1</v>
      </c>
      <c r="C177" s="5" t="n">
        <v>45</v>
      </c>
      <c r="D177" s="5" t="n">
        <f aca="false">B177*C177</f>
        <v>45</v>
      </c>
    </row>
    <row r="178" customFormat="false" ht="15" hidden="false" customHeight="false" outlineLevel="0" collapsed="false">
      <c r="A178" s="0" t="s">
        <v>388</v>
      </c>
      <c r="B178" s="0" t="n">
        <v>1</v>
      </c>
      <c r="C178" s="5" t="n">
        <v>45</v>
      </c>
      <c r="D178" s="5" t="n">
        <f aca="false">B178*C178</f>
        <v>45</v>
      </c>
    </row>
    <row r="179" customFormat="false" ht="15" hidden="false" customHeight="false" outlineLevel="0" collapsed="false">
      <c r="A179" s="0" t="s">
        <v>389</v>
      </c>
      <c r="B179" s="0" t="n">
        <v>2</v>
      </c>
      <c r="C179" s="5" t="n">
        <v>50</v>
      </c>
      <c r="D179" s="5" t="n">
        <f aca="false">B179*C179</f>
        <v>100</v>
      </c>
    </row>
    <row r="180" customFormat="false" ht="15" hidden="false" customHeight="false" outlineLevel="0" collapsed="false">
      <c r="A180" s="0" t="s">
        <v>389</v>
      </c>
      <c r="B180" s="0" t="n">
        <v>1</v>
      </c>
      <c r="C180" s="5" t="n">
        <v>39.1</v>
      </c>
      <c r="D180" s="5" t="n">
        <f aca="false">B180*C180</f>
        <v>39.1</v>
      </c>
    </row>
    <row r="181" customFormat="false" ht="15" hidden="false" customHeight="false" outlineLevel="0" collapsed="false">
      <c r="A181" s="0" t="s">
        <v>389</v>
      </c>
      <c r="B181" s="0" t="n">
        <v>1</v>
      </c>
      <c r="C181" s="5" t="n">
        <v>39.1</v>
      </c>
      <c r="D181" s="5" t="n">
        <f aca="false">B181*C181</f>
        <v>39.1</v>
      </c>
    </row>
    <row r="182" customFormat="false" ht="15" hidden="false" customHeight="false" outlineLevel="0" collapsed="false">
      <c r="A182" s="0" t="s">
        <v>390</v>
      </c>
      <c r="B182" s="0" t="n">
        <v>1</v>
      </c>
      <c r="C182" s="5" t="n">
        <v>29.4</v>
      </c>
      <c r="D182" s="5" t="n">
        <f aca="false">B182*C182</f>
        <v>29.4</v>
      </c>
    </row>
    <row r="183" customFormat="false" ht="15" hidden="false" customHeight="false" outlineLevel="0" collapsed="false">
      <c r="A183" s="0" t="s">
        <v>390</v>
      </c>
      <c r="B183" s="0" t="n">
        <v>1</v>
      </c>
      <c r="C183" s="5" t="n">
        <v>28.3</v>
      </c>
      <c r="D183" s="5" t="n">
        <f aca="false">B183*C183</f>
        <v>28.3</v>
      </c>
    </row>
    <row r="184" customFormat="false" ht="15" hidden="false" customHeight="false" outlineLevel="0" collapsed="false">
      <c r="A184" s="0" t="s">
        <v>391</v>
      </c>
      <c r="B184" s="0" t="n">
        <v>1</v>
      </c>
      <c r="C184" s="5" t="n">
        <v>45</v>
      </c>
      <c r="D184" s="5" t="n">
        <f aca="false">B184*C184</f>
        <v>45</v>
      </c>
    </row>
    <row r="185" customFormat="false" ht="15" hidden="false" customHeight="false" outlineLevel="0" collapsed="false">
      <c r="A185" s="0" t="s">
        <v>392</v>
      </c>
      <c r="B185" s="0" t="n">
        <v>4</v>
      </c>
      <c r="C185" s="5" t="n">
        <v>45</v>
      </c>
      <c r="D185" s="5" t="n">
        <f aca="false">B185*C185</f>
        <v>180</v>
      </c>
    </row>
    <row r="186" customFormat="false" ht="15" hidden="false" customHeight="false" outlineLevel="0" collapsed="false">
      <c r="A186" s="0" t="s">
        <v>393</v>
      </c>
      <c r="B186" s="0" t="n">
        <v>1</v>
      </c>
      <c r="C186" s="5" t="n">
        <v>45</v>
      </c>
      <c r="D186" s="5" t="n">
        <f aca="false">B186*C186</f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394</v>
      </c>
    </row>
    <row r="2" customFormat="false" ht="15" hidden="false" customHeight="false" outlineLevel="0" collapsed="false">
      <c r="A2" s="2" t="s">
        <v>395</v>
      </c>
    </row>
    <row r="3" customFormat="false" ht="15" hidden="false" customHeight="false" outlineLevel="0" collapsed="false">
      <c r="A3" s="0" t="s">
        <v>288</v>
      </c>
      <c r="B3" s="13" t="n">
        <f aca="false">SUM('Src-B2-DemiLune'!$B$3:$B$186)</f>
        <v>315.84</v>
      </c>
    </row>
    <row r="4" customFormat="false" ht="15" hidden="false" customHeight="false" outlineLevel="0" collapsed="false">
      <c r="A4" s="0" t="s">
        <v>289</v>
      </c>
      <c r="B4" s="5" t="n">
        <v>45</v>
      </c>
    </row>
    <row r="5" customFormat="false" ht="15" hidden="false" customHeight="false" outlineLevel="0" collapsed="false">
      <c r="A5" s="0" t="s">
        <v>290</v>
      </c>
      <c r="B5" s="13" t="n">
        <f aca="false">SUMIF('Src-B2-DemiLune'!$C$3:$C$186,45,'Src-B2-DemiLune'!$B$3:$B$186)</f>
        <v>192.84</v>
      </c>
    </row>
    <row r="6" customFormat="false" ht="15" hidden="false" customHeight="false" outlineLevel="0" collapsed="false">
      <c r="A6" s="0" t="s">
        <v>291</v>
      </c>
      <c r="B6" s="0" t="n">
        <f aca="false">COUNTIF('Src-B2-DemiLune'!$C$3:$C$186,45)</f>
        <v>121</v>
      </c>
    </row>
    <row r="7" customFormat="false" ht="15" hidden="false" customHeight="false" outlineLevel="0" collapsed="false">
      <c r="A7" s="0" t="s">
        <v>292</v>
      </c>
      <c r="B7" s="13" t="n">
        <f aca="false">B3-B5</f>
        <v>123</v>
      </c>
    </row>
    <row r="8" customFormat="false" ht="15" hidden="false" customHeight="false" outlineLevel="0" collapsed="false">
      <c r="A8" s="0" t="s">
        <v>293</v>
      </c>
      <c r="B8" s="11" t="n">
        <f aca="false">B7/B3</f>
        <v>0.389437689969605</v>
      </c>
    </row>
    <row r="9" customFormat="false" ht="15" hidden="false" customHeight="false" outlineLevel="0" collapsed="false">
      <c r="A9" s="0" t="s">
        <v>294</v>
      </c>
      <c r="B9" s="5" t="n">
        <f aca="false">_xlfn.MINIFS('Src-B2-DemiLune'!$C$3:$C$186,'Src-B2-DemiLune'!$C$3:$C$186,"&lt;&gt;45")</f>
        <v>19.35</v>
      </c>
    </row>
    <row r="10" customFormat="false" ht="15" hidden="false" customHeight="false" outlineLevel="0" collapsed="false">
      <c r="A10" s="0" t="s">
        <v>295</v>
      </c>
      <c r="B10" s="5" t="n">
        <f aca="false">_xlfn.MAXIFS('Src-B2-DemiLune'!$C$3:$C$186,'Src-B2-DemiLune'!$C$3:$C$186,"&lt;&gt;45")</f>
        <v>90</v>
      </c>
    </row>
    <row r="11" customFormat="false" ht="15" hidden="false" customHeight="false" outlineLevel="0" collapsed="false">
      <c r="A11" s="0" t="s">
        <v>296</v>
      </c>
      <c r="B11" s="0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" t="s">
        <v>396</v>
      </c>
    </row>
    <row r="2" customFormat="false" ht="28.35" hidden="false" customHeight="false" outlineLevel="0" collapsed="false">
      <c r="A2" s="4" t="s">
        <v>26</v>
      </c>
      <c r="B2" s="4" t="s">
        <v>118</v>
      </c>
      <c r="C2" s="4" t="s">
        <v>231</v>
      </c>
      <c r="D2" s="4" t="s">
        <v>232</v>
      </c>
    </row>
    <row r="3" customFormat="false" ht="15" hidden="false" customHeight="false" outlineLevel="0" collapsed="false">
      <c r="A3" s="0" t="s">
        <v>397</v>
      </c>
      <c r="B3" s="0" t="n">
        <v>1</v>
      </c>
      <c r="C3" s="5" t="n">
        <v>45</v>
      </c>
      <c r="D3" s="5" t="n">
        <f aca="false">B3*C3</f>
        <v>45</v>
      </c>
    </row>
    <row r="4" customFormat="false" ht="15" hidden="false" customHeight="false" outlineLevel="0" collapsed="false">
      <c r="A4" s="0" t="s">
        <v>184</v>
      </c>
      <c r="B4" s="0" t="n">
        <v>1</v>
      </c>
      <c r="C4" s="5" t="n">
        <v>30.3</v>
      </c>
      <c r="D4" s="5" t="n">
        <f aca="false">B4*C4</f>
        <v>30.3</v>
      </c>
    </row>
    <row r="5" customFormat="false" ht="15" hidden="false" customHeight="false" outlineLevel="0" collapsed="false">
      <c r="A5" s="0" t="s">
        <v>184</v>
      </c>
      <c r="B5" s="0" t="n">
        <v>1</v>
      </c>
      <c r="C5" s="5" t="n">
        <v>30</v>
      </c>
      <c r="D5" s="5" t="n">
        <f aca="false">B5*C5</f>
        <v>30</v>
      </c>
    </row>
    <row r="6" customFormat="false" ht="15" hidden="false" customHeight="false" outlineLevel="0" collapsed="false">
      <c r="A6" s="0" t="s">
        <v>398</v>
      </c>
      <c r="B6" s="0" t="n">
        <v>1</v>
      </c>
      <c r="C6" s="5" t="n">
        <v>49</v>
      </c>
      <c r="D6" s="5" t="n">
        <f aca="false">B6*C6</f>
        <v>49</v>
      </c>
    </row>
    <row r="7" customFormat="false" ht="15" hidden="false" customHeight="false" outlineLevel="0" collapsed="false">
      <c r="A7" s="0" t="s">
        <v>398</v>
      </c>
      <c r="B7" s="0" t="n">
        <v>1</v>
      </c>
      <c r="C7" s="5" t="n">
        <v>59.6</v>
      </c>
      <c r="D7" s="5" t="n">
        <f aca="false">B7*C7</f>
        <v>59.6</v>
      </c>
    </row>
    <row r="8" customFormat="false" ht="15" hidden="false" customHeight="false" outlineLevel="0" collapsed="false">
      <c r="A8" s="0" t="s">
        <v>398</v>
      </c>
      <c r="B8" s="0" t="n">
        <v>2</v>
      </c>
      <c r="C8" s="5" t="n">
        <v>45</v>
      </c>
      <c r="D8" s="5" t="n">
        <f aca="false">B8*C8</f>
        <v>90</v>
      </c>
    </row>
    <row r="9" customFormat="false" ht="15" hidden="false" customHeight="false" outlineLevel="0" collapsed="false">
      <c r="A9" s="0" t="s">
        <v>399</v>
      </c>
      <c r="B9" s="0" t="n">
        <v>1</v>
      </c>
      <c r="C9" s="5" t="n">
        <v>45</v>
      </c>
      <c r="D9" s="5" t="n">
        <f aca="false">B9*C9</f>
        <v>45</v>
      </c>
    </row>
    <row r="10" customFormat="false" ht="15" hidden="false" customHeight="false" outlineLevel="0" collapsed="false">
      <c r="A10" s="0" t="s">
        <v>400</v>
      </c>
      <c r="B10" s="0" t="n">
        <v>1</v>
      </c>
      <c r="C10" s="5" t="n">
        <v>45</v>
      </c>
      <c r="D10" s="5" t="n">
        <f aca="false">B10*C10</f>
        <v>45</v>
      </c>
    </row>
    <row r="11" customFormat="false" ht="15" hidden="false" customHeight="false" outlineLevel="0" collapsed="false">
      <c r="A11" s="0" t="s">
        <v>400</v>
      </c>
      <c r="B11" s="0" t="n">
        <v>2</v>
      </c>
      <c r="C11" s="5" t="n">
        <v>45</v>
      </c>
      <c r="D11" s="5" t="n">
        <f aca="false">B11*C11</f>
        <v>90</v>
      </c>
    </row>
    <row r="12" customFormat="false" ht="15" hidden="false" customHeight="false" outlineLevel="0" collapsed="false">
      <c r="A12" s="0" t="s">
        <v>400</v>
      </c>
      <c r="B12" s="0" t="n">
        <v>4</v>
      </c>
      <c r="C12" s="5" t="n">
        <v>45</v>
      </c>
      <c r="D12" s="5" t="n">
        <f aca="false">B12*C12</f>
        <v>180</v>
      </c>
    </row>
    <row r="13" customFormat="false" ht="15" hidden="false" customHeight="false" outlineLevel="0" collapsed="false">
      <c r="A13" s="0" t="s">
        <v>401</v>
      </c>
      <c r="B13" s="0" t="n">
        <v>1</v>
      </c>
      <c r="C13" s="5" t="n">
        <v>45</v>
      </c>
      <c r="D13" s="5" t="n">
        <f aca="false">B13*C13</f>
        <v>45</v>
      </c>
    </row>
    <row r="14" customFormat="false" ht="15" hidden="false" customHeight="false" outlineLevel="0" collapsed="false">
      <c r="A14" s="0" t="s">
        <v>402</v>
      </c>
      <c r="B14" s="0" t="n">
        <v>3</v>
      </c>
      <c r="C14" s="5" t="n">
        <v>45</v>
      </c>
      <c r="D14" s="5" t="n">
        <f aca="false">B14*C14</f>
        <v>135</v>
      </c>
    </row>
    <row r="15" customFormat="false" ht="15" hidden="false" customHeight="false" outlineLevel="0" collapsed="false">
      <c r="A15" s="0" t="s">
        <v>402</v>
      </c>
      <c r="B15" s="0" t="n">
        <v>2</v>
      </c>
      <c r="C15" s="5" t="n">
        <v>45</v>
      </c>
      <c r="D15" s="5" t="n">
        <f aca="false">B15*C15</f>
        <v>90</v>
      </c>
    </row>
    <row r="16" customFormat="false" ht="15" hidden="false" customHeight="false" outlineLevel="0" collapsed="false">
      <c r="A16" s="0" t="s">
        <v>186</v>
      </c>
      <c r="B16" s="0" t="n">
        <v>1</v>
      </c>
      <c r="C16" s="5" t="n">
        <v>45</v>
      </c>
      <c r="D16" s="5" t="n">
        <f aca="false">B16*C16</f>
        <v>45</v>
      </c>
    </row>
    <row r="17" customFormat="false" ht="15" hidden="false" customHeight="false" outlineLevel="0" collapsed="false">
      <c r="A17" s="0" t="s">
        <v>186</v>
      </c>
      <c r="B17" s="0" t="n">
        <v>2</v>
      </c>
      <c r="C17" s="5" t="n">
        <v>55</v>
      </c>
      <c r="D17" s="5" t="n">
        <f aca="false">B17*C17</f>
        <v>110</v>
      </c>
    </row>
    <row r="18" customFormat="false" ht="15" hidden="false" customHeight="false" outlineLevel="0" collapsed="false">
      <c r="A18" s="0" t="s">
        <v>403</v>
      </c>
      <c r="B18" s="0" t="n">
        <v>1</v>
      </c>
      <c r="C18" s="5" t="n">
        <v>45</v>
      </c>
      <c r="D18" s="5" t="n">
        <f aca="false">B18*C18</f>
        <v>45</v>
      </c>
    </row>
    <row r="19" customFormat="false" ht="15" hidden="false" customHeight="false" outlineLevel="0" collapsed="false">
      <c r="A19" s="0" t="s">
        <v>403</v>
      </c>
      <c r="B19" s="0" t="n">
        <v>2</v>
      </c>
      <c r="C19" s="5" t="n">
        <v>45</v>
      </c>
      <c r="D19" s="5" t="n">
        <f aca="false">B19*C19</f>
        <v>90</v>
      </c>
    </row>
    <row r="20" customFormat="false" ht="15" hidden="false" customHeight="false" outlineLevel="0" collapsed="false">
      <c r="A20" s="0" t="s">
        <v>404</v>
      </c>
      <c r="B20" s="0" t="n">
        <v>1</v>
      </c>
      <c r="C20" s="5" t="n">
        <v>45</v>
      </c>
      <c r="D20" s="5" t="n">
        <f aca="false">B20*C20</f>
        <v>45</v>
      </c>
    </row>
    <row r="21" customFormat="false" ht="15" hidden="false" customHeight="false" outlineLevel="0" collapsed="false">
      <c r="A21" s="0" t="s">
        <v>404</v>
      </c>
      <c r="B21" s="0" t="n">
        <v>1</v>
      </c>
      <c r="C21" s="5" t="n">
        <v>45</v>
      </c>
      <c r="D21" s="5" t="n">
        <f aca="false">B21*C21</f>
        <v>45</v>
      </c>
    </row>
    <row r="22" customFormat="false" ht="15" hidden="false" customHeight="false" outlineLevel="0" collapsed="false">
      <c r="A22" s="0" t="s">
        <v>188</v>
      </c>
      <c r="B22" s="0" t="n">
        <v>2</v>
      </c>
      <c r="C22" s="5" t="n">
        <v>30.65</v>
      </c>
      <c r="D22" s="5" t="n">
        <f aca="false">B22*C22</f>
        <v>61.3</v>
      </c>
    </row>
    <row r="23" customFormat="false" ht="15" hidden="false" customHeight="false" outlineLevel="0" collapsed="false">
      <c r="A23" s="0" t="s">
        <v>405</v>
      </c>
      <c r="B23" s="0" t="n">
        <v>1</v>
      </c>
      <c r="C23" s="5" t="n">
        <v>45</v>
      </c>
      <c r="D23" s="5" t="n">
        <f aca="false">B23*C23</f>
        <v>45</v>
      </c>
    </row>
    <row r="24" customFormat="false" ht="15" hidden="false" customHeight="false" outlineLevel="0" collapsed="false">
      <c r="A24" s="0" t="s">
        <v>405</v>
      </c>
      <c r="B24" s="0" t="n">
        <v>1</v>
      </c>
      <c r="C24" s="5" t="n">
        <v>45</v>
      </c>
      <c r="D24" s="5" t="n">
        <f aca="false">B24*C24</f>
        <v>45</v>
      </c>
    </row>
    <row r="25" customFormat="false" ht="15" hidden="false" customHeight="false" outlineLevel="0" collapsed="false">
      <c r="A25" s="0" t="s">
        <v>406</v>
      </c>
      <c r="B25" s="0" t="n">
        <v>3</v>
      </c>
      <c r="C25" s="5" t="n">
        <v>45</v>
      </c>
      <c r="D25" s="5" t="n">
        <f aca="false">B25*C25</f>
        <v>135</v>
      </c>
    </row>
    <row r="26" customFormat="false" ht="15" hidden="false" customHeight="false" outlineLevel="0" collapsed="false">
      <c r="A26" s="0" t="s">
        <v>189</v>
      </c>
      <c r="B26" s="0" t="n">
        <v>1</v>
      </c>
      <c r="C26" s="5" t="n">
        <v>45</v>
      </c>
      <c r="D26" s="5" t="n">
        <f aca="false">B26*C26</f>
        <v>45</v>
      </c>
    </row>
    <row r="27" customFormat="false" ht="15" hidden="false" customHeight="false" outlineLevel="0" collapsed="false">
      <c r="A27" s="0" t="s">
        <v>189</v>
      </c>
      <c r="B27" s="0" t="n">
        <v>2</v>
      </c>
      <c r="C27" s="5" t="n">
        <v>44.65</v>
      </c>
      <c r="D27" s="5" t="n">
        <f aca="false">B27*C27</f>
        <v>89.3</v>
      </c>
    </row>
    <row r="28" customFormat="false" ht="15" hidden="false" customHeight="false" outlineLevel="0" collapsed="false">
      <c r="A28" s="0" t="s">
        <v>189</v>
      </c>
      <c r="B28" s="0" t="n">
        <v>2</v>
      </c>
      <c r="C28" s="5" t="n">
        <v>55.65</v>
      </c>
      <c r="D28" s="5" t="n">
        <f aca="false">B28*C28</f>
        <v>111.3</v>
      </c>
    </row>
    <row r="29" customFormat="false" ht="15" hidden="false" customHeight="false" outlineLevel="0" collapsed="false">
      <c r="A29" s="0" t="s">
        <v>407</v>
      </c>
      <c r="B29" s="0" t="n">
        <v>2</v>
      </c>
      <c r="C29" s="5" t="n">
        <v>45</v>
      </c>
      <c r="D29" s="5" t="n">
        <f aca="false">B29*C29</f>
        <v>90</v>
      </c>
    </row>
    <row r="30" customFormat="false" ht="15" hidden="false" customHeight="false" outlineLevel="0" collapsed="false">
      <c r="A30" s="0" t="s">
        <v>407</v>
      </c>
      <c r="B30" s="0" t="n">
        <v>2</v>
      </c>
      <c r="C30" s="5" t="n">
        <v>45</v>
      </c>
      <c r="D30" s="5" t="n">
        <f aca="false">B30*C30</f>
        <v>90</v>
      </c>
    </row>
    <row r="31" customFormat="false" ht="15" hidden="false" customHeight="false" outlineLevel="0" collapsed="false">
      <c r="A31" s="0" t="s">
        <v>408</v>
      </c>
      <c r="B31" s="0" t="n">
        <v>1</v>
      </c>
      <c r="C31" s="5" t="n">
        <v>45</v>
      </c>
      <c r="D31" s="5" t="n">
        <f aca="false">B31*C31</f>
        <v>45</v>
      </c>
    </row>
    <row r="32" customFormat="false" ht="15" hidden="false" customHeight="false" outlineLevel="0" collapsed="false">
      <c r="A32" s="0" t="s">
        <v>408</v>
      </c>
      <c r="B32" s="0" t="n">
        <v>2</v>
      </c>
      <c r="C32" s="5" t="n">
        <v>45</v>
      </c>
      <c r="D32" s="5" t="n">
        <f aca="false">B32*C32</f>
        <v>90</v>
      </c>
    </row>
    <row r="33" customFormat="false" ht="15" hidden="false" customHeight="false" outlineLevel="0" collapsed="false">
      <c r="A33" s="0" t="s">
        <v>409</v>
      </c>
      <c r="B33" s="0" t="n">
        <v>2</v>
      </c>
      <c r="C33" s="5" t="n">
        <v>45</v>
      </c>
      <c r="D33" s="5" t="n">
        <f aca="false">B33*C33</f>
        <v>90</v>
      </c>
    </row>
    <row r="34" customFormat="false" ht="15" hidden="false" customHeight="false" outlineLevel="0" collapsed="false">
      <c r="A34" s="0" t="s">
        <v>409</v>
      </c>
      <c r="B34" s="0" t="n">
        <v>3</v>
      </c>
      <c r="C34" s="5" t="n">
        <v>45</v>
      </c>
      <c r="D34" s="5" t="n">
        <f aca="false">B34*C34</f>
        <v>135</v>
      </c>
    </row>
    <row r="35" customFormat="false" ht="15" hidden="false" customHeight="false" outlineLevel="0" collapsed="false">
      <c r="A35" s="0" t="s">
        <v>190</v>
      </c>
      <c r="B35" s="0" t="n">
        <v>1</v>
      </c>
      <c r="C35" s="5" t="n">
        <v>33.3</v>
      </c>
      <c r="D35" s="5" t="n">
        <f aca="false">B35*C35</f>
        <v>33.3</v>
      </c>
    </row>
    <row r="36" customFormat="false" ht="15" hidden="false" customHeight="false" outlineLevel="0" collapsed="false">
      <c r="A36" s="0" t="s">
        <v>410</v>
      </c>
      <c r="B36" s="0" t="n">
        <v>2</v>
      </c>
      <c r="C36" s="5" t="n">
        <v>45</v>
      </c>
      <c r="D36" s="5" t="n">
        <f aca="false">B36*C36</f>
        <v>90</v>
      </c>
    </row>
    <row r="37" customFormat="false" ht="15" hidden="false" customHeight="false" outlineLevel="0" collapsed="false">
      <c r="A37" s="0" t="s">
        <v>192</v>
      </c>
      <c r="B37" s="0" t="n">
        <v>2</v>
      </c>
      <c r="C37" s="5" t="n">
        <v>54.35</v>
      </c>
      <c r="D37" s="5" t="n">
        <f aca="false">B37*C37</f>
        <v>108.7</v>
      </c>
    </row>
    <row r="38" customFormat="false" ht="15" hidden="false" customHeight="false" outlineLevel="0" collapsed="false">
      <c r="A38" s="0" t="s">
        <v>193</v>
      </c>
      <c r="B38" s="0" t="n">
        <v>2</v>
      </c>
      <c r="C38" s="5" t="n">
        <v>45</v>
      </c>
      <c r="D38" s="5" t="n">
        <f aca="false">B38*C38</f>
        <v>90</v>
      </c>
    </row>
    <row r="39" customFormat="false" ht="15" hidden="false" customHeight="false" outlineLevel="0" collapsed="false">
      <c r="A39" s="0" t="s">
        <v>193</v>
      </c>
      <c r="B39" s="0" t="n">
        <v>2</v>
      </c>
      <c r="C39" s="5" t="n">
        <v>64.85</v>
      </c>
      <c r="D39" s="5" t="n">
        <f aca="false">B39*C39</f>
        <v>129.7</v>
      </c>
    </row>
    <row r="40" customFormat="false" ht="15" hidden="false" customHeight="false" outlineLevel="0" collapsed="false">
      <c r="A40" s="0" t="s">
        <v>193</v>
      </c>
      <c r="B40" s="0" t="n">
        <v>3</v>
      </c>
      <c r="C40" s="5" t="n">
        <v>33.9</v>
      </c>
      <c r="D40" s="5" t="n">
        <f aca="false">B40*C40</f>
        <v>101.7</v>
      </c>
    </row>
    <row r="41" customFormat="false" ht="15" hidden="false" customHeight="false" outlineLevel="0" collapsed="false">
      <c r="A41" s="0" t="s">
        <v>193</v>
      </c>
      <c r="B41" s="0" t="n">
        <v>1</v>
      </c>
      <c r="C41" s="5" t="n">
        <v>45</v>
      </c>
      <c r="D41" s="5" t="n">
        <f aca="false">B41*C41</f>
        <v>45</v>
      </c>
    </row>
    <row r="42" customFormat="false" ht="15" hidden="false" customHeight="false" outlineLevel="0" collapsed="false">
      <c r="A42" s="0" t="s">
        <v>411</v>
      </c>
      <c r="B42" s="0" t="n">
        <v>2</v>
      </c>
      <c r="C42" s="5" t="n">
        <v>45</v>
      </c>
      <c r="D42" s="5" t="n">
        <f aca="false">B42*C42</f>
        <v>90</v>
      </c>
    </row>
    <row r="43" customFormat="false" ht="15" hidden="false" customHeight="false" outlineLevel="0" collapsed="false">
      <c r="A43" s="0" t="s">
        <v>411</v>
      </c>
      <c r="B43" s="0" t="n">
        <v>3</v>
      </c>
      <c r="C43" s="5" t="n">
        <v>45</v>
      </c>
      <c r="D43" s="5" t="n">
        <f aca="false">B43*C43</f>
        <v>135</v>
      </c>
    </row>
    <row r="44" customFormat="false" ht="15" hidden="false" customHeight="false" outlineLevel="0" collapsed="false">
      <c r="A44" s="0" t="s">
        <v>412</v>
      </c>
      <c r="B44" s="0" t="n">
        <v>2</v>
      </c>
      <c r="C44" s="5" t="n">
        <v>45</v>
      </c>
      <c r="D44" s="5" t="n">
        <f aca="false">B44*C44</f>
        <v>90</v>
      </c>
    </row>
    <row r="45" customFormat="false" ht="15" hidden="false" customHeight="false" outlineLevel="0" collapsed="false">
      <c r="A45" s="0" t="s">
        <v>412</v>
      </c>
      <c r="B45" s="0" t="n">
        <v>2</v>
      </c>
      <c r="C45" s="5" t="n">
        <v>45</v>
      </c>
      <c r="D45" s="5" t="n">
        <f aca="false">B45*C45</f>
        <v>90</v>
      </c>
    </row>
    <row r="46" customFormat="false" ht="15" hidden="false" customHeight="false" outlineLevel="0" collapsed="false">
      <c r="A46" s="0" t="s">
        <v>413</v>
      </c>
      <c r="B46" s="0" t="n">
        <v>1</v>
      </c>
      <c r="C46" s="5" t="n">
        <v>45</v>
      </c>
      <c r="D46" s="5" t="n">
        <f aca="false">B46*C46</f>
        <v>45</v>
      </c>
    </row>
    <row r="47" customFormat="false" ht="15" hidden="false" customHeight="false" outlineLevel="0" collapsed="false">
      <c r="A47" s="0" t="s">
        <v>414</v>
      </c>
      <c r="B47" s="0" t="n">
        <v>2</v>
      </c>
      <c r="C47" s="5" t="n">
        <v>45</v>
      </c>
      <c r="D47" s="5" t="n">
        <f aca="false">B47*C47</f>
        <v>90</v>
      </c>
    </row>
    <row r="48" customFormat="false" ht="15" hidden="false" customHeight="false" outlineLevel="0" collapsed="false">
      <c r="A48" s="0" t="s">
        <v>414</v>
      </c>
      <c r="B48" s="0" t="n">
        <v>1</v>
      </c>
      <c r="C48" s="5" t="n">
        <v>13</v>
      </c>
      <c r="D48" s="5" t="n">
        <f aca="false">B48*C48</f>
        <v>13</v>
      </c>
    </row>
    <row r="49" customFormat="false" ht="15" hidden="false" customHeight="false" outlineLevel="0" collapsed="false">
      <c r="A49" s="0" t="s">
        <v>195</v>
      </c>
      <c r="B49" s="0" t="n">
        <v>1</v>
      </c>
      <c r="C49" s="5" t="n">
        <v>45</v>
      </c>
      <c r="D49" s="5" t="n">
        <f aca="false">B49*C49</f>
        <v>45</v>
      </c>
    </row>
    <row r="50" customFormat="false" ht="15" hidden="false" customHeight="false" outlineLevel="0" collapsed="false">
      <c r="A50" s="0" t="s">
        <v>195</v>
      </c>
      <c r="B50" s="0" t="n">
        <v>2</v>
      </c>
      <c r="C50" s="5" t="n">
        <v>30.9</v>
      </c>
      <c r="D50" s="5" t="n">
        <f aca="false">B50*C50</f>
        <v>61.8</v>
      </c>
    </row>
    <row r="51" customFormat="false" ht="15" hidden="false" customHeight="false" outlineLevel="0" collapsed="false">
      <c r="A51" s="0" t="s">
        <v>415</v>
      </c>
      <c r="B51" s="0" t="n">
        <v>2</v>
      </c>
      <c r="C51" s="5" t="n">
        <v>45</v>
      </c>
      <c r="D51" s="5" t="n">
        <f aca="false">B51*C51</f>
        <v>90</v>
      </c>
    </row>
    <row r="52" customFormat="false" ht="15" hidden="false" customHeight="false" outlineLevel="0" collapsed="false">
      <c r="A52" s="0" t="s">
        <v>197</v>
      </c>
      <c r="B52" s="0" t="n">
        <v>2</v>
      </c>
      <c r="C52" s="5" t="n">
        <v>67.25</v>
      </c>
      <c r="D52" s="5" t="n">
        <f aca="false">B52*C52</f>
        <v>134.5</v>
      </c>
    </row>
    <row r="53" customFormat="false" ht="15" hidden="false" customHeight="false" outlineLevel="0" collapsed="false">
      <c r="A53" s="0" t="s">
        <v>199</v>
      </c>
      <c r="B53" s="0" t="n">
        <v>2</v>
      </c>
      <c r="C53" s="5" t="n">
        <v>32.6</v>
      </c>
      <c r="D53" s="5" t="n">
        <f aca="false">B53*C53</f>
        <v>65.2</v>
      </c>
    </row>
    <row r="54" customFormat="false" ht="15" hidden="false" customHeight="false" outlineLevel="0" collapsed="false">
      <c r="A54" s="0" t="s">
        <v>416</v>
      </c>
      <c r="B54" s="0" t="n">
        <v>2</v>
      </c>
      <c r="C54" s="5" t="n">
        <v>55</v>
      </c>
      <c r="D54" s="5" t="n">
        <f aca="false">B54*C54</f>
        <v>110</v>
      </c>
    </row>
    <row r="55" customFormat="false" ht="15" hidden="false" customHeight="false" outlineLevel="0" collapsed="false">
      <c r="A55" s="0" t="s">
        <v>417</v>
      </c>
      <c r="B55" s="0" t="n">
        <v>2</v>
      </c>
      <c r="C55" s="5" t="n">
        <v>45</v>
      </c>
      <c r="D55" s="5" t="n">
        <f aca="false">B55*C55</f>
        <v>90</v>
      </c>
    </row>
    <row r="56" customFormat="false" ht="15" hidden="false" customHeight="false" outlineLevel="0" collapsed="false">
      <c r="A56" s="0" t="s">
        <v>417</v>
      </c>
      <c r="B56" s="0" t="n">
        <v>1</v>
      </c>
      <c r="C56" s="5" t="n">
        <v>53.15</v>
      </c>
      <c r="D56" s="5" t="n">
        <f aca="false">B56*C56</f>
        <v>53.15</v>
      </c>
    </row>
    <row r="57" customFormat="false" ht="15" hidden="false" customHeight="false" outlineLevel="0" collapsed="false">
      <c r="A57" s="0" t="s">
        <v>417</v>
      </c>
      <c r="B57" s="0" t="n">
        <v>1</v>
      </c>
      <c r="C57" s="5" t="n">
        <v>53.15</v>
      </c>
      <c r="D57" s="5" t="n">
        <f aca="false">B57*C57</f>
        <v>53.15</v>
      </c>
    </row>
    <row r="58" customFormat="false" ht="15" hidden="false" customHeight="false" outlineLevel="0" collapsed="false">
      <c r="A58" s="0" t="s">
        <v>200</v>
      </c>
      <c r="B58" s="0" t="n">
        <v>4</v>
      </c>
      <c r="C58" s="5" t="n">
        <v>45.55</v>
      </c>
      <c r="D58" s="5" t="n">
        <f aca="false">B58*C58</f>
        <v>182.2</v>
      </c>
    </row>
    <row r="59" customFormat="false" ht="15" hidden="false" customHeight="false" outlineLevel="0" collapsed="false">
      <c r="A59" s="0" t="s">
        <v>200</v>
      </c>
      <c r="B59" s="0" t="n">
        <v>4</v>
      </c>
      <c r="C59" s="5" t="n">
        <v>25</v>
      </c>
      <c r="D59" s="5" t="n">
        <f aca="false">B59*C59</f>
        <v>100</v>
      </c>
    </row>
    <row r="60" customFormat="false" ht="15" hidden="false" customHeight="false" outlineLevel="0" collapsed="false">
      <c r="A60" s="0" t="s">
        <v>418</v>
      </c>
      <c r="B60" s="0" t="n">
        <v>2</v>
      </c>
      <c r="C60" s="5" t="n">
        <v>45</v>
      </c>
      <c r="D60" s="5" t="n">
        <f aca="false">B60*C60</f>
        <v>90</v>
      </c>
    </row>
    <row r="61" customFormat="false" ht="15" hidden="false" customHeight="false" outlineLevel="0" collapsed="false">
      <c r="A61" s="0" t="s">
        <v>418</v>
      </c>
      <c r="B61" s="0" t="n">
        <v>3</v>
      </c>
      <c r="C61" s="5" t="n">
        <v>45</v>
      </c>
      <c r="D61" s="5" t="n">
        <f aca="false">B61*C61</f>
        <v>135</v>
      </c>
    </row>
    <row r="62" customFormat="false" ht="15" hidden="false" customHeight="false" outlineLevel="0" collapsed="false">
      <c r="A62" s="0" t="s">
        <v>418</v>
      </c>
      <c r="B62" s="0" t="n">
        <v>3</v>
      </c>
      <c r="C62" s="5" t="n">
        <v>45</v>
      </c>
      <c r="D62" s="5" t="n">
        <f aca="false">B62*C62</f>
        <v>135</v>
      </c>
    </row>
    <row r="63" customFormat="false" ht="15" hidden="false" customHeight="false" outlineLevel="0" collapsed="false">
      <c r="A63" s="0" t="s">
        <v>418</v>
      </c>
      <c r="B63" s="0" t="n">
        <v>1</v>
      </c>
      <c r="C63" s="5" t="n">
        <v>42.15</v>
      </c>
      <c r="D63" s="5" t="n">
        <f aca="false">B63*C63</f>
        <v>42.15</v>
      </c>
    </row>
    <row r="64" customFormat="false" ht="15" hidden="false" customHeight="false" outlineLevel="0" collapsed="false">
      <c r="A64" s="0" t="s">
        <v>418</v>
      </c>
      <c r="B64" s="0" t="n">
        <v>1</v>
      </c>
      <c r="C64" s="5" t="n">
        <v>42.15</v>
      </c>
      <c r="D64" s="5" t="n">
        <f aca="false">B64*C64</f>
        <v>42.15</v>
      </c>
    </row>
    <row r="65" customFormat="false" ht="15" hidden="false" customHeight="false" outlineLevel="0" collapsed="false">
      <c r="A65" s="0" t="s">
        <v>419</v>
      </c>
      <c r="B65" s="0" t="n">
        <v>2</v>
      </c>
      <c r="C65" s="5" t="n">
        <v>45</v>
      </c>
      <c r="D65" s="5" t="n">
        <f aca="false">B65*C65</f>
        <v>90</v>
      </c>
    </row>
    <row r="66" customFormat="false" ht="15" hidden="false" customHeight="false" outlineLevel="0" collapsed="false">
      <c r="A66" s="0" t="s">
        <v>419</v>
      </c>
      <c r="B66" s="0" t="n">
        <v>3</v>
      </c>
      <c r="C66" s="5" t="n">
        <v>45</v>
      </c>
      <c r="D66" s="5" t="n">
        <f aca="false">B66*C66</f>
        <v>135</v>
      </c>
    </row>
    <row r="67" customFormat="false" ht="15" hidden="false" customHeight="false" outlineLevel="0" collapsed="false">
      <c r="A67" s="0" t="s">
        <v>419</v>
      </c>
      <c r="B67" s="0" t="n">
        <v>2</v>
      </c>
      <c r="C67" s="5" t="n">
        <v>45</v>
      </c>
      <c r="D67" s="5" t="n">
        <f aca="false">B67*C67</f>
        <v>90</v>
      </c>
    </row>
    <row r="68" customFormat="false" ht="15" hidden="false" customHeight="false" outlineLevel="0" collapsed="false">
      <c r="A68" s="0" t="s">
        <v>419</v>
      </c>
      <c r="B68" s="0" t="n">
        <v>2</v>
      </c>
      <c r="C68" s="5" t="n">
        <v>45</v>
      </c>
      <c r="D68" s="5" t="n">
        <f aca="false">B68*C68</f>
        <v>90</v>
      </c>
    </row>
    <row r="69" customFormat="false" ht="15" hidden="false" customHeight="false" outlineLevel="0" collapsed="false">
      <c r="A69" s="0" t="s">
        <v>420</v>
      </c>
      <c r="B69" s="0" t="n">
        <v>2</v>
      </c>
      <c r="C69" s="5" t="n">
        <v>50</v>
      </c>
      <c r="D69" s="5" t="n">
        <f aca="false">B69*C69</f>
        <v>100</v>
      </c>
    </row>
    <row r="70" customFormat="false" ht="15" hidden="false" customHeight="false" outlineLevel="0" collapsed="false">
      <c r="A70" s="0" t="s">
        <v>420</v>
      </c>
      <c r="B70" s="0" t="n">
        <v>1</v>
      </c>
      <c r="C70" s="5" t="n">
        <v>45</v>
      </c>
      <c r="D70" s="5" t="n">
        <f aca="false">B70*C70</f>
        <v>45</v>
      </c>
    </row>
    <row r="71" customFormat="false" ht="15" hidden="false" customHeight="false" outlineLevel="0" collapsed="false">
      <c r="A71" s="0" t="s">
        <v>421</v>
      </c>
      <c r="B71" s="0" t="n">
        <v>1</v>
      </c>
      <c r="C71" s="5" t="n">
        <v>45</v>
      </c>
      <c r="D71" s="5" t="n">
        <f aca="false">B71*C71</f>
        <v>45</v>
      </c>
    </row>
    <row r="72" customFormat="false" ht="15" hidden="false" customHeight="false" outlineLevel="0" collapsed="false">
      <c r="A72" s="0" t="s">
        <v>422</v>
      </c>
      <c r="B72" s="0" t="n">
        <v>1</v>
      </c>
      <c r="C72" s="5" t="n">
        <v>45</v>
      </c>
      <c r="D72" s="5" t="n">
        <f aca="false">B72*C72</f>
        <v>45</v>
      </c>
    </row>
    <row r="73" customFormat="false" ht="15" hidden="false" customHeight="false" outlineLevel="0" collapsed="false">
      <c r="A73" s="0" t="s">
        <v>423</v>
      </c>
      <c r="B73" s="0" t="n">
        <v>1</v>
      </c>
      <c r="C73" s="5" t="n">
        <v>29.56</v>
      </c>
      <c r="D73" s="5" t="n">
        <f aca="false">B73*C73</f>
        <v>29.56</v>
      </c>
    </row>
    <row r="74" customFormat="false" ht="15" hidden="false" customHeight="false" outlineLevel="0" collapsed="false">
      <c r="A74" s="0" t="s">
        <v>423</v>
      </c>
      <c r="B74" s="0" t="n">
        <v>1</v>
      </c>
      <c r="C74" s="5" t="n">
        <v>29.56</v>
      </c>
      <c r="D74" s="5" t="n">
        <f aca="false">B74*C74</f>
        <v>29.56</v>
      </c>
    </row>
    <row r="75" customFormat="false" ht="15" hidden="false" customHeight="false" outlineLevel="0" collapsed="false">
      <c r="A75" s="0" t="s">
        <v>423</v>
      </c>
      <c r="B75" s="0" t="n">
        <v>1</v>
      </c>
      <c r="C75" s="5" t="n">
        <v>29.57</v>
      </c>
      <c r="D75" s="5" t="n">
        <f aca="false">B75*C75</f>
        <v>29.57</v>
      </c>
    </row>
    <row r="76" customFormat="false" ht="15" hidden="false" customHeight="false" outlineLevel="0" collapsed="false">
      <c r="A76" s="0" t="s">
        <v>423</v>
      </c>
      <c r="B76" s="0" t="n">
        <v>1</v>
      </c>
      <c r="C76" s="5" t="n">
        <v>45</v>
      </c>
      <c r="D76" s="5" t="n">
        <f aca="false">B76*C76</f>
        <v>45</v>
      </c>
    </row>
    <row r="77" customFormat="false" ht="15" hidden="false" customHeight="false" outlineLevel="0" collapsed="false">
      <c r="A77" s="0" t="s">
        <v>423</v>
      </c>
      <c r="B77" s="0" t="n">
        <v>1</v>
      </c>
      <c r="C77" s="5" t="n">
        <v>45</v>
      </c>
      <c r="D77" s="5" t="n">
        <f aca="false">B77*C77</f>
        <v>45</v>
      </c>
    </row>
    <row r="78" customFormat="false" ht="15" hidden="false" customHeight="false" outlineLevel="0" collapsed="false">
      <c r="A78" s="0" t="s">
        <v>424</v>
      </c>
      <c r="B78" s="0" t="n">
        <v>1</v>
      </c>
      <c r="C78" s="5" t="n">
        <v>45</v>
      </c>
      <c r="D78" s="5" t="n">
        <f aca="false">B78*C78</f>
        <v>45</v>
      </c>
    </row>
    <row r="79" customFormat="false" ht="15" hidden="false" customHeight="false" outlineLevel="0" collapsed="false">
      <c r="A79" s="0" t="s">
        <v>425</v>
      </c>
      <c r="B79" s="0" t="n">
        <v>2</v>
      </c>
      <c r="C79" s="5" t="n">
        <v>45</v>
      </c>
      <c r="D79" s="5" t="n">
        <f aca="false">B79*C79</f>
        <v>90</v>
      </c>
    </row>
    <row r="80" customFormat="false" ht="15" hidden="false" customHeight="false" outlineLevel="0" collapsed="false">
      <c r="A80" s="0" t="s">
        <v>425</v>
      </c>
      <c r="B80" s="0" t="n">
        <v>1</v>
      </c>
      <c r="C80" s="5" t="n">
        <v>45</v>
      </c>
      <c r="D80" s="5" t="n">
        <f aca="false">B80*C80</f>
        <v>45</v>
      </c>
    </row>
    <row r="81" customFormat="false" ht="15" hidden="false" customHeight="false" outlineLevel="0" collapsed="false">
      <c r="A81" s="0" t="s">
        <v>426</v>
      </c>
      <c r="B81" s="0" t="n">
        <v>1</v>
      </c>
      <c r="C81" s="5" t="n">
        <v>45</v>
      </c>
      <c r="D81" s="5" t="n">
        <f aca="false">B81*C81</f>
        <v>45</v>
      </c>
    </row>
    <row r="82" customFormat="false" ht="15" hidden="false" customHeight="false" outlineLevel="0" collapsed="false">
      <c r="A82" s="0" t="s">
        <v>426</v>
      </c>
      <c r="B82" s="0" t="n">
        <v>1</v>
      </c>
      <c r="C82" s="5" t="n">
        <v>45</v>
      </c>
      <c r="D82" s="5" t="n">
        <f aca="false">B82*C82</f>
        <v>45</v>
      </c>
    </row>
    <row r="83" customFormat="false" ht="15" hidden="false" customHeight="false" outlineLevel="0" collapsed="false">
      <c r="A83" s="0" t="s">
        <v>426</v>
      </c>
      <c r="B83" s="0" t="n">
        <v>1</v>
      </c>
      <c r="C83" s="5" t="n">
        <v>45</v>
      </c>
      <c r="D83" s="5" t="n">
        <f aca="false">B83*C83</f>
        <v>45</v>
      </c>
    </row>
    <row r="84" customFormat="false" ht="15" hidden="false" customHeight="false" outlineLevel="0" collapsed="false">
      <c r="A84" s="0" t="s">
        <v>427</v>
      </c>
      <c r="B84" s="0" t="n">
        <v>1</v>
      </c>
      <c r="C84" s="5" t="n">
        <v>45</v>
      </c>
      <c r="D84" s="5" t="n">
        <f aca="false">B84*C84</f>
        <v>45</v>
      </c>
    </row>
    <row r="85" customFormat="false" ht="15" hidden="false" customHeight="false" outlineLevel="0" collapsed="false">
      <c r="A85" s="0" t="s">
        <v>428</v>
      </c>
      <c r="B85" s="0" t="n">
        <v>1</v>
      </c>
      <c r="C85" s="5" t="n">
        <v>45</v>
      </c>
      <c r="D85" s="5" t="n">
        <f aca="false">B85*C85</f>
        <v>45</v>
      </c>
    </row>
    <row r="86" customFormat="false" ht="15" hidden="false" customHeight="false" outlineLevel="0" collapsed="false">
      <c r="A86" s="0" t="s">
        <v>429</v>
      </c>
      <c r="B86" s="0" t="n">
        <v>2</v>
      </c>
      <c r="C86" s="5" t="n">
        <v>45</v>
      </c>
      <c r="D86" s="5" t="n">
        <f aca="false">B86*C86</f>
        <v>90</v>
      </c>
    </row>
    <row r="87" customFormat="false" ht="15" hidden="false" customHeight="false" outlineLevel="0" collapsed="false">
      <c r="A87" s="0" t="s">
        <v>429</v>
      </c>
      <c r="B87" s="0" t="n">
        <v>1</v>
      </c>
      <c r="C87" s="5" t="n">
        <v>45</v>
      </c>
      <c r="D87" s="5" t="n">
        <f aca="false">B87*C87</f>
        <v>45</v>
      </c>
    </row>
    <row r="88" customFormat="false" ht="15" hidden="false" customHeight="false" outlineLevel="0" collapsed="false">
      <c r="A88" s="0" t="s">
        <v>429</v>
      </c>
      <c r="B88" s="0" t="n">
        <v>1</v>
      </c>
      <c r="C88" s="5" t="n">
        <v>45</v>
      </c>
      <c r="D88" s="5" t="n">
        <f aca="false">B88*C88</f>
        <v>45</v>
      </c>
    </row>
    <row r="89" customFormat="false" ht="15" hidden="false" customHeight="false" outlineLevel="0" collapsed="false">
      <c r="A89" s="0" t="s">
        <v>430</v>
      </c>
      <c r="B89" s="0" t="n">
        <v>2</v>
      </c>
      <c r="C89" s="5" t="n">
        <v>50</v>
      </c>
      <c r="D89" s="5" t="n">
        <f aca="false">B89*C89</f>
        <v>100</v>
      </c>
    </row>
    <row r="90" customFormat="false" ht="15" hidden="false" customHeight="false" outlineLevel="0" collapsed="false">
      <c r="A90" s="0" t="s">
        <v>431</v>
      </c>
      <c r="B90" s="0" t="n">
        <v>1</v>
      </c>
      <c r="C90" s="5" t="n">
        <v>45</v>
      </c>
      <c r="D90" s="5" t="n">
        <f aca="false">B90*C90</f>
        <v>45</v>
      </c>
    </row>
    <row r="91" customFormat="false" ht="15" hidden="false" customHeight="false" outlineLevel="0" collapsed="false">
      <c r="A91" s="0" t="s">
        <v>431</v>
      </c>
      <c r="B91" s="0" t="n">
        <v>2</v>
      </c>
      <c r="C91" s="5" t="n">
        <v>45</v>
      </c>
      <c r="D91" s="5" t="n">
        <f aca="false">B91*C91</f>
        <v>90</v>
      </c>
    </row>
    <row r="92" customFormat="false" ht="15" hidden="false" customHeight="false" outlineLevel="0" collapsed="false">
      <c r="A92" s="0" t="s">
        <v>431</v>
      </c>
      <c r="B92" s="0" t="n">
        <v>1</v>
      </c>
      <c r="C92" s="5" t="n">
        <v>45</v>
      </c>
      <c r="D92" s="5" t="n">
        <f aca="false">B92*C92</f>
        <v>45</v>
      </c>
    </row>
    <row r="93" customFormat="false" ht="15" hidden="false" customHeight="false" outlineLevel="0" collapsed="false">
      <c r="A93" s="0" t="s">
        <v>432</v>
      </c>
      <c r="B93" s="0" t="n">
        <v>1</v>
      </c>
      <c r="C93" s="5" t="n">
        <v>45</v>
      </c>
      <c r="D93" s="5" t="n">
        <f aca="false">B93*C93</f>
        <v>45</v>
      </c>
    </row>
    <row r="94" customFormat="false" ht="15" hidden="false" customHeight="false" outlineLevel="0" collapsed="false">
      <c r="A94" s="0" t="s">
        <v>432</v>
      </c>
      <c r="B94" s="0" t="n">
        <v>2</v>
      </c>
      <c r="C94" s="5" t="n">
        <v>45</v>
      </c>
      <c r="D94" s="5" t="n">
        <f aca="false">B94*C94</f>
        <v>90</v>
      </c>
    </row>
    <row r="95" customFormat="false" ht="15" hidden="false" customHeight="false" outlineLevel="0" collapsed="false">
      <c r="A95" s="0" t="s">
        <v>433</v>
      </c>
      <c r="B95" s="0" t="n">
        <v>2</v>
      </c>
      <c r="C95" s="5" t="n">
        <v>45</v>
      </c>
      <c r="D95" s="5" t="n">
        <f aca="false">B95*C95</f>
        <v>90</v>
      </c>
    </row>
    <row r="96" customFormat="false" ht="15" hidden="false" customHeight="false" outlineLevel="0" collapsed="false">
      <c r="A96" s="0" t="s">
        <v>434</v>
      </c>
      <c r="B96" s="0" t="n">
        <v>2</v>
      </c>
      <c r="C96" s="5" t="n">
        <v>45</v>
      </c>
      <c r="D96" s="5" t="n">
        <f aca="false">B96*C96</f>
        <v>90</v>
      </c>
    </row>
    <row r="97" customFormat="false" ht="15" hidden="false" customHeight="false" outlineLevel="0" collapsed="false">
      <c r="A97" s="0" t="s">
        <v>434</v>
      </c>
      <c r="B97" s="0" t="n">
        <v>2</v>
      </c>
      <c r="C97" s="5" t="n">
        <v>45</v>
      </c>
      <c r="D97" s="5" t="n">
        <f aca="false">B97*C97</f>
        <v>90</v>
      </c>
    </row>
    <row r="98" customFormat="false" ht="15" hidden="false" customHeight="false" outlineLevel="0" collapsed="false">
      <c r="A98" s="0" t="s">
        <v>435</v>
      </c>
      <c r="B98" s="0" t="n">
        <v>2</v>
      </c>
      <c r="C98" s="5" t="n">
        <v>45</v>
      </c>
      <c r="D98" s="5" t="n">
        <f aca="false">B98*C98</f>
        <v>90</v>
      </c>
    </row>
    <row r="99" customFormat="false" ht="15" hidden="false" customHeight="false" outlineLevel="0" collapsed="false">
      <c r="A99" s="0" t="s">
        <v>436</v>
      </c>
      <c r="B99" s="0" t="n">
        <v>1</v>
      </c>
      <c r="C99" s="5" t="n">
        <v>45</v>
      </c>
      <c r="D99" s="5" t="n">
        <f aca="false">B99*C99</f>
        <v>45</v>
      </c>
    </row>
    <row r="100" customFormat="false" ht="15" hidden="false" customHeight="false" outlineLevel="0" collapsed="false">
      <c r="A100" s="0" t="s">
        <v>437</v>
      </c>
      <c r="B100" s="0" t="n">
        <v>1</v>
      </c>
      <c r="C100" s="5" t="n">
        <v>45</v>
      </c>
      <c r="D100" s="5" t="n">
        <f aca="false">B100*C100</f>
        <v>45</v>
      </c>
    </row>
    <row r="101" customFormat="false" ht="15" hidden="false" customHeight="false" outlineLevel="0" collapsed="false">
      <c r="A101" s="0" t="s">
        <v>437</v>
      </c>
      <c r="B101" s="0" t="n">
        <v>1</v>
      </c>
      <c r="C101" s="5" t="n">
        <v>45</v>
      </c>
      <c r="D101" s="5" t="n">
        <f aca="false">B101*C101</f>
        <v>45</v>
      </c>
    </row>
    <row r="102" customFormat="false" ht="15" hidden="false" customHeight="false" outlineLevel="0" collapsed="false">
      <c r="A102" s="0" t="s">
        <v>438</v>
      </c>
      <c r="B102" s="0" t="n">
        <v>2</v>
      </c>
      <c r="C102" s="5" t="n">
        <v>45</v>
      </c>
      <c r="D102" s="5" t="n">
        <f aca="false">B102*C102</f>
        <v>90</v>
      </c>
    </row>
    <row r="103" customFormat="false" ht="15" hidden="false" customHeight="false" outlineLevel="0" collapsed="false">
      <c r="A103" s="0" t="s">
        <v>439</v>
      </c>
      <c r="B103" s="0" t="n">
        <v>2</v>
      </c>
      <c r="C103" s="5" t="n">
        <v>45</v>
      </c>
      <c r="D103" s="5" t="n">
        <f aca="false">B103*C103</f>
        <v>90</v>
      </c>
    </row>
    <row r="104" customFormat="false" ht="15" hidden="false" customHeight="false" outlineLevel="0" collapsed="false">
      <c r="A104" s="0" t="s">
        <v>439</v>
      </c>
      <c r="B104" s="0" t="n">
        <v>3</v>
      </c>
      <c r="C104" s="5" t="n">
        <v>50</v>
      </c>
      <c r="D104" s="5" t="n">
        <f aca="false">B104*C104</f>
        <v>150</v>
      </c>
    </row>
    <row r="105" customFormat="false" ht="15" hidden="false" customHeight="false" outlineLevel="0" collapsed="false">
      <c r="A105" s="0" t="s">
        <v>440</v>
      </c>
      <c r="B105" s="0" t="n">
        <v>1</v>
      </c>
      <c r="C105" s="5" t="n">
        <v>50</v>
      </c>
      <c r="D105" s="5" t="n">
        <f aca="false">B105*C105</f>
        <v>50</v>
      </c>
    </row>
    <row r="106" customFormat="false" ht="15" hidden="false" customHeight="false" outlineLevel="0" collapsed="false">
      <c r="A106" s="0" t="s">
        <v>440</v>
      </c>
      <c r="B106" s="0" t="n">
        <v>0.5</v>
      </c>
      <c r="C106" s="5" t="n">
        <v>45</v>
      </c>
      <c r="D106" s="5" t="n">
        <f aca="false">B106*C106</f>
        <v>22.5</v>
      </c>
    </row>
    <row r="107" customFormat="false" ht="15" hidden="false" customHeight="false" outlineLevel="0" collapsed="false">
      <c r="A107" s="0" t="s">
        <v>440</v>
      </c>
      <c r="B107" s="0" t="n">
        <v>1</v>
      </c>
      <c r="C107" s="5" t="n">
        <v>45</v>
      </c>
      <c r="D107" s="5" t="n">
        <f aca="false">B107*C107</f>
        <v>45</v>
      </c>
    </row>
    <row r="108" customFormat="false" ht="15" hidden="false" customHeight="false" outlineLevel="0" collapsed="false">
      <c r="A108" s="0" t="s">
        <v>440</v>
      </c>
      <c r="B108" s="0" t="n">
        <v>1</v>
      </c>
      <c r="C108" s="5" t="n">
        <v>45</v>
      </c>
      <c r="D108" s="5" t="n">
        <f aca="false">B108*C108</f>
        <v>45</v>
      </c>
    </row>
    <row r="109" customFormat="false" ht="15" hidden="false" customHeight="false" outlineLevel="0" collapsed="false">
      <c r="A109" s="0" t="s">
        <v>441</v>
      </c>
      <c r="B109" s="0" t="n">
        <v>1</v>
      </c>
      <c r="C109" s="5" t="n">
        <v>45</v>
      </c>
      <c r="D109" s="5" t="n">
        <f aca="false">B109*C109</f>
        <v>45</v>
      </c>
    </row>
    <row r="110" customFormat="false" ht="15" hidden="false" customHeight="false" outlineLevel="0" collapsed="false">
      <c r="A110" s="0" t="s">
        <v>441</v>
      </c>
      <c r="B110" s="0" t="n">
        <v>1</v>
      </c>
      <c r="C110" s="5" t="n">
        <v>57.9</v>
      </c>
      <c r="D110" s="5" t="n">
        <f aca="false">B110*C110</f>
        <v>57.9</v>
      </c>
    </row>
    <row r="111" customFormat="false" ht="15" hidden="false" customHeight="false" outlineLevel="0" collapsed="false">
      <c r="A111" s="0" t="s">
        <v>441</v>
      </c>
      <c r="B111" s="0" t="n">
        <v>1</v>
      </c>
      <c r="C111" s="5" t="n">
        <v>50</v>
      </c>
      <c r="D111" s="5" t="n">
        <f aca="false">B111*C111</f>
        <v>50</v>
      </c>
    </row>
    <row r="112" customFormat="false" ht="15" hidden="false" customHeight="false" outlineLevel="0" collapsed="false">
      <c r="A112" s="0" t="s">
        <v>441</v>
      </c>
      <c r="B112" s="0" t="n">
        <v>3</v>
      </c>
      <c r="C112" s="5" t="n">
        <v>45</v>
      </c>
      <c r="D112" s="5" t="n">
        <f aca="false">B112*C112</f>
        <v>135</v>
      </c>
    </row>
    <row r="113" customFormat="false" ht="15" hidden="false" customHeight="false" outlineLevel="0" collapsed="false">
      <c r="A113" s="0" t="s">
        <v>442</v>
      </c>
      <c r="B113" s="0" t="n">
        <v>1</v>
      </c>
      <c r="C113" s="5" t="n">
        <v>45</v>
      </c>
      <c r="D113" s="5" t="n">
        <f aca="false">B113*C113</f>
        <v>45</v>
      </c>
    </row>
    <row r="114" customFormat="false" ht="15" hidden="false" customHeight="false" outlineLevel="0" collapsed="false">
      <c r="A114" s="0" t="s">
        <v>442</v>
      </c>
      <c r="B114" s="0" t="n">
        <v>1</v>
      </c>
      <c r="C114" s="5" t="n">
        <v>45</v>
      </c>
      <c r="D114" s="5" t="n">
        <f aca="false">B114*C114</f>
        <v>45</v>
      </c>
    </row>
    <row r="115" customFormat="false" ht="15" hidden="false" customHeight="false" outlineLevel="0" collapsed="false">
      <c r="A115" s="0" t="s">
        <v>442</v>
      </c>
      <c r="B115" s="0" t="n">
        <v>1</v>
      </c>
      <c r="C115" s="5" t="n">
        <v>45</v>
      </c>
      <c r="D115" s="5" t="n">
        <f aca="false">B115*C115</f>
        <v>45</v>
      </c>
    </row>
    <row r="116" customFormat="false" ht="15" hidden="false" customHeight="false" outlineLevel="0" collapsed="false">
      <c r="A116" s="0" t="s">
        <v>443</v>
      </c>
      <c r="B116" s="0" t="n">
        <v>2</v>
      </c>
      <c r="C116" s="5" t="n">
        <v>53.5</v>
      </c>
      <c r="D116" s="5" t="n">
        <f aca="false">B116*C116</f>
        <v>107</v>
      </c>
    </row>
    <row r="117" customFormat="false" ht="15" hidden="false" customHeight="false" outlineLevel="0" collapsed="false">
      <c r="A117" s="0" t="s">
        <v>444</v>
      </c>
      <c r="B117" s="0" t="n">
        <v>2</v>
      </c>
      <c r="C117" s="5" t="n">
        <v>30</v>
      </c>
      <c r="D117" s="5" t="n">
        <f aca="false">B117*C117</f>
        <v>60</v>
      </c>
    </row>
    <row r="118" customFormat="false" ht="15" hidden="false" customHeight="false" outlineLevel="0" collapsed="false">
      <c r="A118" s="0" t="s">
        <v>445</v>
      </c>
      <c r="B118" s="0" t="n">
        <v>0.5</v>
      </c>
      <c r="C118" s="5" t="n">
        <v>45</v>
      </c>
      <c r="D118" s="5" t="n">
        <f aca="false">B118*C118</f>
        <v>22.5</v>
      </c>
    </row>
    <row r="119" customFormat="false" ht="15" hidden="false" customHeight="false" outlineLevel="0" collapsed="false">
      <c r="A119" s="0" t="s">
        <v>445</v>
      </c>
      <c r="B119" s="0" t="n">
        <v>1</v>
      </c>
      <c r="C119" s="5" t="n">
        <v>45</v>
      </c>
      <c r="D119" s="5" t="n">
        <f aca="false">B119*C119</f>
        <v>45</v>
      </c>
    </row>
    <row r="120" customFormat="false" ht="15" hidden="false" customHeight="false" outlineLevel="0" collapsed="false">
      <c r="A120" s="0" t="s">
        <v>446</v>
      </c>
      <c r="B120" s="0" t="n">
        <v>2</v>
      </c>
      <c r="C120" s="5" t="n">
        <v>45</v>
      </c>
      <c r="D120" s="5" t="n">
        <f aca="false">B120*C120</f>
        <v>90</v>
      </c>
    </row>
    <row r="121" customFormat="false" ht="15" hidden="false" customHeight="false" outlineLevel="0" collapsed="false">
      <c r="A121" s="0" t="s">
        <v>446</v>
      </c>
      <c r="B121" s="0" t="n">
        <v>1</v>
      </c>
      <c r="C121" s="5" t="n">
        <v>45</v>
      </c>
      <c r="D121" s="5" t="n">
        <f aca="false">B121*C121</f>
        <v>45</v>
      </c>
    </row>
    <row r="122" customFormat="false" ht="15" hidden="false" customHeight="false" outlineLevel="0" collapsed="false">
      <c r="A122" s="0" t="s">
        <v>447</v>
      </c>
      <c r="B122" s="0" t="n">
        <v>2</v>
      </c>
      <c r="C122" s="5" t="n">
        <v>45</v>
      </c>
      <c r="D122" s="5" t="n">
        <f aca="false">B122*C122</f>
        <v>90</v>
      </c>
    </row>
    <row r="123" customFormat="false" ht="15" hidden="false" customHeight="false" outlineLevel="0" collapsed="false">
      <c r="A123" s="0" t="s">
        <v>448</v>
      </c>
      <c r="B123" s="0" t="n">
        <v>2</v>
      </c>
      <c r="C123" s="5" t="n">
        <v>30</v>
      </c>
      <c r="D123" s="5" t="n">
        <f aca="false">B123*C123</f>
        <v>60</v>
      </c>
    </row>
    <row r="124" customFormat="false" ht="15" hidden="false" customHeight="false" outlineLevel="0" collapsed="false">
      <c r="A124" s="0" t="s">
        <v>448</v>
      </c>
      <c r="B124" s="0" t="n">
        <v>5</v>
      </c>
      <c r="C124" s="5" t="n">
        <v>39.08</v>
      </c>
      <c r="D124" s="5" t="n">
        <f aca="false">B124*C124</f>
        <v>195.4</v>
      </c>
    </row>
    <row r="125" customFormat="false" ht="15" hidden="false" customHeight="false" outlineLevel="0" collapsed="false">
      <c r="A125" s="0" t="s">
        <v>448</v>
      </c>
      <c r="B125" s="0" t="n">
        <v>2</v>
      </c>
      <c r="C125" s="5" t="n">
        <v>45</v>
      </c>
      <c r="D125" s="5" t="n">
        <f aca="false">B125*C125</f>
        <v>90</v>
      </c>
    </row>
    <row r="126" customFormat="false" ht="15" hidden="false" customHeight="false" outlineLevel="0" collapsed="false">
      <c r="A126" s="0" t="s">
        <v>449</v>
      </c>
      <c r="B126" s="0" t="n">
        <v>1</v>
      </c>
      <c r="C126" s="5" t="n">
        <v>51.7</v>
      </c>
      <c r="D126" s="5" t="n">
        <f aca="false">B126*C126</f>
        <v>51.7</v>
      </c>
    </row>
    <row r="127" customFormat="false" ht="15" hidden="false" customHeight="false" outlineLevel="0" collapsed="false">
      <c r="A127" s="0" t="s">
        <v>450</v>
      </c>
      <c r="B127" s="0" t="n">
        <v>3</v>
      </c>
      <c r="C127" s="5" t="n">
        <v>45</v>
      </c>
      <c r="D127" s="5" t="n">
        <f aca="false">B127*C127</f>
        <v>135</v>
      </c>
    </row>
    <row r="128" customFormat="false" ht="15" hidden="false" customHeight="false" outlineLevel="0" collapsed="false">
      <c r="A128" s="0" t="s">
        <v>450</v>
      </c>
      <c r="B128" s="0" t="n">
        <v>2</v>
      </c>
      <c r="C128" s="5" t="n">
        <v>45</v>
      </c>
      <c r="D128" s="5" t="n">
        <f aca="false">B128*C128</f>
        <v>90</v>
      </c>
    </row>
    <row r="129" customFormat="false" ht="15" hidden="false" customHeight="false" outlineLevel="0" collapsed="false">
      <c r="A129" s="0" t="s">
        <v>202</v>
      </c>
      <c r="B129" s="0" t="n">
        <v>1</v>
      </c>
      <c r="C129" s="5" t="n">
        <v>21.6</v>
      </c>
      <c r="D129" s="5" t="n">
        <f aca="false">B129*C129</f>
        <v>21.6</v>
      </c>
    </row>
    <row r="130" customFormat="false" ht="15" hidden="false" customHeight="false" outlineLevel="0" collapsed="false">
      <c r="A130" s="0" t="s">
        <v>202</v>
      </c>
      <c r="B130" s="0" t="n">
        <v>1</v>
      </c>
      <c r="C130" s="5" t="n">
        <v>45</v>
      </c>
      <c r="D130" s="5" t="n">
        <f aca="false">B130*C130</f>
        <v>45</v>
      </c>
    </row>
    <row r="131" customFormat="false" ht="15" hidden="false" customHeight="false" outlineLevel="0" collapsed="false">
      <c r="A131" s="0" t="s">
        <v>202</v>
      </c>
      <c r="B131" s="0" t="n">
        <v>1</v>
      </c>
      <c r="C131" s="5" t="n">
        <v>45</v>
      </c>
      <c r="D131" s="5" t="n">
        <f aca="false">B131*C131</f>
        <v>45</v>
      </c>
    </row>
    <row r="132" customFormat="false" ht="15" hidden="false" customHeight="false" outlineLevel="0" collapsed="false">
      <c r="A132" s="0" t="s">
        <v>203</v>
      </c>
      <c r="B132" s="0" t="n">
        <v>2</v>
      </c>
      <c r="C132" s="5" t="n">
        <v>51.5</v>
      </c>
      <c r="D132" s="5" t="n">
        <f aca="false">B132*C132</f>
        <v>103</v>
      </c>
    </row>
    <row r="133" customFormat="false" ht="15" hidden="false" customHeight="false" outlineLevel="0" collapsed="false">
      <c r="A133" s="0" t="s">
        <v>451</v>
      </c>
      <c r="B133" s="0" t="n">
        <v>1</v>
      </c>
      <c r="C133" s="5" t="n">
        <v>45</v>
      </c>
      <c r="D133" s="5" t="n">
        <f aca="false">B133*C133</f>
        <v>45</v>
      </c>
    </row>
    <row r="134" customFormat="false" ht="15" hidden="false" customHeight="false" outlineLevel="0" collapsed="false">
      <c r="A134" s="0" t="s">
        <v>452</v>
      </c>
      <c r="B134" s="0" t="n">
        <v>1</v>
      </c>
      <c r="C134" s="5" t="n">
        <v>45</v>
      </c>
      <c r="D134" s="5" t="n">
        <f aca="false">B134*C134</f>
        <v>45</v>
      </c>
    </row>
    <row r="135" customFormat="false" ht="15" hidden="false" customHeight="false" outlineLevel="0" collapsed="false">
      <c r="A135" s="0" t="s">
        <v>453</v>
      </c>
      <c r="B135" s="0" t="n">
        <v>2</v>
      </c>
      <c r="C135" s="5" t="n">
        <v>50</v>
      </c>
      <c r="D135" s="5" t="n">
        <f aca="false">B135*C135</f>
        <v>100</v>
      </c>
    </row>
    <row r="136" customFormat="false" ht="15" hidden="false" customHeight="false" outlineLevel="0" collapsed="false">
      <c r="A136" s="0" t="s">
        <v>453</v>
      </c>
      <c r="B136" s="0" t="n">
        <v>1</v>
      </c>
      <c r="C136" s="5" t="n">
        <v>27.58</v>
      </c>
      <c r="D136" s="5" t="n">
        <f aca="false">B136*C136</f>
        <v>27.58</v>
      </c>
    </row>
    <row r="137" customFormat="false" ht="15" hidden="false" customHeight="false" outlineLevel="0" collapsed="false">
      <c r="A137" s="0" t="s">
        <v>454</v>
      </c>
      <c r="B137" s="0" t="n">
        <v>1</v>
      </c>
      <c r="C137" s="5" t="n">
        <v>45</v>
      </c>
      <c r="D137" s="5" t="n">
        <f aca="false">B137*C137</f>
        <v>45</v>
      </c>
    </row>
    <row r="138" customFormat="false" ht="15" hidden="false" customHeight="false" outlineLevel="0" collapsed="false">
      <c r="A138" s="0" t="s">
        <v>454</v>
      </c>
      <c r="B138" s="0" t="n">
        <v>2</v>
      </c>
      <c r="C138" s="5" t="n">
        <v>42.15</v>
      </c>
      <c r="D138" s="5" t="n">
        <f aca="false">B138*C138</f>
        <v>84.3</v>
      </c>
    </row>
    <row r="139" customFormat="false" ht="15" hidden="false" customHeight="false" outlineLevel="0" collapsed="false">
      <c r="A139" s="0" t="s">
        <v>455</v>
      </c>
      <c r="B139" s="0" t="n">
        <v>4</v>
      </c>
      <c r="C139" s="5" t="n">
        <v>45</v>
      </c>
      <c r="D139" s="5" t="n">
        <f aca="false">B139*C139</f>
        <v>180</v>
      </c>
    </row>
    <row r="140" customFormat="false" ht="15" hidden="false" customHeight="false" outlineLevel="0" collapsed="false">
      <c r="A140" s="0" t="s">
        <v>456</v>
      </c>
      <c r="B140" s="0" t="n">
        <v>3</v>
      </c>
      <c r="C140" s="5" t="n">
        <v>45</v>
      </c>
      <c r="D140" s="5" t="n">
        <f aca="false">B140*C140</f>
        <v>135</v>
      </c>
    </row>
    <row r="141" customFormat="false" ht="15" hidden="false" customHeight="false" outlineLevel="0" collapsed="false">
      <c r="A141" s="0" t="s">
        <v>456</v>
      </c>
      <c r="B141" s="0" t="n">
        <v>2</v>
      </c>
      <c r="C141" s="5" t="n">
        <v>45</v>
      </c>
      <c r="D141" s="5" t="n">
        <f aca="false">B141*C141</f>
        <v>90</v>
      </c>
    </row>
    <row r="142" customFormat="false" ht="15" hidden="false" customHeight="false" outlineLevel="0" collapsed="false">
      <c r="A142" s="0" t="s">
        <v>205</v>
      </c>
      <c r="B142" s="0" t="n">
        <v>3</v>
      </c>
      <c r="C142" s="5" t="n">
        <v>28.63</v>
      </c>
      <c r="D142" s="5" t="n">
        <f aca="false">B142*C142</f>
        <v>85.89</v>
      </c>
    </row>
    <row r="143" customFormat="false" ht="15" hidden="false" customHeight="false" outlineLevel="0" collapsed="false">
      <c r="A143" s="0" t="s">
        <v>207</v>
      </c>
      <c r="B143" s="0" t="n">
        <v>3</v>
      </c>
      <c r="C143" s="5" t="n">
        <v>50</v>
      </c>
      <c r="D143" s="5" t="n">
        <f aca="false">B143*C143</f>
        <v>150</v>
      </c>
    </row>
    <row r="144" customFormat="false" ht="15" hidden="false" customHeight="false" outlineLevel="0" collapsed="false">
      <c r="A144" s="0" t="s">
        <v>207</v>
      </c>
      <c r="B144" s="0" t="n">
        <v>1</v>
      </c>
      <c r="C144" s="5" t="n">
        <v>45</v>
      </c>
      <c r="D144" s="5" t="n">
        <f aca="false">B144*C144</f>
        <v>45</v>
      </c>
    </row>
    <row r="145" customFormat="false" ht="15" hidden="false" customHeight="false" outlineLevel="0" collapsed="false">
      <c r="A145" s="0" t="s">
        <v>457</v>
      </c>
      <c r="B145" s="0" t="n">
        <v>2</v>
      </c>
      <c r="C145" s="5" t="n">
        <v>45</v>
      </c>
      <c r="D145" s="5" t="n">
        <f aca="false">B145*C145</f>
        <v>90</v>
      </c>
    </row>
    <row r="146" customFormat="false" ht="15" hidden="false" customHeight="false" outlineLevel="0" collapsed="false">
      <c r="A146" s="0" t="s">
        <v>457</v>
      </c>
      <c r="B146" s="0" t="n">
        <v>2</v>
      </c>
      <c r="C146" s="5" t="n">
        <v>45</v>
      </c>
      <c r="D146" s="5" t="n">
        <f aca="false">B146*C146</f>
        <v>90</v>
      </c>
    </row>
    <row r="147" customFormat="false" ht="15" hidden="false" customHeight="false" outlineLevel="0" collapsed="false">
      <c r="A147" s="0" t="s">
        <v>457</v>
      </c>
      <c r="B147" s="0" t="n">
        <v>1</v>
      </c>
      <c r="C147" s="5" t="n">
        <v>42.46</v>
      </c>
      <c r="D147" s="5" t="n">
        <f aca="false">B147*C147</f>
        <v>42.46</v>
      </c>
    </row>
    <row r="148" customFormat="false" ht="15" hidden="false" customHeight="false" outlineLevel="0" collapsed="false">
      <c r="A148" s="0" t="s">
        <v>457</v>
      </c>
      <c r="B148" s="0" t="n">
        <v>1</v>
      </c>
      <c r="C148" s="5" t="n">
        <v>42.47</v>
      </c>
      <c r="D148" s="5" t="n">
        <f aca="false">B148*C148</f>
        <v>42.47</v>
      </c>
    </row>
    <row r="149" customFormat="false" ht="15" hidden="false" customHeight="false" outlineLevel="0" collapsed="false">
      <c r="A149" s="0" t="s">
        <v>457</v>
      </c>
      <c r="B149" s="0" t="n">
        <v>1</v>
      </c>
      <c r="C149" s="5" t="n">
        <v>42.7</v>
      </c>
      <c r="D149" s="5" t="n">
        <f aca="false">B149*C149</f>
        <v>42.7</v>
      </c>
    </row>
    <row r="150" customFormat="false" ht="15" hidden="false" customHeight="false" outlineLevel="0" collapsed="false">
      <c r="A150" s="0" t="s">
        <v>458</v>
      </c>
      <c r="B150" s="0" t="n">
        <v>2</v>
      </c>
      <c r="C150" s="5" t="n">
        <v>30</v>
      </c>
      <c r="D150" s="5" t="n">
        <f aca="false">B150*C150</f>
        <v>60</v>
      </c>
    </row>
    <row r="151" customFormat="false" ht="15" hidden="false" customHeight="false" outlineLevel="0" collapsed="false">
      <c r="A151" s="0" t="s">
        <v>458</v>
      </c>
      <c r="B151" s="0" t="n">
        <v>1</v>
      </c>
      <c r="C151" s="5" t="n">
        <v>45</v>
      </c>
      <c r="D151" s="5" t="n">
        <f aca="false">B151*C151</f>
        <v>45</v>
      </c>
    </row>
    <row r="152" customFormat="false" ht="15" hidden="false" customHeight="false" outlineLevel="0" collapsed="false">
      <c r="A152" s="0" t="s">
        <v>459</v>
      </c>
      <c r="B152" s="0" t="n">
        <v>3</v>
      </c>
      <c r="C152" s="5" t="n">
        <v>45</v>
      </c>
      <c r="D152" s="5" t="n">
        <f aca="false">B152*C152</f>
        <v>135</v>
      </c>
    </row>
    <row r="153" customFormat="false" ht="15" hidden="false" customHeight="false" outlineLevel="0" collapsed="false">
      <c r="A153" s="0" t="s">
        <v>459</v>
      </c>
      <c r="B153" s="0" t="n">
        <v>1</v>
      </c>
      <c r="C153" s="5" t="n">
        <v>45</v>
      </c>
      <c r="D153" s="5" t="n">
        <f aca="false">B153*C153</f>
        <v>45</v>
      </c>
    </row>
    <row r="154" customFormat="false" ht="15" hidden="false" customHeight="false" outlineLevel="0" collapsed="false">
      <c r="A154" s="0" t="s">
        <v>209</v>
      </c>
      <c r="B154" s="0" t="n">
        <v>2</v>
      </c>
      <c r="C154" s="5" t="n">
        <v>57.95</v>
      </c>
      <c r="D154" s="5" t="n">
        <f aca="false">B154*C154</f>
        <v>115.9</v>
      </c>
    </row>
    <row r="155" customFormat="false" ht="15" hidden="false" customHeight="false" outlineLevel="0" collapsed="false">
      <c r="A155" s="0" t="s">
        <v>209</v>
      </c>
      <c r="B155" s="0" t="n">
        <v>1</v>
      </c>
      <c r="C155" s="5" t="n">
        <v>45</v>
      </c>
      <c r="D155" s="5" t="n">
        <f aca="false">B155*C155</f>
        <v>45</v>
      </c>
    </row>
    <row r="156" customFormat="false" ht="15" hidden="false" customHeight="false" outlineLevel="0" collapsed="false">
      <c r="A156" s="0" t="s">
        <v>460</v>
      </c>
      <c r="B156" s="0" t="n">
        <v>1</v>
      </c>
      <c r="C156" s="5" t="n">
        <v>45</v>
      </c>
      <c r="D156" s="5" t="n">
        <f aca="false">B156*C156</f>
        <v>45</v>
      </c>
    </row>
    <row r="157" customFormat="false" ht="15" hidden="false" customHeight="false" outlineLevel="0" collapsed="false">
      <c r="A157" s="0" t="s">
        <v>461</v>
      </c>
      <c r="B157" s="0" t="n">
        <v>2</v>
      </c>
      <c r="C157" s="5" t="n">
        <v>45</v>
      </c>
      <c r="D157" s="5" t="n">
        <f aca="false">B157*C157</f>
        <v>90</v>
      </c>
    </row>
    <row r="158" customFormat="false" ht="15" hidden="false" customHeight="false" outlineLevel="0" collapsed="false">
      <c r="A158" s="0" t="s">
        <v>462</v>
      </c>
      <c r="B158" s="0" t="n">
        <v>1</v>
      </c>
      <c r="C158" s="5" t="n">
        <v>45</v>
      </c>
      <c r="D158" s="5" t="n">
        <f aca="false">B158*C158</f>
        <v>45</v>
      </c>
    </row>
    <row r="159" customFormat="false" ht="15" hidden="false" customHeight="false" outlineLevel="0" collapsed="false">
      <c r="A159" s="0" t="s">
        <v>211</v>
      </c>
      <c r="B159" s="0" t="n">
        <v>2</v>
      </c>
      <c r="C159" s="5" t="n">
        <v>50</v>
      </c>
      <c r="D159" s="5" t="n">
        <f aca="false">B159*C159</f>
        <v>100</v>
      </c>
    </row>
    <row r="160" customFormat="false" ht="15" hidden="false" customHeight="false" outlineLevel="0" collapsed="false">
      <c r="A160" s="0" t="s">
        <v>211</v>
      </c>
      <c r="B160" s="0" t="n">
        <v>1</v>
      </c>
      <c r="C160" s="5" t="n">
        <v>45</v>
      </c>
      <c r="D160" s="5" t="n">
        <f aca="false">B160*C160</f>
        <v>45</v>
      </c>
    </row>
    <row r="161" customFormat="false" ht="15" hidden="false" customHeight="false" outlineLevel="0" collapsed="false">
      <c r="A161" s="0" t="s">
        <v>463</v>
      </c>
      <c r="B161" s="0" t="n">
        <v>2</v>
      </c>
      <c r="C161" s="5" t="n">
        <v>33.6</v>
      </c>
      <c r="D161" s="5" t="n">
        <f aca="false">B161*C161</f>
        <v>67.2</v>
      </c>
    </row>
    <row r="162" customFormat="false" ht="15" hidden="false" customHeight="false" outlineLevel="0" collapsed="false">
      <c r="A162" s="0" t="s">
        <v>463</v>
      </c>
      <c r="B162" s="0" t="n">
        <v>1</v>
      </c>
      <c r="C162" s="5" t="n">
        <v>47.2</v>
      </c>
      <c r="D162" s="5" t="n">
        <f aca="false">B162*C162</f>
        <v>47.2</v>
      </c>
    </row>
    <row r="163" customFormat="false" ht="15" hidden="false" customHeight="false" outlineLevel="0" collapsed="false">
      <c r="A163" s="0" t="s">
        <v>464</v>
      </c>
      <c r="B163" s="0" t="n">
        <v>2</v>
      </c>
      <c r="C163" s="5" t="n">
        <v>45</v>
      </c>
      <c r="D163" s="5" t="n">
        <f aca="false">B163*C163</f>
        <v>90</v>
      </c>
    </row>
    <row r="164" customFormat="false" ht="15" hidden="false" customHeight="false" outlineLevel="0" collapsed="false">
      <c r="A164" s="0" t="s">
        <v>465</v>
      </c>
      <c r="B164" s="0" t="n">
        <v>1</v>
      </c>
      <c r="C164" s="5" t="n">
        <v>29.7</v>
      </c>
      <c r="D164" s="5" t="n">
        <f aca="false">B164*C164</f>
        <v>29.7</v>
      </c>
    </row>
    <row r="165" customFormat="false" ht="15" hidden="false" customHeight="false" outlineLevel="0" collapsed="false">
      <c r="A165" s="0" t="s">
        <v>466</v>
      </c>
      <c r="B165" s="0" t="n">
        <v>2</v>
      </c>
      <c r="C165" s="5" t="n">
        <v>45</v>
      </c>
      <c r="D165" s="5" t="n">
        <f aca="false">B165*C165</f>
        <v>90</v>
      </c>
    </row>
    <row r="166" customFormat="false" ht="15" hidden="false" customHeight="false" outlineLevel="0" collapsed="false">
      <c r="A166" s="0" t="s">
        <v>212</v>
      </c>
      <c r="B166" s="0" t="n">
        <v>5</v>
      </c>
      <c r="C166" s="5" t="n">
        <v>48.68</v>
      </c>
      <c r="D166" s="5" t="n">
        <f aca="false">B166*C166</f>
        <v>243.4</v>
      </c>
    </row>
    <row r="167" customFormat="false" ht="15" hidden="false" customHeight="false" outlineLevel="0" collapsed="false">
      <c r="A167" s="0" t="s">
        <v>467</v>
      </c>
      <c r="B167" s="0" t="n">
        <v>2</v>
      </c>
      <c r="C167" s="5" t="n">
        <v>45</v>
      </c>
      <c r="D167" s="5" t="n">
        <f aca="false">B167*C167</f>
        <v>90</v>
      </c>
    </row>
    <row r="168" customFormat="false" ht="15" hidden="false" customHeight="false" outlineLevel="0" collapsed="false">
      <c r="A168" s="0" t="s">
        <v>468</v>
      </c>
      <c r="B168" s="0" t="n">
        <v>1</v>
      </c>
      <c r="C168" s="5" t="n">
        <v>60</v>
      </c>
      <c r="D168" s="5" t="n">
        <f aca="false">B168*C168</f>
        <v>60</v>
      </c>
    </row>
    <row r="169" customFormat="false" ht="15" hidden="false" customHeight="false" outlineLevel="0" collapsed="false">
      <c r="A169" s="0" t="s">
        <v>468</v>
      </c>
      <c r="B169" s="0" t="n">
        <v>1</v>
      </c>
      <c r="C169" s="5" t="n">
        <v>45</v>
      </c>
      <c r="D169" s="5" t="n">
        <f aca="false">B169*C169</f>
        <v>45</v>
      </c>
    </row>
    <row r="170" customFormat="false" ht="15" hidden="false" customHeight="false" outlineLevel="0" collapsed="false">
      <c r="A170" s="0" t="s">
        <v>469</v>
      </c>
      <c r="B170" s="0" t="n">
        <v>1</v>
      </c>
      <c r="C170" s="5" t="n">
        <v>45</v>
      </c>
      <c r="D170" s="5" t="n">
        <f aca="false">B170*C170</f>
        <v>45</v>
      </c>
    </row>
    <row r="171" customFormat="false" ht="15" hidden="false" customHeight="false" outlineLevel="0" collapsed="false">
      <c r="A171" s="0" t="s">
        <v>469</v>
      </c>
      <c r="B171" s="0" t="n">
        <v>2</v>
      </c>
      <c r="C171" s="5" t="n">
        <v>45</v>
      </c>
      <c r="D171" s="5" t="n">
        <f aca="false">B171*C171</f>
        <v>90</v>
      </c>
    </row>
    <row r="172" customFormat="false" ht="15" hidden="false" customHeight="false" outlineLevel="0" collapsed="false">
      <c r="A172" s="0" t="s">
        <v>470</v>
      </c>
      <c r="B172" s="0" t="n">
        <v>2</v>
      </c>
      <c r="C172" s="5" t="n">
        <v>45</v>
      </c>
      <c r="D172" s="5" t="n">
        <f aca="false">B172*C172</f>
        <v>90</v>
      </c>
    </row>
    <row r="173" customFormat="false" ht="15" hidden="false" customHeight="false" outlineLevel="0" collapsed="false">
      <c r="A173" s="0" t="s">
        <v>213</v>
      </c>
      <c r="B173" s="0" t="n">
        <v>2</v>
      </c>
      <c r="C173" s="5" t="n">
        <v>29.2</v>
      </c>
      <c r="D173" s="5" t="n">
        <f aca="false">B173*C173</f>
        <v>58.4</v>
      </c>
    </row>
    <row r="174" customFormat="false" ht="15" hidden="false" customHeight="false" outlineLevel="0" collapsed="false">
      <c r="A174" s="0" t="s">
        <v>214</v>
      </c>
      <c r="B174" s="0" t="n">
        <v>2</v>
      </c>
      <c r="C174" s="5" t="n">
        <v>25.7</v>
      </c>
      <c r="D174" s="5" t="n">
        <f aca="false">B174*C174</f>
        <v>51.4</v>
      </c>
    </row>
    <row r="175" customFormat="false" ht="15" hidden="false" customHeight="false" outlineLevel="0" collapsed="false">
      <c r="A175" s="0" t="s">
        <v>471</v>
      </c>
      <c r="B175" s="0" t="n">
        <v>1</v>
      </c>
      <c r="C175" s="5" t="n">
        <v>45</v>
      </c>
      <c r="D175" s="5" t="n">
        <f aca="false">B175*C175</f>
        <v>45</v>
      </c>
    </row>
    <row r="176" customFormat="false" ht="15" hidden="false" customHeight="false" outlineLevel="0" collapsed="false">
      <c r="A176" s="0" t="s">
        <v>472</v>
      </c>
      <c r="B176" s="0" t="n">
        <v>2</v>
      </c>
      <c r="C176" s="5" t="n">
        <v>30</v>
      </c>
      <c r="D176" s="5" t="n">
        <f aca="false">B176*C176</f>
        <v>60</v>
      </c>
    </row>
    <row r="177" customFormat="false" ht="15" hidden="false" customHeight="false" outlineLevel="0" collapsed="false">
      <c r="A177" s="0" t="s">
        <v>473</v>
      </c>
      <c r="B177" s="0" t="n">
        <v>2</v>
      </c>
      <c r="C177" s="5" t="n">
        <v>45</v>
      </c>
      <c r="D177" s="5" t="n">
        <f aca="false">B177*C177</f>
        <v>90</v>
      </c>
    </row>
    <row r="178" customFormat="false" ht="15" hidden="false" customHeight="false" outlineLevel="0" collapsed="false">
      <c r="A178" s="0" t="s">
        <v>474</v>
      </c>
      <c r="B178" s="0" t="n">
        <v>1</v>
      </c>
      <c r="C178" s="5" t="n">
        <v>60</v>
      </c>
      <c r="D178" s="5" t="n">
        <f aca="false">B178*C178</f>
        <v>60</v>
      </c>
    </row>
    <row r="179" customFormat="false" ht="15" hidden="false" customHeight="false" outlineLevel="0" collapsed="false">
      <c r="A179" s="0" t="s">
        <v>475</v>
      </c>
      <c r="B179" s="0" t="n">
        <v>1</v>
      </c>
      <c r="C179" s="5" t="n">
        <v>45</v>
      </c>
      <c r="D179" s="5" t="n">
        <f aca="false">B179*C179</f>
        <v>45</v>
      </c>
    </row>
    <row r="180" customFormat="false" ht="15" hidden="false" customHeight="false" outlineLevel="0" collapsed="false">
      <c r="A180" s="0" t="s">
        <v>215</v>
      </c>
      <c r="B180" s="0" t="n">
        <v>1</v>
      </c>
      <c r="C180" s="5" t="n">
        <v>52.1</v>
      </c>
      <c r="D180" s="5" t="n">
        <f aca="false">B180*C180</f>
        <v>52.1</v>
      </c>
    </row>
    <row r="181" customFormat="false" ht="15" hidden="false" customHeight="false" outlineLevel="0" collapsed="false">
      <c r="A181" s="0" t="s">
        <v>215</v>
      </c>
      <c r="B181" s="0" t="n">
        <v>3</v>
      </c>
      <c r="C181" s="5" t="n">
        <v>50</v>
      </c>
      <c r="D181" s="5" t="n">
        <f aca="false">B181*C181</f>
        <v>150</v>
      </c>
    </row>
    <row r="182" customFormat="false" ht="15" hidden="false" customHeight="false" outlineLevel="0" collapsed="false">
      <c r="A182" s="0" t="s">
        <v>476</v>
      </c>
      <c r="B182" s="0" t="n">
        <v>2</v>
      </c>
      <c r="C182" s="5" t="n">
        <v>60</v>
      </c>
      <c r="D182" s="5" t="n">
        <f aca="false">B182*C182</f>
        <v>120</v>
      </c>
    </row>
    <row r="183" customFormat="false" ht="15" hidden="false" customHeight="false" outlineLevel="0" collapsed="false">
      <c r="A183" s="0" t="s">
        <v>477</v>
      </c>
      <c r="B183" s="0" t="n">
        <v>2</v>
      </c>
      <c r="C183" s="5" t="n">
        <v>45</v>
      </c>
      <c r="D183" s="5" t="n">
        <f aca="false">B183*C183</f>
        <v>90</v>
      </c>
    </row>
    <row r="184" customFormat="false" ht="15" hidden="false" customHeight="false" outlineLevel="0" collapsed="false">
      <c r="A184" s="0" t="s">
        <v>477</v>
      </c>
      <c r="B184" s="0" t="n">
        <v>2</v>
      </c>
      <c r="C184" s="5" t="n">
        <v>50</v>
      </c>
      <c r="D184" s="5" t="n">
        <f aca="false">B184*C184</f>
        <v>100</v>
      </c>
    </row>
    <row r="185" customFormat="false" ht="15" hidden="false" customHeight="false" outlineLevel="0" collapsed="false">
      <c r="A185" s="0" t="s">
        <v>477</v>
      </c>
      <c r="B185" s="0" t="n">
        <v>3</v>
      </c>
      <c r="C185" s="5" t="n">
        <v>45</v>
      </c>
      <c r="D185" s="5" t="n">
        <f aca="false">B185*C185</f>
        <v>135</v>
      </c>
    </row>
    <row r="186" customFormat="false" ht="15" hidden="false" customHeight="false" outlineLevel="0" collapsed="false">
      <c r="A186" s="0" t="s">
        <v>478</v>
      </c>
      <c r="B186" s="0" t="n">
        <v>1</v>
      </c>
      <c r="C186" s="5" t="n">
        <v>45</v>
      </c>
      <c r="D186" s="5" t="n">
        <f aca="false">B186*C186</f>
        <v>45</v>
      </c>
    </row>
    <row r="187" customFormat="false" ht="15" hidden="false" customHeight="false" outlineLevel="0" collapsed="false">
      <c r="A187" s="0" t="s">
        <v>478</v>
      </c>
      <c r="B187" s="0" t="n">
        <v>5</v>
      </c>
      <c r="C187" s="5" t="n">
        <v>64.72</v>
      </c>
      <c r="D187" s="5" t="n">
        <f aca="false">B187*C187</f>
        <v>323.6</v>
      </c>
    </row>
    <row r="188" customFormat="false" ht="15" hidden="false" customHeight="false" outlineLevel="0" collapsed="false">
      <c r="A188" s="0" t="s">
        <v>216</v>
      </c>
      <c r="B188" s="0" t="n">
        <v>2</v>
      </c>
      <c r="C188" s="5" t="n">
        <v>40</v>
      </c>
      <c r="D188" s="5" t="n">
        <f aca="false">B188*C188</f>
        <v>80</v>
      </c>
    </row>
    <row r="189" customFormat="false" ht="15" hidden="false" customHeight="false" outlineLevel="0" collapsed="false">
      <c r="A189" s="0" t="s">
        <v>216</v>
      </c>
      <c r="B189" s="0" t="n">
        <v>1</v>
      </c>
      <c r="C189" s="5" t="n">
        <v>45</v>
      </c>
      <c r="D189" s="5" t="n">
        <f aca="false">B189*C189</f>
        <v>45</v>
      </c>
    </row>
    <row r="190" customFormat="false" ht="15" hidden="false" customHeight="false" outlineLevel="0" collapsed="false">
      <c r="A190" s="0" t="s">
        <v>216</v>
      </c>
      <c r="B190" s="0" t="n">
        <v>1</v>
      </c>
      <c r="C190" s="5" t="n">
        <v>45</v>
      </c>
      <c r="D190" s="5" t="n">
        <f aca="false">B190*C190</f>
        <v>45</v>
      </c>
    </row>
    <row r="191" customFormat="false" ht="15" hidden="false" customHeight="false" outlineLevel="0" collapsed="false">
      <c r="A191" s="0" t="s">
        <v>216</v>
      </c>
      <c r="B191" s="0" t="n">
        <v>2</v>
      </c>
      <c r="C191" s="5" t="n">
        <v>66.8</v>
      </c>
      <c r="D191" s="5" t="n">
        <f aca="false">B191*C191</f>
        <v>133.6</v>
      </c>
    </row>
    <row r="192" customFormat="false" ht="15" hidden="false" customHeight="false" outlineLevel="0" collapsed="false">
      <c r="A192" s="0" t="s">
        <v>216</v>
      </c>
      <c r="B192" s="0" t="n">
        <v>1</v>
      </c>
      <c r="C192" s="5" t="n">
        <v>45</v>
      </c>
      <c r="D192" s="5" t="n">
        <f aca="false">B192*C192</f>
        <v>45</v>
      </c>
    </row>
    <row r="193" customFormat="false" ht="15" hidden="false" customHeight="false" outlineLevel="0" collapsed="false">
      <c r="A193" s="0" t="s">
        <v>216</v>
      </c>
      <c r="B193" s="0" t="n">
        <v>2</v>
      </c>
      <c r="C193" s="5" t="n">
        <v>45</v>
      </c>
      <c r="D193" s="5" t="n">
        <f aca="false">B193*C193</f>
        <v>90</v>
      </c>
    </row>
    <row r="194" customFormat="false" ht="15" hidden="false" customHeight="false" outlineLevel="0" collapsed="false">
      <c r="A194" s="0" t="s">
        <v>479</v>
      </c>
      <c r="B194" s="0" t="n">
        <v>2</v>
      </c>
      <c r="C194" s="5" t="n">
        <v>25</v>
      </c>
      <c r="D194" s="5" t="n">
        <f aca="false">B194*C194</f>
        <v>50</v>
      </c>
    </row>
    <row r="195" customFormat="false" ht="15" hidden="false" customHeight="false" outlineLevel="0" collapsed="false">
      <c r="A195" s="0" t="s">
        <v>480</v>
      </c>
      <c r="B195" s="0" t="n">
        <v>2</v>
      </c>
      <c r="C195" s="5" t="n">
        <v>30</v>
      </c>
      <c r="D195" s="5" t="n">
        <f aca="false">B195*C195</f>
        <v>60</v>
      </c>
    </row>
    <row r="196" customFormat="false" ht="15" hidden="false" customHeight="false" outlineLevel="0" collapsed="false">
      <c r="A196" s="0" t="s">
        <v>480</v>
      </c>
      <c r="B196" s="0" t="n">
        <v>2</v>
      </c>
      <c r="C196" s="5" t="n">
        <v>50</v>
      </c>
      <c r="D196" s="5" t="n">
        <f aca="false">B196*C196</f>
        <v>100</v>
      </c>
    </row>
    <row r="197" customFormat="false" ht="15" hidden="false" customHeight="false" outlineLevel="0" collapsed="false">
      <c r="A197" s="0" t="s">
        <v>480</v>
      </c>
      <c r="B197" s="0" t="n">
        <v>3</v>
      </c>
      <c r="C197" s="5" t="n">
        <v>45</v>
      </c>
      <c r="D197" s="5" t="n">
        <f aca="false">B197*C197</f>
        <v>135</v>
      </c>
    </row>
    <row r="198" customFormat="false" ht="15" hidden="false" customHeight="false" outlineLevel="0" collapsed="false">
      <c r="A198" s="0" t="s">
        <v>481</v>
      </c>
      <c r="B198" s="0" t="n">
        <v>2</v>
      </c>
      <c r="C198" s="5" t="n">
        <v>50</v>
      </c>
      <c r="D198" s="5" t="n">
        <f aca="false">B198*C198</f>
        <v>100</v>
      </c>
    </row>
    <row r="199" customFormat="false" ht="15" hidden="false" customHeight="false" outlineLevel="0" collapsed="false">
      <c r="A199" s="0" t="s">
        <v>481</v>
      </c>
      <c r="B199" s="0" t="n">
        <v>2</v>
      </c>
      <c r="C199" s="5" t="n">
        <v>45</v>
      </c>
      <c r="D199" s="5" t="n">
        <f aca="false">B199*C199</f>
        <v>90</v>
      </c>
    </row>
    <row r="200" customFormat="false" ht="15" hidden="false" customHeight="false" outlineLevel="0" collapsed="false">
      <c r="A200" s="0" t="s">
        <v>482</v>
      </c>
      <c r="B200" s="0" t="n">
        <v>2</v>
      </c>
      <c r="C200" s="5" t="n">
        <v>45</v>
      </c>
      <c r="D200" s="5" t="n">
        <f aca="false">B200*C200</f>
        <v>90</v>
      </c>
    </row>
    <row r="201" customFormat="false" ht="15" hidden="false" customHeight="false" outlineLevel="0" collapsed="false">
      <c r="A201" s="0" t="s">
        <v>483</v>
      </c>
      <c r="B201" s="0" t="n">
        <v>2</v>
      </c>
      <c r="C201" s="5" t="n">
        <v>45</v>
      </c>
      <c r="D201" s="5" t="n">
        <f aca="false">B201*C201</f>
        <v>90</v>
      </c>
    </row>
    <row r="202" customFormat="false" ht="15" hidden="false" customHeight="false" outlineLevel="0" collapsed="false">
      <c r="A202" s="0" t="s">
        <v>483</v>
      </c>
      <c r="B202" s="0" t="n">
        <v>2</v>
      </c>
      <c r="C202" s="5" t="n">
        <v>45</v>
      </c>
      <c r="D202" s="5" t="n">
        <f aca="false">B202*C202</f>
        <v>90</v>
      </c>
    </row>
    <row r="203" customFormat="false" ht="15" hidden="false" customHeight="false" outlineLevel="0" collapsed="false">
      <c r="A203" s="0" t="s">
        <v>484</v>
      </c>
      <c r="B203" s="0" t="n">
        <v>1</v>
      </c>
      <c r="C203" s="5" t="n">
        <v>45</v>
      </c>
      <c r="D203" s="5" t="n">
        <f aca="false">B203*C203</f>
        <v>45</v>
      </c>
    </row>
    <row r="204" customFormat="false" ht="15" hidden="false" customHeight="false" outlineLevel="0" collapsed="false">
      <c r="A204" s="0" t="s">
        <v>485</v>
      </c>
      <c r="B204" s="0" t="n">
        <v>2</v>
      </c>
      <c r="C204" s="5" t="n">
        <v>45</v>
      </c>
      <c r="D204" s="5" t="n">
        <f aca="false">B204*C204</f>
        <v>90</v>
      </c>
    </row>
    <row r="205" customFormat="false" ht="15" hidden="false" customHeight="false" outlineLevel="0" collapsed="false">
      <c r="A205" s="0" t="s">
        <v>485</v>
      </c>
      <c r="B205" s="0" t="n">
        <v>2</v>
      </c>
      <c r="C205" s="5" t="n">
        <v>60</v>
      </c>
      <c r="D205" s="5" t="n">
        <f aca="false">B205*C205</f>
        <v>120</v>
      </c>
    </row>
    <row r="206" customFormat="false" ht="15" hidden="false" customHeight="false" outlineLevel="0" collapsed="false">
      <c r="A206" s="0" t="s">
        <v>485</v>
      </c>
      <c r="B206" s="0" t="n">
        <v>1</v>
      </c>
      <c r="C206" s="5" t="n">
        <v>45</v>
      </c>
      <c r="D206" s="5" t="n">
        <f aca="false">B206*C206</f>
        <v>45</v>
      </c>
    </row>
    <row r="207" customFormat="false" ht="15" hidden="false" customHeight="false" outlineLevel="0" collapsed="false">
      <c r="A207" s="0" t="s">
        <v>485</v>
      </c>
      <c r="B207" s="0" t="n">
        <v>2</v>
      </c>
      <c r="C207" s="5" t="n">
        <v>60</v>
      </c>
      <c r="D207" s="5" t="n">
        <f aca="false">B207*C207</f>
        <v>120</v>
      </c>
    </row>
    <row r="208" customFormat="false" ht="15" hidden="false" customHeight="false" outlineLevel="0" collapsed="false">
      <c r="A208" s="0" t="s">
        <v>485</v>
      </c>
      <c r="B208" s="0" t="n">
        <v>4</v>
      </c>
      <c r="C208" s="5" t="n">
        <v>60</v>
      </c>
      <c r="D208" s="5" t="n">
        <f aca="false">B208*C208</f>
        <v>240</v>
      </c>
    </row>
    <row r="209" customFormat="false" ht="15" hidden="false" customHeight="false" outlineLevel="0" collapsed="false">
      <c r="A209" s="0" t="s">
        <v>486</v>
      </c>
      <c r="B209" s="0" t="n">
        <v>1</v>
      </c>
      <c r="C209" s="5" t="n">
        <v>45</v>
      </c>
      <c r="D209" s="5" t="n">
        <f aca="false">B209*C209</f>
        <v>45</v>
      </c>
    </row>
    <row r="210" customFormat="false" ht="15" hidden="false" customHeight="false" outlineLevel="0" collapsed="false">
      <c r="A210" s="0" t="s">
        <v>487</v>
      </c>
      <c r="B210" s="0" t="n">
        <v>2</v>
      </c>
      <c r="C210" s="5" t="n">
        <v>45</v>
      </c>
      <c r="D210" s="5" t="n">
        <f aca="false">B210*C210</f>
        <v>90</v>
      </c>
    </row>
    <row r="211" customFormat="false" ht="15" hidden="false" customHeight="false" outlineLevel="0" collapsed="false">
      <c r="A211" s="0" t="s">
        <v>487</v>
      </c>
      <c r="B211" s="0" t="n">
        <v>4</v>
      </c>
      <c r="C211" s="5" t="n">
        <v>45</v>
      </c>
      <c r="D211" s="5" t="n">
        <f aca="false">B211*C211</f>
        <v>180</v>
      </c>
    </row>
    <row r="212" customFormat="false" ht="15" hidden="false" customHeight="false" outlineLevel="0" collapsed="false">
      <c r="A212" s="0" t="s">
        <v>488</v>
      </c>
      <c r="B212" s="0" t="n">
        <v>2</v>
      </c>
      <c r="C212" s="5" t="n">
        <v>45</v>
      </c>
      <c r="D212" s="5" t="n">
        <f aca="false">B212*C212</f>
        <v>90</v>
      </c>
    </row>
    <row r="213" customFormat="false" ht="15" hidden="false" customHeight="false" outlineLevel="0" collapsed="false">
      <c r="A213" s="0" t="s">
        <v>488</v>
      </c>
      <c r="B213" s="0" t="n">
        <v>2</v>
      </c>
      <c r="C213" s="5" t="n">
        <v>45</v>
      </c>
      <c r="D213" s="5" t="n">
        <f aca="false">B213*C213</f>
        <v>90</v>
      </c>
    </row>
    <row r="214" customFormat="false" ht="15" hidden="false" customHeight="false" outlineLevel="0" collapsed="false">
      <c r="A214" s="0" t="s">
        <v>488</v>
      </c>
      <c r="B214" s="0" t="n">
        <v>1</v>
      </c>
      <c r="C214" s="5" t="n">
        <v>45</v>
      </c>
      <c r="D214" s="5" t="n">
        <f aca="false">B214*C214</f>
        <v>45</v>
      </c>
    </row>
    <row r="215" customFormat="false" ht="15" hidden="false" customHeight="false" outlineLevel="0" collapsed="false">
      <c r="A215" s="0" t="s">
        <v>218</v>
      </c>
      <c r="B215" s="0" t="n">
        <v>2</v>
      </c>
      <c r="C215" s="5" t="n">
        <v>50</v>
      </c>
      <c r="D215" s="5" t="n">
        <f aca="false">B215*C215</f>
        <v>100</v>
      </c>
    </row>
    <row r="216" customFormat="false" ht="15" hidden="false" customHeight="false" outlineLevel="0" collapsed="false">
      <c r="A216" s="0" t="s">
        <v>218</v>
      </c>
      <c r="B216" s="0" t="n">
        <v>1</v>
      </c>
      <c r="C216" s="5" t="n">
        <v>37.2</v>
      </c>
      <c r="D216" s="5" t="n">
        <f aca="false">B216*C216</f>
        <v>37.2</v>
      </c>
    </row>
    <row r="217" customFormat="false" ht="15" hidden="false" customHeight="false" outlineLevel="0" collapsed="false">
      <c r="A217" s="0" t="s">
        <v>218</v>
      </c>
      <c r="B217" s="0" t="n">
        <v>2</v>
      </c>
      <c r="C217" s="5" t="n">
        <v>40</v>
      </c>
      <c r="D217" s="5" t="n">
        <f aca="false">B217*C217</f>
        <v>80</v>
      </c>
    </row>
    <row r="218" customFormat="false" ht="15" hidden="false" customHeight="false" outlineLevel="0" collapsed="false">
      <c r="A218" s="0" t="s">
        <v>489</v>
      </c>
      <c r="B218" s="0" t="n">
        <v>1</v>
      </c>
      <c r="C218" s="5" t="n">
        <v>45</v>
      </c>
      <c r="D218" s="5" t="n">
        <f aca="false">B218*C218</f>
        <v>45</v>
      </c>
    </row>
    <row r="219" customFormat="false" ht="15" hidden="false" customHeight="false" outlineLevel="0" collapsed="false">
      <c r="A219" s="0" t="s">
        <v>490</v>
      </c>
      <c r="B219" s="0" t="n">
        <v>2</v>
      </c>
      <c r="C219" s="5" t="n">
        <v>45</v>
      </c>
      <c r="D219" s="5" t="n">
        <f aca="false">B219*C219</f>
        <v>90</v>
      </c>
    </row>
    <row r="220" customFormat="false" ht="15" hidden="false" customHeight="false" outlineLevel="0" collapsed="false">
      <c r="A220" s="0" t="s">
        <v>491</v>
      </c>
      <c r="B220" s="0" t="n">
        <v>1</v>
      </c>
      <c r="C220" s="5" t="n">
        <v>30</v>
      </c>
      <c r="D220" s="5" t="n">
        <f aca="false">B220*C220</f>
        <v>30</v>
      </c>
    </row>
    <row r="221" customFormat="false" ht="15" hidden="false" customHeight="false" outlineLevel="0" collapsed="false">
      <c r="A221" s="0" t="s">
        <v>492</v>
      </c>
      <c r="B221" s="0" t="n">
        <v>1</v>
      </c>
      <c r="C221" s="5" t="n">
        <v>45</v>
      </c>
      <c r="D221" s="5" t="n">
        <f aca="false">B221*C221</f>
        <v>45</v>
      </c>
    </row>
    <row r="222" customFormat="false" ht="15" hidden="false" customHeight="false" outlineLevel="0" collapsed="false">
      <c r="A222" s="0" t="s">
        <v>493</v>
      </c>
      <c r="B222" s="0" t="n">
        <v>2</v>
      </c>
      <c r="C222" s="5" t="n">
        <v>39.07</v>
      </c>
      <c r="D222" s="5" t="n">
        <f aca="false">B222*C222</f>
        <v>78.14</v>
      </c>
    </row>
    <row r="223" customFormat="false" ht="15" hidden="false" customHeight="false" outlineLevel="0" collapsed="false">
      <c r="A223" s="0" t="s">
        <v>494</v>
      </c>
      <c r="B223" s="0" t="n">
        <v>2</v>
      </c>
      <c r="C223" s="5" t="n">
        <v>45</v>
      </c>
      <c r="D223" s="5" t="n">
        <f aca="false">B223*C223</f>
        <v>90</v>
      </c>
    </row>
    <row r="224" customFormat="false" ht="15" hidden="false" customHeight="false" outlineLevel="0" collapsed="false">
      <c r="A224" s="0" t="s">
        <v>495</v>
      </c>
      <c r="B224" s="0" t="n">
        <v>2</v>
      </c>
      <c r="C224" s="5" t="n">
        <v>45</v>
      </c>
      <c r="D224" s="5" t="n">
        <f aca="false">B224*C224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3" customFormat="false" ht="15" hidden="false" customHeight="false" outlineLevel="0" collapsed="false">
      <c r="A3" s="0" t="s">
        <v>288</v>
      </c>
      <c r="B3" s="13" t="n">
        <f aca="false">SUM('Src-B3-DemiLune'!$B$3:$B$224)</f>
        <v>382</v>
      </c>
    </row>
    <row r="4" customFormat="false" ht="15" hidden="false" customHeight="false" outlineLevel="0" collapsed="false">
      <c r="A4" s="0" t="s">
        <v>289</v>
      </c>
      <c r="B4" s="5" t="n">
        <v>45</v>
      </c>
    </row>
    <row r="5" customFormat="false" ht="15" hidden="false" customHeight="false" outlineLevel="0" collapsed="false">
      <c r="A5" s="0" t="s">
        <v>290</v>
      </c>
      <c r="B5" s="13" t="n">
        <f aca="false">SUMIF('Src-B3-DemiLune'!$C$3:$C$224,45,'Src-B3-DemiLune'!$B$3:$B$224)</f>
        <v>235</v>
      </c>
    </row>
    <row r="6" customFormat="false" ht="15" hidden="false" customHeight="false" outlineLevel="0" collapsed="false">
      <c r="A6" s="0" t="s">
        <v>291</v>
      </c>
      <c r="B6" s="0" t="n">
        <f aca="false">COUNTIF('Src-B3-DemiLune'!$C$3:$C$224,45)</f>
        <v>144</v>
      </c>
    </row>
    <row r="7" customFormat="false" ht="15" hidden="false" customHeight="false" outlineLevel="0" collapsed="false">
      <c r="A7" s="0" t="s">
        <v>292</v>
      </c>
      <c r="B7" s="13" t="n">
        <f aca="false">B3-B5</f>
        <v>147</v>
      </c>
    </row>
    <row r="8" customFormat="false" ht="15" hidden="false" customHeight="false" outlineLevel="0" collapsed="false">
      <c r="A8" s="0" t="s">
        <v>293</v>
      </c>
      <c r="B8" s="11" t="n">
        <f aca="false">B7/B3</f>
        <v>0.384816753926702</v>
      </c>
    </row>
    <row r="9" customFormat="false" ht="15" hidden="false" customHeight="false" outlineLevel="0" collapsed="false">
      <c r="A9" s="0" t="s">
        <v>294</v>
      </c>
      <c r="B9" s="5" t="n">
        <f aca="false">_xlfn.MINIFS('Src-B3-DemiLune'!$C$3:$C$224,'Src-B3-DemiLune'!$C$3:$C$224,"&lt;&gt;45")</f>
        <v>13</v>
      </c>
    </row>
    <row r="10" customFormat="false" ht="15" hidden="false" customHeight="false" outlineLevel="0" collapsed="false">
      <c r="A10" s="0" t="s">
        <v>295</v>
      </c>
      <c r="B10" s="5" t="n">
        <f aca="false">_xlfn.MAXIFS('Src-B3-DemiLune'!$C$3:$C$224,'Src-B3-DemiLune'!$C$3:$C$224,"&lt;&gt;45")</f>
        <v>67.25</v>
      </c>
    </row>
    <row r="11" customFormat="false" ht="15" hidden="false" customHeight="false" outlineLevel="0" collapsed="false">
      <c r="A11" s="0" t="s">
        <v>296</v>
      </c>
      <c r="B11" s="0" t="n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" t="s">
        <v>498</v>
      </c>
    </row>
    <row r="2" customFormat="false" ht="15" hidden="false" customHeight="false" outlineLevel="0" collapsed="false">
      <c r="A2" s="2" t="s">
        <v>499</v>
      </c>
    </row>
    <row r="4" customFormat="false" ht="28.35" hidden="false" customHeight="false" outlineLevel="0" collapsed="false">
      <c r="A4" s="4" t="s">
        <v>500</v>
      </c>
      <c r="B4" s="4" t="s">
        <v>501</v>
      </c>
      <c r="C4" s="4" t="s">
        <v>502</v>
      </c>
      <c r="D4" s="4" t="s">
        <v>503</v>
      </c>
      <c r="E4" s="4" t="s">
        <v>504</v>
      </c>
      <c r="F4" s="4" t="s">
        <v>128</v>
      </c>
      <c r="G4" s="4" t="s">
        <v>505</v>
      </c>
    </row>
    <row r="5" customFormat="false" ht="15" hidden="false" customHeight="false" outlineLevel="0" collapsed="false">
      <c r="A5" s="0" t="s">
        <v>506</v>
      </c>
      <c r="B5" s="0" t="n">
        <f aca="false">'Calc-conv-2022-2023'!C20</f>
        <v>16</v>
      </c>
      <c r="C5" s="5" t="n">
        <f aca="false">'Calc-conv-2022-2023'!D23</f>
        <v>102</v>
      </c>
      <c r="D5" s="5" t="n">
        <f aca="false">'Calc-conv-2022-2023'!D20</f>
        <v>1492.8</v>
      </c>
      <c r="E5" s="5" t="n">
        <f aca="false">'Calc-conv-2022-2023'!E20</f>
        <v>1492.8</v>
      </c>
      <c r="F5" s="5" t="n">
        <f aca="false">'Calc-conv-2022-2023'!F20</f>
        <v>0</v>
      </c>
      <c r="G5" s="5" t="n">
        <f aca="false">'Calc-conv-2022-2023'!D22</f>
        <v>39</v>
      </c>
    </row>
    <row r="6" customFormat="false" ht="15" hidden="false" customHeight="false" outlineLevel="0" collapsed="false">
      <c r="A6" s="0" t="s">
        <v>507</v>
      </c>
      <c r="B6" s="0" t="n">
        <f aca="false">'Calc-conv-2023-2024'!C26</f>
        <v>22</v>
      </c>
      <c r="C6" s="5" t="n">
        <f aca="false">'Calc-conv-2023-2024'!D29</f>
        <v>172</v>
      </c>
      <c r="D6" s="5" t="n">
        <f aca="false">'Calc-conv-2023-2024'!D26</f>
        <v>2651</v>
      </c>
      <c r="E6" s="5" t="n">
        <f aca="false">'Calc-conv-2023-2024'!E26</f>
        <v>2651</v>
      </c>
      <c r="F6" s="5" t="n">
        <f aca="false">'Calc-conv-2023-2024'!F26</f>
        <v>0</v>
      </c>
      <c r="G6" s="5" t="n">
        <f aca="false">'Calc-conv-2023-2024'!D28</f>
        <v>61</v>
      </c>
    </row>
    <row r="7" customFormat="false" ht="15" hidden="false" customHeight="false" outlineLevel="0" collapsed="false">
      <c r="A7" s="0" t="s">
        <v>508</v>
      </c>
      <c r="B7" s="0" t="n">
        <f aca="false">'Calc-conv-2024-2025'!C27</f>
        <v>23</v>
      </c>
      <c r="C7" s="5" t="n">
        <f aca="false">'Calc-conv-2024-2025'!D30</f>
        <v>147</v>
      </c>
      <c r="D7" s="5" t="n">
        <f aca="false">'Calc-conv-2024-2025'!D27</f>
        <v>2584.7</v>
      </c>
      <c r="E7" s="5" t="n">
        <f aca="false">'Calc-conv-2024-2025'!E27</f>
        <v>2584.69</v>
      </c>
      <c r="F7" s="5" t="n">
        <f aca="false">'Calc-conv-2024-2025'!F27</f>
        <v>-0.00999999999999091</v>
      </c>
      <c r="G7" s="5" t="n">
        <f aca="false">'Calc-conv-2024-2025'!D29</f>
        <v>51</v>
      </c>
    </row>
    <row r="8" customFormat="false" ht="15" hidden="false" customHeight="false" outlineLevel="0" collapsed="false">
      <c r="A8" s="9" t="s">
        <v>84</v>
      </c>
      <c r="B8" s="9" t="n">
        <f aca="false">SUM(B5:B7)</f>
        <v>61</v>
      </c>
      <c r="C8" s="9" t="n">
        <f aca="false">SUM(C5:C7)</f>
        <v>421</v>
      </c>
      <c r="D8" s="10" t="n">
        <f aca="false">SUM(D5:D7)</f>
        <v>6728.5</v>
      </c>
      <c r="E8" s="10" t="n">
        <f aca="false">SUM(E5:E7)</f>
        <v>6728.49</v>
      </c>
      <c r="F8" s="10" t="n">
        <f aca="false">SUM(F5:F7)</f>
        <v>-0.00999999999999091</v>
      </c>
      <c r="G8" s="9" t="n">
        <f aca="false">SUM(G5:G7)</f>
        <v>151</v>
      </c>
    </row>
    <row r="10" customFormat="false" ht="15" hidden="false" customHeight="false" outlineLevel="0" collapsed="false">
      <c r="A10" s="3" t="s">
        <v>509</v>
      </c>
    </row>
    <row r="11" customFormat="false" ht="28.35" hidden="false" customHeight="false" outlineLevel="0" collapsed="false">
      <c r="A11" s="4" t="s">
        <v>500</v>
      </c>
      <c r="B11" s="4" t="s">
        <v>510</v>
      </c>
      <c r="C11" s="4" t="s">
        <v>511</v>
      </c>
      <c r="D11" s="4" t="s">
        <v>512</v>
      </c>
      <c r="E11" s="4" t="s">
        <v>513</v>
      </c>
      <c r="F11" s="4" t="s">
        <v>514</v>
      </c>
    </row>
    <row r="12" customFormat="false" ht="15" hidden="false" customHeight="false" outlineLevel="0" collapsed="false">
      <c r="A12" s="0" t="s">
        <v>506</v>
      </c>
      <c r="B12" s="5" t="n">
        <f aca="false">'Calc-prix-2022-2023'!B4</f>
        <v>45</v>
      </c>
      <c r="C12" s="13" t="n">
        <f aca="false">'Calc-prix-2022-2023'!B5</f>
        <v>92.5</v>
      </c>
      <c r="D12" s="5" t="n">
        <f aca="false">'Calc-prix-2022-2023'!B7</f>
        <v>64</v>
      </c>
      <c r="E12" s="5" t="n">
        <f aca="false">'Calc-conv-2022-2023'!D22</f>
        <v>39</v>
      </c>
      <c r="F12" s="5" t="n">
        <f aca="false">E12/D12</f>
        <v>0.609375</v>
      </c>
    </row>
    <row r="13" customFormat="false" ht="15" hidden="false" customHeight="false" outlineLevel="0" collapsed="false">
      <c r="A13" s="0" t="s">
        <v>507</v>
      </c>
      <c r="B13" s="5" t="n">
        <f aca="false">'Calc-prix-2023-2024'!B4</f>
        <v>45</v>
      </c>
      <c r="C13" s="13" t="n">
        <f aca="false">'Calc-prix-2023-2024'!B5</f>
        <v>192.84</v>
      </c>
      <c r="D13" s="5" t="n">
        <f aca="false">'Calc-prix-2023-2024'!B7</f>
        <v>123</v>
      </c>
      <c r="E13" s="5" t="n">
        <f aca="false">'Calc-conv-2023-2024'!D28</f>
        <v>61</v>
      </c>
      <c r="F13" s="5" t="n">
        <f aca="false">E13/D13</f>
        <v>0.495934959349594</v>
      </c>
    </row>
    <row r="14" customFormat="false" ht="15" hidden="false" customHeight="false" outlineLevel="0" collapsed="false">
      <c r="A14" s="0" t="s">
        <v>508</v>
      </c>
      <c r="B14" s="5" t="n">
        <f aca="false">'Calc-prix-2024-2025'!B4</f>
        <v>45</v>
      </c>
      <c r="C14" s="13" t="n">
        <f aca="false">'Calc-prix-2024-2025'!B5</f>
        <v>235</v>
      </c>
      <c r="D14" s="5" t="n">
        <f aca="false">'Calc-prix-2024-2025'!B7</f>
        <v>147</v>
      </c>
      <c r="E14" s="5" t="n">
        <f aca="false">'Calc-conv-2024-2025'!D29</f>
        <v>51</v>
      </c>
      <c r="F14" s="5" t="n">
        <f aca="false">E14/D14</f>
        <v>0.346938775510204</v>
      </c>
    </row>
    <row r="15" customFormat="false" ht="15" hidden="false" customHeight="false" outlineLevel="0" collapsed="false">
      <c r="A15" s="9" t="s">
        <v>84</v>
      </c>
      <c r="B15" s="9" t="s">
        <v>515</v>
      </c>
      <c r="C15" s="9" t="n">
        <f aca="false">SUM(C12:C14)</f>
        <v>520.34</v>
      </c>
      <c r="D15" s="10" t="n">
        <f aca="false">SUM(D12:D14)</f>
        <v>334</v>
      </c>
      <c r="E15" s="10" t="n">
        <f aca="false">SUM(E12:E14)</f>
        <v>151</v>
      </c>
      <c r="F15" s="10" t="n">
        <f aca="false">E15/D15</f>
        <v>0.452095808383234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2026-10-25T21:23:14Z</dcterms:created>
  <dc:creator>openpyxl</dc:creator>
  <dc:description/>
  <dc:language>en-US</dc:language>
  <cp:lastModifiedBy/>
  <dcterms:modified xsi:type="dcterms:W3CDTF">2026-10-25T21:24:44Z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