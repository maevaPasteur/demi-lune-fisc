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éférences" sheetId="1" state="visible" r:id="rId3"/>
    <sheet name="Sources" sheetId="2" state="visible" r:id="rId4"/>
    <sheet name="Fourchette" sheetId="3" state="visible" r:id="rId5"/>
    <sheet name="Métho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<sst xmlns="http://schemas.openxmlformats.org/spreadsheetml/2006/main" count="125" uniqueCount="116">
  <si>
    <t xml:space="preserve">RÉFÉRENCES — études publiées et vérifiables sur le sur-versement au verre</t>
  </si>
  <si>
    <t xml:space="preserve">Étude (auteurs, année)</t>
  </si>
  <si>
    <t xml:space="preserve">Publication</t>
  </si>
  <si>
    <t xml:space="preserve">Ce qui est mesuré</t>
  </si>
  <si>
    <t xml:space="preserve">Chiffre publié exact</t>
  </si>
  <si>
    <t xml:space="preserve">URL (texte intégral)</t>
  </si>
  <si>
    <t xml:space="preserve">Kerr WC, Patterson D, Koenen MA, Greenfield TK (2008)</t>
  </si>
  <si>
    <t xml:space="preserve">Alcoholism: Clinical and Experimental Research, 32(9), p. 1623-1629</t>
  </si>
  <si>
    <t xml:space="preserve">Volume de 131 verres de vin servis, mesuré au cylindre gradué dans 80 bars et restaurants du nord de la Californie (480 boissons mesurées au total)</t>
  </si>
  <si>
    <t xml:space="preserve">Verre de vin : 6,18 oz en moyenne (= 18,28 cl), IC 95 % 5,95 à 6,41 oz (= 17,60 à 18,96 cl) ; ABV moyen 13,99 %</t>
  </si>
  <si>
    <t xml:space="preserve">https://pmc.ncbi.nlm.nih.gov/articles/PMC2574782/</t>
  </si>
  <si>
    <t xml:space="preserve">Kerr WC et coll. (2008), même étude</t>
  </si>
  <si>
    <t xml:space="preserve">idem, Table 2</t>
  </si>
  <si>
    <t xml:space="preserve">Alcool (éthanol) contenu dans 227 cocktails (mixed drinks) réellement commandés et mesurés</t>
  </si>
  <si>
    <t xml:space="preserve">0,85 oz d'éthanol par cocktail, IC 95 % 0,79 à 0,90 oz, pour une référence de 0,60 oz</t>
  </si>
  <si>
    <t xml:space="preserve">Volume de 61 doses de spiritueux servies sèches (shots)</t>
  </si>
  <si>
    <t xml:space="preserve">1,51 oz en moyenne, IC 95 % 1,32 à 1,70 oz, pour une référence de 1,50 oz (« the only drink subtype to conform to the standard pour »)</t>
  </si>
  <si>
    <t xml:space="preserve">Wansink B, van Ittersum K (2005)</t>
  </si>
  <si>
    <t xml:space="preserve">BMJ, 331(7531), p. 1512-1514</t>
  </si>
  <si>
    <t xml:space="preserve">Volume versé par 86 barmen professionnels (6,3 ans d'expérience) à qui il est demandé de verser une dose de 44,3 ml (1,5 oz)</t>
  </si>
  <si>
    <t xml:space="preserve">54,6 ml versés dans le verre bas et large (+ 23,3 %) ; 46,4 ml dans le verre haut et étroit (+ 4,7 %)</t>
  </si>
  <si>
    <t xml:space="preserve">https://pmc.ncbi.nlm.nih.gov/articles/PMC1322248/</t>
  </si>
  <si>
    <t xml:space="preserve">Boniface S, Kneale J, Shelton N (2013)</t>
  </si>
  <si>
    <t xml:space="preserve">Alcoholism: Clinical and Experimental Research, 37(6), p. 978-983</t>
  </si>
  <si>
    <t xml:space="preserve">Nombre d'unités d'alcool dans le « verre habituel » de vin auto-servi, Angleterre (n = 264)</t>
  </si>
  <si>
    <t xml:space="preserve">1,90 unité britannique en moyenne (SD 0,80), là où un verre nominal de 125 ml à 12 % pèse environ 1,5 unité : sur-service confirmé</t>
  </si>
  <si>
    <t xml:space="preserve">https://doi.org/10.1111/acer.12046</t>
  </si>
  <si>
    <t xml:space="preserve">Conversion utilisée : 1 oz = 29,5735 ml = 2,95735 cl. Dose de la carte La Demi-Lune : 15 cl le verre de vin. Référence « standard drink » US : 0,60 oz d'éthanol ; verre de vin de référence 5 oz (148 ml) à 12 % ABV (définitions citées par Kerr 2008).</t>
  </si>
  <si>
    <t xml:space="preserve">SOURCES — taux documentés (bornes publiées) et volumes versés à la main</t>
  </si>
  <si>
    <t xml:space="preserve">1. Volumes versés à la main par exercice (L) — repris de R2-sur-versement-chiffrage.xlsx / R1-sur-versement-fourchette.xlsx</t>
  </si>
  <si>
    <t xml:space="preserve">Exercice</t>
  </si>
  <si>
    <t xml:space="preserve">Vin au verre (L)</t>
  </si>
  <si>
    <t xml:space="preserve">Cocktails alcool (L)</t>
  </si>
  <si>
    <t xml:space="preserve">Spiritueux verre (L)</t>
  </si>
  <si>
    <t xml:space="preserve">2022-2023</t>
  </si>
  <si>
    <t xml:space="preserve">2023-2024</t>
  </si>
  <si>
    <t xml:space="preserve">2024-2025</t>
  </si>
  <si>
    <t xml:space="preserve">TOTAL</t>
  </si>
  <si>
    <t xml:space="preserve">2. Taux de service : bornes publiées (Kerr 2008, Table 2) — valeur centrale = moyenne mesurée</t>
  </si>
  <si>
    <t xml:space="preserve">Poste</t>
  </si>
  <si>
    <t xml:space="preserve">Borne basse</t>
  </si>
  <si>
    <t xml:space="preserve">Valeur centrale (retenue)</t>
  </si>
  <si>
    <t xml:space="preserve">Borne haute</t>
  </si>
  <si>
    <t xml:space="preserve">Base de la borne</t>
  </si>
  <si>
    <t xml:space="preserve">Vin au verre : volume servi (cl)</t>
  </si>
  <si>
    <t xml:space="preserve">IC 95 % de Kerr : 5,95 / 6,18 / 6,41 oz × 2,95735 (arrondi 0,01 cl)</t>
  </si>
  <si>
    <t xml:space="preserve">Vin : dose de la carte (cl)</t>
  </si>
  <si>
    <t xml:space="preserve">Carte La Demi-Lune (proposition 18/05/2026)</t>
  </si>
  <si>
    <t xml:space="preserve">Cocktails : éthanol mesuré (oz)</t>
  </si>
  <si>
    <t xml:space="preserve">IC 95 % de l'éthanol des mixed drinks (Kerr)</t>
  </si>
  <si>
    <t xml:space="preserve">Cocktails : éthanol de référence (oz)</t>
  </si>
  <si>
    <t xml:space="preserve">Standard drink US</t>
  </si>
  <si>
    <t xml:space="preserve">Spiritueux secs : dose mesurée (oz)</t>
  </si>
  <si>
    <t xml:space="preserve">IC 95 % des 61 shots (Kerr)</t>
  </si>
  <si>
    <t xml:space="preserve">Spiritueux : dose de référence (oz)</t>
  </si>
  <si>
    <t xml:space="preserve">Standard shot US</t>
  </si>
  <si>
    <t xml:space="preserve">3. Taux de sur-versement = dépassement de la dose de référence (formule)</t>
  </si>
  <si>
    <t xml:space="preserve">Taux bas</t>
  </si>
  <si>
    <t xml:space="preserve">Taux central (retenu)</t>
  </si>
  <si>
    <t xml:space="preserve">Taux haut</t>
  </si>
  <si>
    <t xml:space="preserve">Formule du taux central</t>
  </si>
  <si>
    <t xml:space="preserve">Vin au verre</t>
  </si>
  <si>
    <t xml:space="preserve">18,28 cl / 15 cl − 1</t>
  </si>
  <si>
    <t xml:space="preserve">Cocktails</t>
  </si>
  <si>
    <t xml:space="preserve">0,85 oz / 0,60 oz − 1</t>
  </si>
  <si>
    <t xml:space="preserve">Spiritueux secs</t>
  </si>
  <si>
    <t xml:space="preserve">1,51 oz / 1,50 oz − 1 ; borne basse plancher 0 (l'IC franchit 0)</t>
  </si>
  <si>
    <t xml:space="preserve">FOURCHETTE — sur-versement encadré par les bornes publiées, par exercice (L)</t>
  </si>
  <si>
    <t xml:space="preserve">Sur-versement = volume versé à la main × taux. Bornes basse/haute = IC 95 % de Kerr ; central = moyenne mesurée (= demande retenue).</t>
  </si>
  <si>
    <t xml:space="preserve">Vin bas</t>
  </si>
  <si>
    <t xml:space="preserve">Vin central</t>
  </si>
  <si>
    <t xml:space="preserve">Vin haut</t>
  </si>
  <si>
    <t xml:space="preserve">Cocktails bas</t>
  </si>
  <si>
    <t xml:space="preserve">Cockt. central</t>
  </si>
  <si>
    <t xml:space="preserve">Cockt. haut</t>
  </si>
  <si>
    <t xml:space="preserve">Total bas</t>
  </si>
  <si>
    <t xml:space="preserve">Total central</t>
  </si>
  <si>
    <t xml:space="preserve">Total haut</t>
  </si>
  <si>
    <t xml:space="preserve">TOTAL 3 ex.</t>
  </si>
  <si>
    <t xml:space="preserve">SYNTHÈSE — position de la demande retenue dans la fourchette officielle</t>
  </si>
  <si>
    <t xml:space="preserve">Fourchette totale basse (L)</t>
  </si>
  <si>
    <t xml:space="preserve">Demande retenue = centrale (L)</t>
  </si>
  <si>
    <t xml:space="preserve">Fourchette totale haute (L)</t>
  </si>
  <si>
    <t xml:space="preserve">Milieu de la fourchette (L)</t>
  </si>
  <si>
    <t xml:space="preserve">Position de la demande dans la fourchette (0 % = bas, 100 % = haut)</t>
  </si>
  <si>
    <t xml:space="preserve">Écart demande / milieu de fourchette</t>
  </si>
  <si>
    <t xml:space="preserve">VERRE DE VIN — position du volume retenu dans l'IC 95 % de Kerr</t>
  </si>
  <si>
    <t xml:space="preserve">Borne basse IC 95 % (cl)</t>
  </si>
  <si>
    <t xml:space="preserve">Volume retenu = moyenne mesurée (cl)</t>
  </si>
  <si>
    <t xml:space="preserve">Borne haute IC 95 % (cl)</t>
  </si>
  <si>
    <t xml:space="preserve">Position du verre retenu dans l'IC (0 % = bas, 100 % = haut)</t>
  </si>
  <si>
    <t xml:space="preserve">Dose de la carte (cl)</t>
  </si>
  <si>
    <t xml:space="preserve">MÉTHODE — fourchette officielle du sur-versement au verre</t>
  </si>
  <si>
    <t xml:space="preserve">OBJET : montrer que la demande retenue (460,6 L sur 3 exercices) n'est pas une estimation opportuniste mais la</t>
  </si>
  <si>
    <t xml:space="preserve">valeur CENTRALE de ce que la littérature publiée a mesuré. Chaque borne vient d'un intervalle de confiance publié.</t>
  </si>
  <si>
    <t xml:space="preserve">1. Bornes (onglet Sources, bloc 2). Toutes tirées de Kerr et coll. 2008, Table 2 (IC 95 %) :</t>
  </si>
  <si>
    <t xml:space="preserve">   • Vin au verre : volume servi mesuré 6,18 oz (central), IC 95 % 5,95 à 6,41 oz, soit 17,60 / 18,28 / 18,96 cl</t>
  </si>
  <si>
    <t xml:space="preserve">     (1 oz = 2,95735 cl, arrondi 0,01 cl). Rapporté à la dose de carte de 15 cl : +17,3 % / +21,9 % / +26,4 %.</t>
  </si>
  <si>
    <t xml:space="preserve">   • Cocktails : éthanol 0,85 oz (central), IC 95 % 0,79 à 0,90 oz, / 0,60 oz de référence : +31,7 % / +41,7 % / +50,0 %.</t>
  </si>
  <si>
    <t xml:space="preserve">   • Spiritueux secs : 1,51 oz (central), IC 95 % 1,32 à 1,70 oz, / 1,50 oz : borne basse négative (plancher 0),</t>
  </si>
  <si>
    <t xml:space="preserve">     central +0,7 %, haut +13,3 %. Poste négligeable.</t>
  </si>
  <si>
    <t xml:space="preserve">2. Fourchette (onglet Fourchette). Sur-versement par poste et par exercice = volume versé à la main × taux.</t>
  </si>
  <si>
    <t xml:space="preserve">   Le volume versé à la main par exercice est repris de R1-sur-versement-fourchette.xlsx (ventes caisse, ANNEXE-C/D).</t>
  </si>
  <si>
    <t xml:space="preserve">   La borne basse du poste spiritueux est plancardée à 0 (un sous-versement n'est pas un sur-versement).</t>
  </si>
  <si>
    <t xml:space="preserve">3. Résultat. Fourchette totale sur 3 exercices : environ 358 L (bas) à 562 L (haut).</t>
  </si>
  <si>
    <t xml:space="preserve">   La demande retenue de 460,6 L est la somme des valeurs CENTRALES : elle tombe à ~50 % de la fourchette,</t>
  </si>
  <si>
    <t xml:space="preserve">   c'est-à-dire au milieu, à moins de 1 L de la médiane arithmétique des deux bornes.</t>
  </si>
  <si>
    <t xml:space="preserve">   Pour le seul verre de vin : volume retenu 18,28 cl = moyenne mesurée = centre exact de l'IC 95 % [17,60 ; 18,96].</t>
  </si>
  <si>
    <t xml:space="preserve">4. Portée et limite. Les bornes proviennent d'études états-uniennes (Kerr : 80 bars de Californie du Nord ;</t>
  </si>
  <si>
    <t xml:space="preserve">   Wansink : 86 barmen) ; aucune dose n'a été relevée à La Demi-Lune. Ces mesures ENCADRENT la pratique et</t>
  </si>
  <si>
    <t xml:space="preserve">   situent le chiffre retenu en son centre : c'est une estimation documentée et centrale, non une borne basse</t>
  </si>
  <si>
    <t xml:space="preserve">   opportuniste ni un maximum. Le stock la plafonne par ailleurs très en deçà de ce qu'il autoriserait.</t>
  </si>
  <si>
    <t xml:space="preserve">5. Corroboration (onglet Références). Wansink &amp; van Ittersum 2005 (BMJ) : des barmen professionnels versent</t>
  </si>
  <si>
    <t xml:space="preserve">   de +4,7 % à +23,3 % au-dessus de la dose demandée selon la forme du verre — le sur-versement libre est un</t>
  </si>
  <si>
    <t xml:space="preserve">   fait mesuré, pas une hypothèse. Boniface et coll. 2013 : le verre de vin auto-servi en Angleterre pèse en</t>
  </si>
  <si>
    <t xml:space="preserve">   moyenne 1,90 unité, bien au-dessus du verre nominal.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</si>
</sst>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4D4D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color rgb="FF1A4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F0F0"/>
        <bgColor rgb="FFCFE4E4"/>
      </patternFill>
    </fill>
    <fill>
      <patternFill patternType="solid">
        <fgColor rgb="FFCFE4E4"/>
        <bgColor rgb="FFE6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5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57.75" hidden="false" customHeight="tru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customFormat="false" ht="57.75" hidden="false" customHeight="tru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3" t="s">
        <v>10</v>
      </c>
    </row>
    <row r="6" customFormat="false" ht="57.75" hidden="false" customHeight="true" outlineLevel="0" collapsed="false">
      <c r="A6" s="3" t="s">
        <v>11</v>
      </c>
      <c r="B6" s="3" t="s">
        <v>12</v>
      </c>
      <c r="C6" s="3" t="s">
        <v>15</v>
      </c>
      <c r="D6" s="3" t="s">
        <v>16</v>
      </c>
      <c r="E6" s="3" t="s">
        <v>10</v>
      </c>
    </row>
    <row r="7" customFormat="false" ht="57.75" hidden="false" customHeight="true" outlineLevel="0" collapsed="false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</row>
    <row r="8" customFormat="false" ht="57.75" hidden="false" customHeight="true" outlineLevel="0" collapsed="false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</row>
    <row r="10" customFormat="false" ht="53.7" hidden="false" customHeight="false" outlineLevel="0" collapsed="false">
      <c r="A10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30"/>
  </cols>
  <sheetData>
    <row r="1" customFormat="false" ht="16.15" hidden="false" customHeight="false" outlineLevel="0" collapsed="false">
      <c r="A1" s="1" t="s">
        <v>28</v>
      </c>
    </row>
    <row r="3" customFormat="false" ht="15" hidden="false" customHeight="false" outlineLevel="0" collapsed="false">
      <c r="A3" s="5" t="s">
        <v>29</v>
      </c>
    </row>
    <row r="4" customFormat="false" ht="28.3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</row>
    <row r="5" customFormat="false" ht="15" hidden="false" customHeight="false" outlineLevel="0" collapsed="false">
      <c r="A5" s="6" t="s">
        <v>34</v>
      </c>
      <c r="B5" s="7" t="n">
        <v>371.77</v>
      </c>
      <c r="C5" s="7" t="n">
        <v>169.57</v>
      </c>
      <c r="D5" s="7" t="n">
        <v>22.58</v>
      </c>
    </row>
    <row r="6" customFormat="false" ht="15" hidden="false" customHeight="false" outlineLevel="0" collapsed="false">
      <c r="A6" s="6" t="s">
        <v>35</v>
      </c>
      <c r="B6" s="7" t="n">
        <v>368.45</v>
      </c>
      <c r="C6" s="7" t="n">
        <v>178.08</v>
      </c>
      <c r="D6" s="7" t="n">
        <v>21.72</v>
      </c>
    </row>
    <row r="7" customFormat="false" ht="15" hidden="false" customHeight="false" outlineLevel="0" collapsed="false">
      <c r="A7" s="6" t="s">
        <v>36</v>
      </c>
      <c r="B7" s="7" t="n">
        <v>379.69</v>
      </c>
      <c r="C7" s="7" t="n">
        <v>169.07</v>
      </c>
      <c r="D7" s="7" t="n">
        <v>18.39</v>
      </c>
    </row>
    <row r="8" customFormat="false" ht="15" hidden="false" customHeight="false" outlineLevel="0" collapsed="false">
      <c r="A8" s="8" t="s">
        <v>37</v>
      </c>
      <c r="B8" s="9" t="n">
        <f aca="false">SUM(B5:B7)</f>
        <v>1119.91</v>
      </c>
      <c r="C8" s="9" t="n">
        <f aca="false">SUM(C5:C7)</f>
        <v>516.72</v>
      </c>
      <c r="D8" s="9" t="n">
        <f aca="false">SUM(D5:D7)</f>
        <v>62.69</v>
      </c>
    </row>
    <row r="10" customFormat="false" ht="15" hidden="false" customHeight="false" outlineLevel="0" collapsed="false">
      <c r="A10" s="5" t="s">
        <v>38</v>
      </c>
    </row>
    <row r="11" customFormat="false" ht="28.35" hidden="false" customHeight="false" outlineLevel="0" collapsed="false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</row>
    <row r="12" customFormat="false" ht="28.35" hidden="false" customHeight="false" outlineLevel="0" collapsed="false">
      <c r="A12" s="6" t="s">
        <v>44</v>
      </c>
      <c r="B12" s="7" t="n">
        <v>17.6</v>
      </c>
      <c r="C12" s="7" t="n">
        <v>18.28</v>
      </c>
      <c r="D12" s="7" t="n">
        <v>18.96</v>
      </c>
      <c r="E12" s="3" t="s">
        <v>45</v>
      </c>
    </row>
    <row r="13" customFormat="false" ht="28.35" hidden="false" customHeight="false" outlineLevel="0" collapsed="false">
      <c r="A13" s="6" t="s">
        <v>46</v>
      </c>
      <c r="B13" s="10"/>
      <c r="C13" s="7" t="n">
        <v>15</v>
      </c>
      <c r="D13" s="10"/>
      <c r="E13" s="3" t="s">
        <v>47</v>
      </c>
    </row>
    <row r="14" customFormat="false" ht="28.35" hidden="false" customHeight="false" outlineLevel="0" collapsed="false">
      <c r="A14" s="6" t="s">
        <v>48</v>
      </c>
      <c r="B14" s="7" t="n">
        <v>0.79</v>
      </c>
      <c r="C14" s="7" t="n">
        <v>0.85</v>
      </c>
      <c r="D14" s="7" t="n">
        <v>0.9</v>
      </c>
      <c r="E14" s="3" t="s">
        <v>49</v>
      </c>
    </row>
    <row r="15" customFormat="false" ht="15" hidden="false" customHeight="false" outlineLevel="0" collapsed="false">
      <c r="A15" s="6" t="s">
        <v>50</v>
      </c>
      <c r="B15" s="10"/>
      <c r="C15" s="7" t="n">
        <v>0.6</v>
      </c>
      <c r="D15" s="10"/>
      <c r="E15" s="3" t="s">
        <v>51</v>
      </c>
    </row>
    <row r="16" customFormat="false" ht="15" hidden="false" customHeight="false" outlineLevel="0" collapsed="false">
      <c r="A16" s="6" t="s">
        <v>52</v>
      </c>
      <c r="B16" s="7" t="n">
        <v>1.32</v>
      </c>
      <c r="C16" s="7" t="n">
        <v>1.51</v>
      </c>
      <c r="D16" s="7" t="n">
        <v>1.7</v>
      </c>
      <c r="E16" s="3" t="s">
        <v>53</v>
      </c>
    </row>
    <row r="17" customFormat="false" ht="15" hidden="false" customHeight="false" outlineLevel="0" collapsed="false">
      <c r="A17" s="6" t="s">
        <v>54</v>
      </c>
      <c r="B17" s="10"/>
      <c r="C17" s="7" t="n">
        <v>1.5</v>
      </c>
      <c r="D17" s="10"/>
      <c r="E17" s="3" t="s">
        <v>55</v>
      </c>
    </row>
    <row r="19" customFormat="false" ht="15" hidden="false" customHeight="false" outlineLevel="0" collapsed="false">
      <c r="A19" s="5" t="s">
        <v>56</v>
      </c>
    </row>
    <row r="20" customFormat="false" ht="28.35" hidden="false" customHeight="false" outlineLevel="0" collapsed="false">
      <c r="A20" s="2" t="s">
        <v>39</v>
      </c>
      <c r="B20" s="2" t="s">
        <v>57</v>
      </c>
      <c r="C20" s="2" t="s">
        <v>58</v>
      </c>
      <c r="D20" s="2" t="s">
        <v>59</v>
      </c>
      <c r="E20" s="2" t="s">
        <v>60</v>
      </c>
    </row>
    <row r="21" customFormat="false" ht="15" hidden="false" customHeight="false" outlineLevel="0" collapsed="false">
      <c r="A21" s="6" t="s">
        <v>61</v>
      </c>
      <c r="B21" s="11" t="n">
        <f aca="false">B12/C13-1</f>
        <v>0.173333333333333</v>
      </c>
      <c r="C21" s="11" t="n">
        <f aca="false">C12/C13-1</f>
        <v>0.218666666666667</v>
      </c>
      <c r="D21" s="11" t="n">
        <f aca="false">D12/C13-1</f>
        <v>0.264</v>
      </c>
      <c r="E21" s="3" t="s">
        <v>62</v>
      </c>
    </row>
    <row r="22" customFormat="false" ht="15" hidden="false" customHeight="false" outlineLevel="0" collapsed="false">
      <c r="A22" s="6" t="s">
        <v>63</v>
      </c>
      <c r="B22" s="11" t="n">
        <f aca="false">B14/C15-1</f>
        <v>0.316666666666667</v>
      </c>
      <c r="C22" s="11" t="n">
        <f aca="false">C14/C15-1</f>
        <v>0.416666666666667</v>
      </c>
      <c r="D22" s="11" t="n">
        <f aca="false">D14/C15-1</f>
        <v>0.5</v>
      </c>
      <c r="E22" s="3" t="s">
        <v>64</v>
      </c>
    </row>
    <row r="23" customFormat="false" ht="28.35" hidden="false" customHeight="false" outlineLevel="0" collapsed="false">
      <c r="A23" s="6" t="s">
        <v>65</v>
      </c>
      <c r="B23" s="11" t="n">
        <f aca="false">MAX(0,B16/C17-1)</f>
        <v>0</v>
      </c>
      <c r="C23" s="11" t="n">
        <f aca="false">C16/C17-1</f>
        <v>0.0066666666666666</v>
      </c>
      <c r="D23" s="11" t="n">
        <f aca="false">D16/C17-1</f>
        <v>0.133333333333333</v>
      </c>
      <c r="E23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4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12" t="s">
        <v>68</v>
      </c>
    </row>
    <row r="4" customFormat="false" ht="15" hidden="false" customHeight="false" outlineLevel="0" collapsed="false">
      <c r="A4" s="2" t="s">
        <v>30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</row>
    <row r="5" customFormat="false" ht="15" hidden="false" customHeight="false" outlineLevel="0" collapsed="false">
      <c r="A5" s="6" t="s">
        <v>34</v>
      </c>
      <c r="B5" s="13" t="n">
        <f aca="false">Sources!B5*Sources!B21</f>
        <v>64.4401333333333</v>
      </c>
      <c r="C5" s="13" t="n">
        <f aca="false">Sources!B5*Sources!C21</f>
        <v>81.2937066666667</v>
      </c>
      <c r="D5" s="13" t="n">
        <f aca="false">Sources!B5*Sources!D21</f>
        <v>98.14728</v>
      </c>
      <c r="E5" s="13" t="n">
        <f aca="false">Sources!C5*Sources!B22</f>
        <v>53.6971666666667</v>
      </c>
      <c r="F5" s="13" t="n">
        <f aca="false">Sources!C5*Sources!C22</f>
        <v>70.6541666666667</v>
      </c>
      <c r="G5" s="13" t="n">
        <f aca="false">Sources!C5*Sources!D22</f>
        <v>84.785</v>
      </c>
      <c r="H5" s="13" t="n">
        <f aca="false">B5+E5+Sources!D5*Sources!B23</f>
        <v>118.1373</v>
      </c>
      <c r="I5" s="13" t="n">
        <f aca="false">C5+F5+Sources!D5*Sources!C23</f>
        <v>152.098406666667</v>
      </c>
      <c r="J5" s="13" t="n">
        <f aca="false">D5+G5+Sources!D5*Sources!D23</f>
        <v>185.942946666667</v>
      </c>
    </row>
    <row r="6" customFormat="false" ht="15" hidden="false" customHeight="false" outlineLevel="0" collapsed="false">
      <c r="A6" s="6" t="s">
        <v>35</v>
      </c>
      <c r="B6" s="13" t="n">
        <f aca="false">Sources!B6*Sources!B21</f>
        <v>63.8646666666667</v>
      </c>
      <c r="C6" s="13" t="n">
        <f aca="false">Sources!B6*Sources!C21</f>
        <v>80.5677333333334</v>
      </c>
      <c r="D6" s="13" t="n">
        <f aca="false">Sources!B6*Sources!D21</f>
        <v>97.2708</v>
      </c>
      <c r="E6" s="13" t="n">
        <f aca="false">Sources!C6*Sources!B22</f>
        <v>56.392</v>
      </c>
      <c r="F6" s="13" t="n">
        <f aca="false">Sources!C6*Sources!C22</f>
        <v>74.2</v>
      </c>
      <c r="G6" s="13" t="n">
        <f aca="false">Sources!C6*Sources!D22</f>
        <v>89.04</v>
      </c>
      <c r="H6" s="13" t="n">
        <f aca="false">B6+E6+Sources!D6*Sources!B23</f>
        <v>120.256666666667</v>
      </c>
      <c r="I6" s="13" t="n">
        <f aca="false">C6+F6+Sources!D6*Sources!C23</f>
        <v>154.912533333333</v>
      </c>
      <c r="J6" s="13" t="n">
        <f aca="false">D6+G6+Sources!D6*Sources!D23</f>
        <v>189.2068</v>
      </c>
    </row>
    <row r="7" customFormat="false" ht="15" hidden="false" customHeight="false" outlineLevel="0" collapsed="false">
      <c r="A7" s="6" t="s">
        <v>36</v>
      </c>
      <c r="B7" s="13" t="n">
        <f aca="false">Sources!B7*Sources!B21</f>
        <v>65.8129333333333</v>
      </c>
      <c r="C7" s="13" t="n">
        <f aca="false">Sources!B7*Sources!C21</f>
        <v>83.0255466666667</v>
      </c>
      <c r="D7" s="13" t="n">
        <f aca="false">Sources!B7*Sources!D21</f>
        <v>100.23816</v>
      </c>
      <c r="E7" s="13" t="n">
        <f aca="false">Sources!C7*Sources!B22</f>
        <v>53.5388333333334</v>
      </c>
      <c r="F7" s="13" t="n">
        <f aca="false">Sources!C7*Sources!C22</f>
        <v>70.4458333333333</v>
      </c>
      <c r="G7" s="13" t="n">
        <f aca="false">Sources!C7*Sources!D22</f>
        <v>84.535</v>
      </c>
      <c r="H7" s="13" t="n">
        <f aca="false">B7+E7+Sources!D7*Sources!B23</f>
        <v>119.351766666667</v>
      </c>
      <c r="I7" s="13" t="n">
        <f aca="false">C7+F7+Sources!D7*Sources!C23</f>
        <v>153.59398</v>
      </c>
      <c r="J7" s="13" t="n">
        <f aca="false">D7+G7+Sources!D7*Sources!D23</f>
        <v>187.22516</v>
      </c>
    </row>
    <row r="8" customFormat="false" ht="15" hidden="false" customHeight="false" outlineLevel="0" collapsed="false">
      <c r="A8" s="14" t="s">
        <v>78</v>
      </c>
      <c r="B8" s="15" t="n">
        <f aca="false">SUM(B5:B7)</f>
        <v>194.117733333333</v>
      </c>
      <c r="C8" s="15" t="n">
        <f aca="false">SUM(C5:C7)</f>
        <v>244.886986666667</v>
      </c>
      <c r="D8" s="15" t="n">
        <f aca="false">SUM(D5:D7)</f>
        <v>295.65624</v>
      </c>
      <c r="E8" s="15" t="n">
        <f aca="false">SUM(E5:E7)</f>
        <v>163.628</v>
      </c>
      <c r="F8" s="15" t="n">
        <f aca="false">SUM(F5:F7)</f>
        <v>215.3</v>
      </c>
      <c r="G8" s="15" t="n">
        <f aca="false">SUM(G5:G7)</f>
        <v>258.36</v>
      </c>
      <c r="H8" s="15" t="n">
        <f aca="false">SUM(H5:H7)</f>
        <v>357.745733333333</v>
      </c>
      <c r="I8" s="15" t="n">
        <f aca="false">SUM(I5:I7)</f>
        <v>460.60492</v>
      </c>
      <c r="J8" s="15" t="n">
        <f aca="false">SUM(J5:J7)</f>
        <v>562.374906666667</v>
      </c>
    </row>
    <row r="10" customFormat="false" ht="15" hidden="false" customHeight="false" outlineLevel="0" collapsed="false">
      <c r="A10" s="5" t="s">
        <v>79</v>
      </c>
    </row>
    <row r="11" customFormat="false" ht="15" hidden="false" customHeight="false" outlineLevel="0" collapsed="false">
      <c r="A11" s="6" t="s">
        <v>80</v>
      </c>
      <c r="B11" s="16" t="n">
        <f aca="false">H8</f>
        <v>357.745733333333</v>
      </c>
    </row>
    <row r="12" customFormat="false" ht="15" hidden="false" customHeight="false" outlineLevel="0" collapsed="false">
      <c r="A12" s="6" t="s">
        <v>81</v>
      </c>
      <c r="B12" s="16" t="n">
        <f aca="false">I8</f>
        <v>460.60492</v>
      </c>
    </row>
    <row r="13" customFormat="false" ht="15" hidden="false" customHeight="false" outlineLevel="0" collapsed="false">
      <c r="A13" s="6" t="s">
        <v>82</v>
      </c>
      <c r="B13" s="16" t="n">
        <f aca="false">J8</f>
        <v>562.374906666667</v>
      </c>
    </row>
    <row r="14" customFormat="false" ht="15" hidden="false" customHeight="false" outlineLevel="0" collapsed="false">
      <c r="A14" s="6" t="s">
        <v>83</v>
      </c>
      <c r="B14" s="16" t="n">
        <f aca="false">(H8+J8)/2</f>
        <v>460.06032</v>
      </c>
    </row>
    <row r="15" customFormat="false" ht="15" hidden="false" customHeight="false" outlineLevel="0" collapsed="false">
      <c r="A15" s="6" t="s">
        <v>84</v>
      </c>
      <c r="B15" s="17" t="n">
        <f aca="false">(I8-H8)/(J8-H8)</f>
        <v>0.502661399599719</v>
      </c>
    </row>
    <row r="16" customFormat="false" ht="15" hidden="false" customHeight="false" outlineLevel="0" collapsed="false">
      <c r="A16" s="6" t="s">
        <v>85</v>
      </c>
      <c r="B16" s="9" t="n">
        <f aca="false">I8-(H8+J8)/2</f>
        <v>0.544600000000173</v>
      </c>
    </row>
    <row r="18" customFormat="false" ht="15" hidden="false" customHeight="false" outlineLevel="0" collapsed="false">
      <c r="A18" s="5" t="s">
        <v>86</v>
      </c>
    </row>
    <row r="19" customFormat="false" ht="15" hidden="false" customHeight="false" outlineLevel="0" collapsed="false">
      <c r="A19" s="6" t="s">
        <v>87</v>
      </c>
      <c r="B19" s="9" t="n">
        <f aca="false">Sources!B12</f>
        <v>17.6</v>
      </c>
    </row>
    <row r="20" customFormat="false" ht="15" hidden="false" customHeight="false" outlineLevel="0" collapsed="false">
      <c r="A20" s="6" t="s">
        <v>88</v>
      </c>
      <c r="B20" s="9" t="n">
        <f aca="false">Sources!C12</f>
        <v>18.28</v>
      </c>
    </row>
    <row r="21" customFormat="false" ht="15" hidden="false" customHeight="false" outlineLevel="0" collapsed="false">
      <c r="A21" s="6" t="s">
        <v>89</v>
      </c>
      <c r="B21" s="9" t="n">
        <f aca="false">Sources!D12</f>
        <v>18.96</v>
      </c>
    </row>
    <row r="22" customFormat="false" ht="15" hidden="false" customHeight="false" outlineLevel="0" collapsed="false">
      <c r="A22" s="6" t="s">
        <v>90</v>
      </c>
      <c r="B22" s="17" t="n">
        <f aca="false">(Sources!C12-Sources!B12)/(Sources!D12-Sources!B12)</f>
        <v>0.5</v>
      </c>
    </row>
    <row r="23" customFormat="false" ht="15" hidden="false" customHeight="false" outlineLevel="0" collapsed="false">
      <c r="A23" s="6" t="s">
        <v>91</v>
      </c>
      <c r="B23" s="9" t="n">
        <f aca="false">Sources!C13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8" t="s">
        <v>92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19" t="s">
        <v>93</v>
      </c>
    </row>
    <row r="4" customFormat="false" ht="15" hidden="false" customHeight="false" outlineLevel="0" collapsed="false">
      <c r="A4" s="19" t="s">
        <v>94</v>
      </c>
    </row>
    <row r="5" customFormat="false" ht="15" hidden="false" customHeight="false" outlineLevel="0" collapsed="false">
      <c r="A5" s="19"/>
    </row>
    <row r="6" customFormat="false" ht="15" hidden="false" customHeight="false" outlineLevel="0" collapsed="false">
      <c r="A6" s="20" t="s">
        <v>95</v>
      </c>
    </row>
    <row r="7" customFormat="false" ht="15" hidden="false" customHeight="false" outlineLevel="0" collapsed="false">
      <c r="A7" s="19" t="s">
        <v>96</v>
      </c>
    </row>
    <row r="8" customFormat="false" ht="15" hidden="false" customHeight="false" outlineLevel="0" collapsed="false">
      <c r="A8" s="19" t="s">
        <v>97</v>
      </c>
    </row>
    <row r="9" customFormat="false" ht="15" hidden="false" customHeight="false" outlineLevel="0" collapsed="false">
      <c r="A9" s="19" t="s">
        <v>98</v>
      </c>
    </row>
    <row r="10" customFormat="false" ht="15" hidden="false" customHeight="false" outlineLevel="0" collapsed="false">
      <c r="A10" s="19" t="s">
        <v>99</v>
      </c>
    </row>
    <row r="11" customFormat="false" ht="15" hidden="false" customHeight="false" outlineLevel="0" collapsed="false">
      <c r="A11" s="19" t="s">
        <v>100</v>
      </c>
    </row>
    <row r="12" customFormat="false" ht="15" hidden="false" customHeight="false" outlineLevel="0" collapsed="false">
      <c r="A12" s="19"/>
    </row>
    <row r="13" customFormat="false" ht="15" hidden="false" customHeight="false" outlineLevel="0" collapsed="false">
      <c r="A13" s="20" t="s">
        <v>101</v>
      </c>
    </row>
    <row r="14" customFormat="false" ht="15" hidden="false" customHeight="false" outlineLevel="0" collapsed="false">
      <c r="A14" s="19" t="s">
        <v>102</v>
      </c>
    </row>
    <row r="15" customFormat="false" ht="15" hidden="false" customHeight="false" outlineLevel="0" collapsed="false">
      <c r="A15" s="19" t="s">
        <v>103</v>
      </c>
    </row>
    <row r="16" customFormat="false" ht="15" hidden="false" customHeight="false" outlineLevel="0" collapsed="false">
      <c r="A16" s="19"/>
    </row>
    <row r="17" customFormat="false" ht="15" hidden="false" customHeight="false" outlineLevel="0" collapsed="false">
      <c r="A17" s="20" t="s">
        <v>104</v>
      </c>
    </row>
    <row r="18" customFormat="false" ht="15" hidden="false" customHeight="false" outlineLevel="0" collapsed="false">
      <c r="A18" s="19" t="s">
        <v>105</v>
      </c>
    </row>
    <row r="19" customFormat="false" ht="15" hidden="false" customHeight="false" outlineLevel="0" collapsed="false">
      <c r="A19" s="19" t="s">
        <v>106</v>
      </c>
    </row>
    <row r="20" customFormat="false" ht="15" hidden="false" customHeight="false" outlineLevel="0" collapsed="false">
      <c r="A20" s="19" t="s">
        <v>107</v>
      </c>
    </row>
    <row r="21" customFormat="false" ht="15" hidden="false" customHeight="false" outlineLevel="0" collapsed="false">
      <c r="A21" s="19"/>
    </row>
    <row r="22" customFormat="false" ht="15" hidden="false" customHeight="false" outlineLevel="0" collapsed="false">
      <c r="A22" s="20" t="s">
        <v>108</v>
      </c>
    </row>
    <row r="23" customFormat="false" ht="15" hidden="false" customHeight="false" outlineLevel="0" collapsed="false">
      <c r="A23" s="19" t="s">
        <v>109</v>
      </c>
    </row>
    <row r="24" customFormat="false" ht="15" hidden="false" customHeight="false" outlineLevel="0" collapsed="false">
      <c r="A24" s="19" t="s">
        <v>110</v>
      </c>
    </row>
    <row r="25" customFormat="false" ht="15" hidden="false" customHeight="false" outlineLevel="0" collapsed="false">
      <c r="A25" s="19" t="s">
        <v>111</v>
      </c>
    </row>
    <row r="26" customFormat="false" ht="15" hidden="false" customHeight="false" outlineLevel="0" collapsed="false">
      <c r="A26" s="19"/>
    </row>
    <row r="27" customFormat="false" ht="15" hidden="false" customHeight="false" outlineLevel="0" collapsed="false">
      <c r="A27" s="20" t="s">
        <v>112</v>
      </c>
    </row>
    <row r="28" customFormat="false" ht="15" hidden="false" customHeight="false" outlineLevel="0" collapsed="false">
      <c r="A28" s="19" t="s">
        <v>113</v>
      </c>
    </row>
    <row r="29" customFormat="false" ht="15" hidden="false" customHeight="false" outlineLevel="0" collapsed="false">
      <c r="A29" s="19" t="s">
        <v>114</v>
      </c>
    </row>
    <row r="30" customFormat="false" ht="15" hidden="false" customHeight="false" outlineLevel="0" collapsed="false">
      <c r="A30" s="19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2026-10-25T21:16:23Z</dcterms:created>
  <dc:creator>openpyxl</dc:creator>
  <dc:description/>
  <dc:language>en-US</dc:language>
  <cp:lastModifiedBy/>
  <dcterms:modified xsi:type="dcterms:W3CDTF">2026-10-25T21:16:23Z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